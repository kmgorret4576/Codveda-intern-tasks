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codveda intern\"/>
    </mc:Choice>
  </mc:AlternateContent>
  <xr:revisionPtr revIDLastSave="0" documentId="13_ncr:1_{ABB5FE80-20BA-4FD5-9826-26200CBCACAA}" xr6:coauthVersionLast="47" xr6:coauthVersionMax="47" xr10:uidLastSave="{00000000-0000-0000-0000-000000000000}"/>
  <bookViews>
    <workbookView xWindow="-120" yWindow="-120" windowWidth="20730" windowHeight="11040" firstSheet="4" activeTab="8" xr2:uid="{2E197568-9BE1-4264-8997-A0B3BB03DF50}"/>
  </bookViews>
  <sheets>
    <sheet name="RAW_DATA" sheetId="1" r:id="rId1"/>
    <sheet name="LOGICAL" sheetId="2" r:id="rId2"/>
    <sheet name="LOOKUPS" sheetId="3" r:id="rId3"/>
    <sheet name="ARRAYS" sheetId="4" r:id="rId4"/>
    <sheet name="CLEANING" sheetId="5" r:id="rId5"/>
    <sheet name="STATISTICS" sheetId="7" r:id="rId6"/>
    <sheet name="TESTS" sheetId="10" r:id="rId7"/>
    <sheet name="PIVOT" sheetId="6" r:id="rId8"/>
    <sheet name="DASH BOARD" sheetId="8" r:id="rId9"/>
    <sheet name="POWER_PIVOT" sheetId="9" r:id="rId10"/>
    <sheet name="Sheet10" sheetId="11" r:id="rId11"/>
    <sheet name="Sheet11" sheetId="12" r:id="rId12"/>
  </sheets>
  <externalReferences>
    <externalReference r:id="rId13"/>
  </externalReferences>
  <definedNames>
    <definedName name="Slicer_Species">#N/A</definedName>
  </definedNames>
  <calcPr calcId="191029"/>
  <pivotCaches>
    <pivotCache cacheId="4" r:id="rId14"/>
    <pivotCache cacheId="5"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4" l="1" a="1"/>
  <c r="E4" i="4" a="1"/>
  <c r="L5" i="4" a="1"/>
  <c r="R5" i="4" a="1"/>
  <c r="B4" i="7"/>
  <c r="H11" i="10" a="1"/>
  <c r="G11" i="10" a="1"/>
  <c r="F11" i="10" a="1"/>
  <c r="G5" i="10"/>
  <c r="G6" i="10"/>
  <c r="H5" i="10"/>
  <c r="H6" i="10"/>
  <c r="I5" i="10"/>
  <c r="I6" i="10"/>
  <c r="I4" i="10"/>
  <c r="H4" i="10"/>
  <c r="G4" i="10"/>
  <c r="D4" i="10"/>
  <c r="B4" i="10" a="1"/>
  <c r="A4" i="10" a="1"/>
  <c r="B36" i="7"/>
  <c r="B35" i="7"/>
  <c r="B34" i="7"/>
  <c r="B33" i="7"/>
  <c r="C25" i="7"/>
  <c r="B25" i="7"/>
  <c r="C24" i="7"/>
  <c r="B24" i="7"/>
  <c r="C23" i="7"/>
  <c r="B23" i="7"/>
  <c r="A15" i="7" a="1"/>
  <c r="C10" i="7"/>
  <c r="D10" i="7"/>
  <c r="E10" i="7"/>
  <c r="B10" i="7"/>
  <c r="C9" i="7"/>
  <c r="D9" i="7"/>
  <c r="E9" i="7"/>
  <c r="B9" i="7"/>
  <c r="C8" i="7"/>
  <c r="D8" i="7"/>
  <c r="E8" i="7"/>
  <c r="B8" i="7"/>
  <c r="C7" i="7"/>
  <c r="D7" i="7"/>
  <c r="E7" i="7"/>
  <c r="B7" i="7"/>
  <c r="C6" i="7"/>
  <c r="D6" i="7"/>
  <c r="E6" i="7"/>
  <c r="B6" i="7"/>
  <c r="C5" i="7"/>
  <c r="D5" i="7"/>
  <c r="E5" i="7"/>
  <c r="B5" i="7"/>
  <c r="C4" i="7"/>
  <c r="D4" i="7"/>
  <c r="E4" i="7"/>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2"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3" i="5"/>
  <c r="A4" i="5"/>
  <c r="A5" i="5"/>
  <c r="A6" i="5"/>
  <c r="A7" i="5"/>
  <c r="A2" i="5"/>
  <c r="U8" i="4" a="1"/>
  <c r="U7" i="4" a="1"/>
  <c r="U6" i="4" a="1"/>
  <c r="A9" i="4" a="1"/>
  <c r="A4" i="4" a="1"/>
  <c r="E14" i="3" a="1"/>
  <c r="E13" i="3"/>
  <c r="E12" i="3" a="1"/>
  <c r="E8" i="3"/>
  <c r="E7" i="3"/>
  <c r="E6" i="3"/>
  <c r="E5" i="3"/>
  <c r="H2" i="3"/>
  <c r="G2" i="3"/>
  <c r="F2" i="3"/>
  <c r="E2" i="3"/>
  <c r="K3" i="2"/>
  <c r="K4" i="2"/>
  <c r="K5" i="2"/>
  <c r="K6" i="2"/>
  <c r="K7" i="2"/>
  <c r="K8" i="2"/>
  <c r="K9" i="2"/>
  <c r="K10" i="2"/>
  <c r="K11" i="2"/>
  <c r="K12" i="2"/>
  <c r="K13" i="2"/>
  <c r="J3" i="2" a="1"/>
  <c r="J4" i="2" a="1"/>
  <c r="J5" i="2" a="1"/>
  <c r="J6" i="2" a="1"/>
  <c r="J7" i="2" a="1"/>
  <c r="J8" i="2" a="1"/>
  <c r="J9" i="2" a="1"/>
  <c r="J10" i="2" a="1"/>
  <c r="J11" i="2" a="1"/>
  <c r="J12" i="2" a="1"/>
  <c r="J13" i="2" a="1"/>
  <c r="J14" i="2" a="1"/>
  <c r="J15" i="2" a="1"/>
  <c r="J16" i="2" a="1"/>
  <c r="J17" i="2" a="1"/>
  <c r="J18" i="2" a="1"/>
  <c r="J19" i="2" a="1"/>
  <c r="J20" i="2" a="1"/>
  <c r="J21" i="2" a="1"/>
  <c r="J22" i="2" a="1"/>
  <c r="J23" i="2" a="1"/>
  <c r="J24" i="2" a="1"/>
  <c r="J25" i="2" a="1"/>
  <c r="J26" i="2" a="1"/>
  <c r="J27" i="2" a="1"/>
  <c r="J28" i="2" a="1"/>
  <c r="J29" i="2" a="1"/>
  <c r="J30" i="2" a="1"/>
  <c r="J31" i="2" a="1"/>
  <c r="J32" i="2" a="1"/>
  <c r="J33" i="2" a="1"/>
  <c r="J34" i="2" a="1"/>
  <c r="J35" i="2" a="1"/>
  <c r="J36" i="2" a="1"/>
  <c r="J37" i="2" a="1"/>
  <c r="J38" i="2" a="1"/>
  <c r="J39" i="2" a="1"/>
  <c r="J40" i="2" a="1"/>
  <c r="J41" i="2" a="1"/>
  <c r="J42" i="2" a="1"/>
  <c r="J43" i="2" a="1"/>
  <c r="J44" i="2" a="1"/>
  <c r="J45" i="2" a="1"/>
  <c r="J46" i="2" a="1"/>
  <c r="J47" i="2" a="1"/>
  <c r="J48" i="2" a="1"/>
  <c r="J49" i="2" a="1"/>
  <c r="J50" i="2" a="1"/>
  <c r="J51" i="2" a="1"/>
  <c r="J52" i="2" a="1"/>
  <c r="J53" i="2" a="1"/>
  <c r="J54" i="2" a="1"/>
  <c r="J55" i="2" a="1"/>
  <c r="J56" i="2" a="1"/>
  <c r="J57" i="2" a="1"/>
  <c r="J58" i="2" a="1"/>
  <c r="J59" i="2" a="1"/>
  <c r="J60" i="2" a="1"/>
  <c r="J61" i="2" a="1"/>
  <c r="J62" i="2" a="1"/>
  <c r="J63" i="2" a="1"/>
  <c r="J64" i="2" a="1"/>
  <c r="J65" i="2" a="1"/>
  <c r="J66" i="2" a="1"/>
  <c r="J67" i="2" a="1"/>
  <c r="J68" i="2" a="1"/>
  <c r="J69" i="2" a="1"/>
  <c r="J70" i="2" a="1"/>
  <c r="J71" i="2" a="1"/>
  <c r="J72" i="2" a="1"/>
  <c r="J73" i="2" a="1"/>
  <c r="J74" i="2" a="1"/>
  <c r="J75" i="2" a="1"/>
  <c r="J76" i="2" a="1"/>
  <c r="J77" i="2" a="1"/>
  <c r="J78" i="2" a="1"/>
  <c r="J79" i="2" a="1"/>
  <c r="J80" i="2" a="1"/>
  <c r="J81" i="2" a="1"/>
  <c r="J82" i="2" a="1"/>
  <c r="J83" i="2" a="1"/>
  <c r="J84" i="2" a="1"/>
  <c r="J85" i="2" a="1"/>
  <c r="J86" i="2" a="1"/>
  <c r="J87" i="2" a="1"/>
  <c r="J88" i="2" a="1"/>
  <c r="J89" i="2" a="1"/>
  <c r="J90" i="2" a="1"/>
  <c r="J91" i="2" a="1"/>
  <c r="J92" i="2" a="1"/>
  <c r="J93" i="2" a="1"/>
  <c r="J94" i="2" a="1"/>
  <c r="J95" i="2" a="1"/>
  <c r="J96" i="2" a="1"/>
  <c r="J97" i="2" a="1"/>
  <c r="J98" i="2" a="1"/>
  <c r="J99" i="2" a="1"/>
  <c r="J100" i="2" a="1"/>
  <c r="J101" i="2" a="1"/>
  <c r="J102" i="2" a="1"/>
  <c r="J103" i="2" a="1"/>
  <c r="J104" i="2" a="1"/>
  <c r="J105" i="2" a="1"/>
  <c r="J106" i="2" a="1"/>
  <c r="J107" i="2" a="1"/>
  <c r="J108" i="2" a="1"/>
  <c r="J109" i="2" a="1"/>
  <c r="J110" i="2" a="1"/>
  <c r="J111" i="2" a="1"/>
  <c r="J112" i="2" a="1"/>
  <c r="J113" i="2" a="1"/>
  <c r="J114" i="2" a="1"/>
  <c r="J115" i="2" a="1"/>
  <c r="J116" i="2" a="1"/>
  <c r="J117" i="2" a="1"/>
  <c r="J118" i="2" a="1"/>
  <c r="J119" i="2" a="1"/>
  <c r="J120" i="2" a="1"/>
  <c r="J121" i="2" a="1"/>
  <c r="J122" i="2" a="1"/>
  <c r="J123" i="2" a="1"/>
  <c r="J124" i="2" a="1"/>
  <c r="J125" i="2" a="1"/>
  <c r="J126" i="2" a="1"/>
  <c r="J127" i="2" a="1"/>
  <c r="J128" i="2" a="1"/>
  <c r="J129" i="2" a="1"/>
  <c r="J130" i="2" a="1"/>
  <c r="J131" i="2" a="1"/>
  <c r="J132" i="2" a="1"/>
  <c r="J133" i="2" a="1"/>
  <c r="J134" i="2" a="1"/>
  <c r="J135" i="2" a="1"/>
  <c r="J136" i="2" a="1"/>
  <c r="J137" i="2" a="1"/>
  <c r="J138" i="2" a="1"/>
  <c r="J139" i="2" a="1"/>
  <c r="J140" i="2" a="1"/>
  <c r="J141" i="2" a="1"/>
  <c r="J142" i="2" a="1"/>
  <c r="J143" i="2" a="1"/>
  <c r="J144" i="2" a="1"/>
  <c r="J145" i="2" a="1"/>
  <c r="J146" i="2" a="1"/>
  <c r="J147" i="2" a="1"/>
  <c r="J148" i="2" a="1"/>
  <c r="J149" i="2" a="1"/>
  <c r="J150" i="2" a="1"/>
  <c r="J151" i="2" a="1"/>
  <c r="J2" i="2" a="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2" i="2"/>
  <c r="D3" i="2" a="1"/>
  <c r="D4" i="2" a="1"/>
  <c r="D5" i="2" a="1"/>
  <c r="D6" i="2" a="1"/>
  <c r="D7" i="2" a="1"/>
  <c r="D8" i="2" a="1"/>
  <c r="D9" i="2" a="1"/>
  <c r="D10" i="2" a="1"/>
  <c r="D11" i="2" a="1"/>
  <c r="D12" i="2" a="1"/>
  <c r="D13" i="2" a="1"/>
  <c r="D14" i="2" a="1"/>
  <c r="D15" i="2" a="1"/>
  <c r="D16" i="2" a="1"/>
  <c r="D17" i="2" a="1"/>
  <c r="D18" i="2" a="1"/>
  <c r="D19" i="2" a="1"/>
  <c r="D20" i="2" a="1"/>
  <c r="D21" i="2" a="1"/>
  <c r="D22" i="2" a="1"/>
  <c r="D23" i="2" a="1"/>
  <c r="D24" i="2" a="1"/>
  <c r="D25" i="2" a="1"/>
  <c r="D26" i="2" a="1"/>
  <c r="D27" i="2" a="1"/>
  <c r="D28" i="2" a="1"/>
  <c r="D29" i="2" a="1"/>
  <c r="D30" i="2" a="1"/>
  <c r="D31" i="2" a="1"/>
  <c r="D32" i="2" a="1"/>
  <c r="D33" i="2" a="1"/>
  <c r="D34" i="2" a="1"/>
  <c r="D35" i="2" a="1"/>
  <c r="D36" i="2" a="1"/>
  <c r="D37" i="2" a="1"/>
  <c r="D38" i="2" a="1"/>
  <c r="D39" i="2" a="1"/>
  <c r="D40" i="2" a="1"/>
  <c r="D41" i="2" a="1"/>
  <c r="D42" i="2" a="1"/>
  <c r="D43" i="2" a="1"/>
  <c r="D44" i="2" a="1"/>
  <c r="D45" i="2" a="1"/>
  <c r="D46" i="2" a="1"/>
  <c r="D47" i="2" a="1"/>
  <c r="D48" i="2" a="1"/>
  <c r="D49" i="2" a="1"/>
  <c r="D50" i="2" a="1"/>
  <c r="D51" i="2" a="1"/>
  <c r="D52" i="2" a="1"/>
  <c r="D53" i="2" a="1"/>
  <c r="D54" i="2" a="1"/>
  <c r="D55" i="2" a="1"/>
  <c r="D56" i="2" a="1"/>
  <c r="D57" i="2" a="1"/>
  <c r="D58" i="2" a="1"/>
  <c r="D59" i="2" a="1"/>
  <c r="D60" i="2" a="1"/>
  <c r="D61" i="2" a="1"/>
  <c r="D62" i="2" a="1"/>
  <c r="D63" i="2" a="1"/>
  <c r="D64" i="2" a="1"/>
  <c r="D65" i="2" a="1"/>
  <c r="D66" i="2" a="1"/>
  <c r="D67" i="2" a="1"/>
  <c r="D68" i="2" a="1"/>
  <c r="D69" i="2" a="1"/>
  <c r="D70" i="2" a="1"/>
  <c r="D71" i="2" a="1"/>
  <c r="D72" i="2" a="1"/>
  <c r="D73" i="2" a="1"/>
  <c r="D74" i="2" a="1"/>
  <c r="D75" i="2" a="1"/>
  <c r="D76" i="2" a="1"/>
  <c r="D77" i="2" a="1"/>
  <c r="D78" i="2" a="1"/>
  <c r="D79" i="2" a="1"/>
  <c r="D80" i="2" a="1"/>
  <c r="D81" i="2" a="1"/>
  <c r="D82" i="2" a="1"/>
  <c r="D83" i="2" a="1"/>
  <c r="D84" i="2" a="1"/>
  <c r="D85" i="2" a="1"/>
  <c r="D86" i="2" a="1"/>
  <c r="D87" i="2" a="1"/>
  <c r="D88" i="2" a="1"/>
  <c r="D89" i="2" a="1"/>
  <c r="D90" i="2" a="1"/>
  <c r="D91" i="2" a="1"/>
  <c r="D92" i="2" a="1"/>
  <c r="D93" i="2" a="1"/>
  <c r="D94" i="2" a="1"/>
  <c r="D95" i="2" a="1"/>
  <c r="D96" i="2" a="1"/>
  <c r="D97" i="2" a="1"/>
  <c r="D98" i="2" a="1"/>
  <c r="D99" i="2" a="1"/>
  <c r="D100" i="2" a="1"/>
  <c r="D101" i="2" a="1"/>
  <c r="D102" i="2" a="1"/>
  <c r="D103" i="2" a="1"/>
  <c r="D104" i="2" a="1"/>
  <c r="D105" i="2" a="1"/>
  <c r="D106" i="2" a="1"/>
  <c r="D107" i="2" a="1"/>
  <c r="D108" i="2" a="1"/>
  <c r="D109" i="2" a="1"/>
  <c r="D110" i="2" a="1"/>
  <c r="D111" i="2" a="1"/>
  <c r="D112" i="2" a="1"/>
  <c r="D113" i="2" a="1"/>
  <c r="D114" i="2" a="1"/>
  <c r="D115" i="2" a="1"/>
  <c r="D116" i="2" a="1"/>
  <c r="D117" i="2" a="1"/>
  <c r="D118" i="2" a="1"/>
  <c r="D119" i="2" a="1"/>
  <c r="D120" i="2" a="1"/>
  <c r="D121" i="2" a="1"/>
  <c r="D122" i="2" a="1"/>
  <c r="D123" i="2" a="1"/>
  <c r="D124" i="2" a="1"/>
  <c r="D125" i="2" a="1"/>
  <c r="D126" i="2" a="1"/>
  <c r="D127" i="2" a="1"/>
  <c r="D128" i="2" a="1"/>
  <c r="D129" i="2" a="1"/>
  <c r="D130" i="2" a="1"/>
  <c r="D131" i="2" a="1"/>
  <c r="D132" i="2" a="1"/>
  <c r="D133" i="2" a="1"/>
  <c r="D134" i="2" a="1"/>
  <c r="D135" i="2" a="1"/>
  <c r="D136" i="2" a="1"/>
  <c r="D137" i="2" a="1"/>
  <c r="D138" i="2" a="1"/>
  <c r="D139" i="2" a="1"/>
  <c r="D140" i="2" a="1"/>
  <c r="D141" i="2" a="1"/>
  <c r="D142" i="2" a="1"/>
  <c r="D143" i="2" a="1"/>
  <c r="D144" i="2" a="1"/>
  <c r="D145" i="2" a="1"/>
  <c r="D146" i="2" a="1"/>
  <c r="D147" i="2" a="1"/>
  <c r="D148" i="2" a="1"/>
  <c r="D149" i="2" a="1"/>
  <c r="D150" i="2" a="1"/>
  <c r="D151" i="2" a="1"/>
  <c r="D2" i="2" a="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B3" i="2"/>
  <c r="G3" i="2" s="1"/>
  <c r="B4" i="2"/>
  <c r="G4" i="2" s="1"/>
  <c r="B5" i="2"/>
  <c r="G5" i="2" s="1"/>
  <c r="B6" i="2"/>
  <c r="G6" i="2" s="1"/>
  <c r="B7" i="2"/>
  <c r="G7" i="2" s="1"/>
  <c r="B8" i="2"/>
  <c r="G8" i="2" s="1"/>
  <c r="B9" i="2"/>
  <c r="G9" i="2" s="1"/>
  <c r="B10" i="2"/>
  <c r="G10" i="2" s="1"/>
  <c r="B11" i="2"/>
  <c r="G11" i="2" s="1"/>
  <c r="B12" i="2"/>
  <c r="G12" i="2" s="1"/>
  <c r="B13" i="2"/>
  <c r="G13" i="2" s="1"/>
  <c r="B14" i="2"/>
  <c r="G14" i="2" s="1"/>
  <c r="B15" i="2"/>
  <c r="G15" i="2" s="1"/>
  <c r="B16" i="2"/>
  <c r="G16" i="2" s="1"/>
  <c r="B17" i="2"/>
  <c r="G17" i="2" s="1"/>
  <c r="B18" i="2"/>
  <c r="G18" i="2" s="1"/>
  <c r="B19" i="2"/>
  <c r="G19" i="2" s="1"/>
  <c r="B20" i="2"/>
  <c r="G20" i="2" s="1"/>
  <c r="B21" i="2"/>
  <c r="G21" i="2" s="1"/>
  <c r="B22" i="2"/>
  <c r="G22" i="2" s="1"/>
  <c r="B23" i="2"/>
  <c r="G23" i="2" s="1"/>
  <c r="B24" i="2"/>
  <c r="G24" i="2" s="1"/>
  <c r="B25" i="2"/>
  <c r="G25" i="2" s="1"/>
  <c r="B26" i="2"/>
  <c r="G26" i="2" s="1"/>
  <c r="B27" i="2"/>
  <c r="G27" i="2" s="1"/>
  <c r="B28" i="2"/>
  <c r="G28" i="2" s="1"/>
  <c r="B29" i="2"/>
  <c r="G29" i="2" s="1"/>
  <c r="B30" i="2"/>
  <c r="G30" i="2" s="1"/>
  <c r="B31" i="2"/>
  <c r="G31" i="2" s="1"/>
  <c r="B32" i="2"/>
  <c r="G32" i="2" s="1"/>
  <c r="B33" i="2"/>
  <c r="G33" i="2" s="1"/>
  <c r="B34" i="2"/>
  <c r="G34" i="2" s="1"/>
  <c r="B35" i="2"/>
  <c r="G35" i="2" s="1"/>
  <c r="B36" i="2"/>
  <c r="G36" i="2" s="1"/>
  <c r="B37" i="2"/>
  <c r="G37" i="2" s="1"/>
  <c r="B38" i="2"/>
  <c r="G38" i="2" s="1"/>
  <c r="B39" i="2"/>
  <c r="G39" i="2" s="1"/>
  <c r="B40" i="2"/>
  <c r="G40" i="2" s="1"/>
  <c r="B41" i="2"/>
  <c r="G41" i="2" s="1"/>
  <c r="B42" i="2"/>
  <c r="G42" i="2" s="1"/>
  <c r="B43" i="2"/>
  <c r="G43" i="2" s="1"/>
  <c r="B44" i="2"/>
  <c r="G44" i="2" s="1"/>
  <c r="B45" i="2"/>
  <c r="G45" i="2" s="1"/>
  <c r="B46" i="2"/>
  <c r="G46" i="2" s="1"/>
  <c r="B47" i="2"/>
  <c r="G47" i="2" s="1"/>
  <c r="B48" i="2"/>
  <c r="G48" i="2" s="1"/>
  <c r="B49" i="2"/>
  <c r="G49" i="2" s="1"/>
  <c r="B50" i="2"/>
  <c r="G50" i="2" s="1"/>
  <c r="B51" i="2"/>
  <c r="G51" i="2" s="1"/>
  <c r="B52" i="2"/>
  <c r="G52" i="2" s="1"/>
  <c r="B53" i="2"/>
  <c r="G53" i="2" s="1"/>
  <c r="B54" i="2"/>
  <c r="G54" i="2" s="1"/>
  <c r="B55" i="2"/>
  <c r="G55" i="2" s="1"/>
  <c r="B56" i="2"/>
  <c r="G56" i="2" s="1"/>
  <c r="B57" i="2"/>
  <c r="G57" i="2" s="1"/>
  <c r="B58" i="2"/>
  <c r="G58" i="2" s="1"/>
  <c r="B59" i="2"/>
  <c r="G59" i="2" s="1"/>
  <c r="B60" i="2"/>
  <c r="G60" i="2" s="1"/>
  <c r="B61" i="2"/>
  <c r="G61" i="2" s="1"/>
  <c r="B62" i="2"/>
  <c r="G62" i="2" s="1"/>
  <c r="B63" i="2"/>
  <c r="G63" i="2" s="1"/>
  <c r="B64" i="2"/>
  <c r="G64" i="2" s="1"/>
  <c r="B65" i="2"/>
  <c r="G65" i="2" s="1"/>
  <c r="B66" i="2"/>
  <c r="G66" i="2" s="1"/>
  <c r="B67" i="2"/>
  <c r="G67" i="2" s="1"/>
  <c r="B68" i="2"/>
  <c r="G68" i="2" s="1"/>
  <c r="B69" i="2"/>
  <c r="G69" i="2" s="1"/>
  <c r="B70" i="2"/>
  <c r="G70" i="2" s="1"/>
  <c r="B71" i="2"/>
  <c r="G71" i="2" s="1"/>
  <c r="B72" i="2"/>
  <c r="G72" i="2" s="1"/>
  <c r="B73" i="2"/>
  <c r="G73" i="2" s="1"/>
  <c r="B74" i="2"/>
  <c r="G74" i="2" s="1"/>
  <c r="B75" i="2"/>
  <c r="G75" i="2" s="1"/>
  <c r="B76" i="2"/>
  <c r="G76" i="2" s="1"/>
  <c r="B77" i="2"/>
  <c r="G77" i="2" s="1"/>
  <c r="B78" i="2"/>
  <c r="G78" i="2" s="1"/>
  <c r="B79" i="2"/>
  <c r="G79" i="2" s="1"/>
  <c r="B80" i="2"/>
  <c r="G80" i="2" s="1"/>
  <c r="B81" i="2"/>
  <c r="G81" i="2" s="1"/>
  <c r="B82" i="2"/>
  <c r="G82" i="2" s="1"/>
  <c r="B83" i="2"/>
  <c r="G83" i="2" s="1"/>
  <c r="B84" i="2"/>
  <c r="G84" i="2" s="1"/>
  <c r="B85" i="2"/>
  <c r="G85" i="2" s="1"/>
  <c r="B86" i="2"/>
  <c r="G86" i="2" s="1"/>
  <c r="B87" i="2"/>
  <c r="G87" i="2" s="1"/>
  <c r="B88" i="2"/>
  <c r="G88" i="2" s="1"/>
  <c r="B89" i="2"/>
  <c r="G89" i="2" s="1"/>
  <c r="B90" i="2"/>
  <c r="G90" i="2" s="1"/>
  <c r="B91" i="2"/>
  <c r="G91" i="2" s="1"/>
  <c r="B92" i="2"/>
  <c r="G92" i="2" s="1"/>
  <c r="B93" i="2"/>
  <c r="G93" i="2" s="1"/>
  <c r="B94" i="2"/>
  <c r="G94" i="2" s="1"/>
  <c r="B95" i="2"/>
  <c r="G95" i="2" s="1"/>
  <c r="B96" i="2"/>
  <c r="G96" i="2" s="1"/>
  <c r="B97" i="2"/>
  <c r="G97" i="2" s="1"/>
  <c r="B98" i="2"/>
  <c r="G98" i="2" s="1"/>
  <c r="B99" i="2"/>
  <c r="G99" i="2" s="1"/>
  <c r="B100" i="2"/>
  <c r="G100" i="2" s="1"/>
  <c r="B101" i="2"/>
  <c r="G101" i="2" s="1"/>
  <c r="B102" i="2"/>
  <c r="G102" i="2" s="1"/>
  <c r="B103" i="2"/>
  <c r="G103" i="2" s="1"/>
  <c r="B104" i="2"/>
  <c r="G104" i="2" s="1"/>
  <c r="B105" i="2"/>
  <c r="G105" i="2" s="1"/>
  <c r="B106" i="2"/>
  <c r="G106" i="2" s="1"/>
  <c r="B107" i="2"/>
  <c r="G107" i="2" s="1"/>
  <c r="B108" i="2"/>
  <c r="G108" i="2" s="1"/>
  <c r="B109" i="2"/>
  <c r="G109" i="2" s="1"/>
  <c r="B110" i="2"/>
  <c r="G110" i="2" s="1"/>
  <c r="B111" i="2"/>
  <c r="G111" i="2" s="1"/>
  <c r="B112" i="2"/>
  <c r="G112" i="2" s="1"/>
  <c r="B113" i="2"/>
  <c r="G113" i="2" s="1"/>
  <c r="B114" i="2"/>
  <c r="G114" i="2" s="1"/>
  <c r="B115" i="2"/>
  <c r="G115" i="2" s="1"/>
  <c r="B116" i="2"/>
  <c r="G116" i="2" s="1"/>
  <c r="B117" i="2"/>
  <c r="G117" i="2" s="1"/>
  <c r="B118" i="2"/>
  <c r="G118" i="2" s="1"/>
  <c r="B119" i="2"/>
  <c r="G119" i="2" s="1"/>
  <c r="B120" i="2"/>
  <c r="G120" i="2" s="1"/>
  <c r="B121" i="2"/>
  <c r="G121" i="2" s="1"/>
  <c r="B122" i="2"/>
  <c r="G122" i="2" s="1"/>
  <c r="B123" i="2"/>
  <c r="G123" i="2" s="1"/>
  <c r="B124" i="2"/>
  <c r="G124" i="2" s="1"/>
  <c r="B125" i="2"/>
  <c r="G125" i="2" s="1"/>
  <c r="B126" i="2"/>
  <c r="G126" i="2" s="1"/>
  <c r="B127" i="2"/>
  <c r="G127" i="2" s="1"/>
  <c r="B128" i="2"/>
  <c r="G128" i="2" s="1"/>
  <c r="B129" i="2"/>
  <c r="G129" i="2" s="1"/>
  <c r="B130" i="2"/>
  <c r="G130" i="2" s="1"/>
  <c r="B131" i="2"/>
  <c r="G131" i="2" s="1"/>
  <c r="B132" i="2"/>
  <c r="G132" i="2" s="1"/>
  <c r="B133" i="2"/>
  <c r="G133" i="2" s="1"/>
  <c r="B134" i="2"/>
  <c r="G134" i="2" s="1"/>
  <c r="B135" i="2"/>
  <c r="G135" i="2" s="1"/>
  <c r="B136" i="2"/>
  <c r="G136" i="2" s="1"/>
  <c r="B137" i="2"/>
  <c r="G137" i="2" s="1"/>
  <c r="B138" i="2"/>
  <c r="G138" i="2" s="1"/>
  <c r="B139" i="2"/>
  <c r="G139" i="2" s="1"/>
  <c r="B140" i="2"/>
  <c r="G140" i="2" s="1"/>
  <c r="B141" i="2"/>
  <c r="G141" i="2" s="1"/>
  <c r="B142" i="2"/>
  <c r="G142" i="2" s="1"/>
  <c r="B143" i="2"/>
  <c r="G143" i="2" s="1"/>
  <c r="B144" i="2"/>
  <c r="G144" i="2" s="1"/>
  <c r="B145" i="2"/>
  <c r="G145" i="2" s="1"/>
  <c r="B146" i="2"/>
  <c r="G146" i="2" s="1"/>
  <c r="B147" i="2"/>
  <c r="G147" i="2" s="1"/>
  <c r="B148" i="2"/>
  <c r="G148" i="2" s="1"/>
  <c r="B149" i="2"/>
  <c r="G149" i="2" s="1"/>
  <c r="B150" i="2"/>
  <c r="G150" i="2" s="1"/>
  <c r="B151" i="2"/>
  <c r="G151" i="2" s="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2" i="2"/>
  <c r="B2" i="2"/>
  <c r="G2" i="2" s="1"/>
  <c r="L5" i="10" l="1"/>
  <c r="M5" i="10"/>
  <c r="K5" i="10"/>
  <c r="M6" i="10"/>
  <c r="K6" i="10"/>
  <c r="L6" i="10"/>
  <c r="L4" i="10"/>
  <c r="M4" i="10"/>
  <c r="K4" i="10"/>
  <c r="M9" i="10" s="1"/>
  <c r="K9" i="10"/>
  <c r="C16" i="7"/>
  <c r="B16" i="7"/>
  <c r="B15" i="7"/>
  <c r="E17" i="7"/>
  <c r="E15" i="7"/>
  <c r="C15" i="7"/>
  <c r="B17" i="7"/>
  <c r="F16" i="7"/>
  <c r="F17" i="7"/>
  <c r="F15" i="7"/>
  <c r="C17" i="7"/>
  <c r="D15" i="7"/>
  <c r="E16" i="7"/>
  <c r="D17" i="7"/>
  <c r="D16" i="7"/>
  <c r="C8" i="5"/>
  <c r="D8" i="5"/>
  <c r="E8" i="5" s="1"/>
  <c r="B8" i="5"/>
  <c r="C9" i="5"/>
  <c r="D9" i="5"/>
  <c r="E9" i="5" s="1"/>
  <c r="B9" i="5"/>
  <c r="C10" i="5"/>
  <c r="D10" i="5"/>
  <c r="E10" i="5" s="1"/>
  <c r="B10" i="5"/>
  <c r="D11" i="5"/>
  <c r="E11" i="5" s="1"/>
  <c r="C11" i="5"/>
  <c r="B11" i="5"/>
  <c r="D12" i="5"/>
  <c r="E12" i="5" s="1"/>
  <c r="B12" i="5"/>
  <c r="C12" i="5"/>
  <c r="D13" i="5"/>
  <c r="E13" i="5" s="1"/>
  <c r="B13" i="5"/>
  <c r="C13" i="5"/>
  <c r="D14" i="5"/>
  <c r="E14" i="5" s="1"/>
  <c r="B14" i="5"/>
  <c r="C14" i="5"/>
  <c r="D15" i="5"/>
  <c r="E15" i="5" s="1"/>
  <c r="B15" i="5"/>
  <c r="C15" i="5"/>
  <c r="D16" i="5"/>
  <c r="E16" i="5" s="1"/>
  <c r="B16" i="5"/>
  <c r="C16" i="5"/>
  <c r="D17" i="5"/>
  <c r="E17" i="5" s="1"/>
  <c r="B17" i="5"/>
  <c r="C17" i="5"/>
  <c r="D18" i="5"/>
  <c r="E18" i="5" s="1"/>
  <c r="B18" i="5"/>
  <c r="C18" i="5"/>
  <c r="C19" i="5"/>
  <c r="D19" i="5"/>
  <c r="E19" i="5" s="1"/>
  <c r="B19" i="5"/>
  <c r="D20" i="5"/>
  <c r="E20" i="5" s="1"/>
  <c r="B20" i="5"/>
  <c r="C20" i="5"/>
  <c r="C21" i="5"/>
  <c r="B21" i="5"/>
  <c r="D21" i="5"/>
  <c r="E21" i="5" s="1"/>
  <c r="D22" i="5"/>
  <c r="E22" i="5" s="1"/>
  <c r="C22" i="5"/>
  <c r="B22" i="5"/>
  <c r="B23" i="5"/>
  <c r="D23" i="5"/>
  <c r="E23" i="5" s="1"/>
  <c r="C23" i="5"/>
  <c r="D24" i="5"/>
  <c r="E24" i="5" s="1"/>
  <c r="B24" i="5"/>
  <c r="C24" i="5"/>
  <c r="D25" i="5"/>
  <c r="E25" i="5" s="1"/>
  <c r="B25" i="5"/>
  <c r="C25" i="5"/>
  <c r="B26" i="5"/>
  <c r="D26" i="5"/>
  <c r="E26" i="5" s="1"/>
  <c r="C26" i="5"/>
  <c r="B27" i="5"/>
  <c r="C27" i="5"/>
  <c r="D27" i="5"/>
  <c r="E27" i="5" s="1"/>
  <c r="B28" i="5"/>
  <c r="D28" i="5"/>
  <c r="E28" i="5" s="1"/>
  <c r="C28" i="5"/>
  <c r="D29" i="5"/>
  <c r="E29" i="5" s="1"/>
  <c r="B29" i="5"/>
  <c r="C29" i="5"/>
  <c r="D30" i="5"/>
  <c r="E30" i="5" s="1"/>
  <c r="C30" i="5"/>
  <c r="B30" i="5"/>
  <c r="B31" i="5"/>
  <c r="C31" i="5"/>
  <c r="D31" i="5"/>
  <c r="E31" i="5" s="1"/>
  <c r="D32" i="5"/>
  <c r="E32" i="5" s="1"/>
  <c r="B32" i="5"/>
  <c r="C32" i="5"/>
  <c r="D33" i="5"/>
  <c r="E33" i="5" s="1"/>
  <c r="B33" i="5"/>
  <c r="C33" i="5"/>
  <c r="D34" i="5"/>
  <c r="E34" i="5" s="1"/>
  <c r="B34" i="5"/>
  <c r="C34" i="5"/>
  <c r="C35" i="5"/>
  <c r="D35" i="5"/>
  <c r="E35" i="5" s="1"/>
  <c r="B35" i="5"/>
  <c r="C36" i="5"/>
  <c r="D36" i="5"/>
  <c r="E36" i="5" s="1"/>
  <c r="B36" i="5"/>
  <c r="D37" i="5"/>
  <c r="E37" i="5" s="1"/>
  <c r="B37" i="5"/>
  <c r="C37" i="5"/>
  <c r="D38" i="5"/>
  <c r="E38" i="5" s="1"/>
  <c r="B38" i="5"/>
  <c r="C38" i="5"/>
  <c r="D39" i="5"/>
  <c r="E39" i="5" s="1"/>
  <c r="B39" i="5"/>
  <c r="C39" i="5"/>
  <c r="D40" i="5"/>
  <c r="E40" i="5" s="1"/>
  <c r="B40" i="5"/>
  <c r="C40" i="5"/>
  <c r="D41" i="5"/>
  <c r="E41" i="5" s="1"/>
  <c r="B41" i="5"/>
  <c r="C41" i="5"/>
  <c r="D42" i="5"/>
  <c r="E42" i="5" s="1"/>
  <c r="B42" i="5"/>
  <c r="C42" i="5"/>
  <c r="C43" i="5"/>
  <c r="D43" i="5"/>
  <c r="E43" i="5" s="1"/>
  <c r="B43" i="5"/>
  <c r="D44" i="5"/>
  <c r="E44" i="5" s="1"/>
  <c r="C44" i="5"/>
  <c r="B44" i="5"/>
  <c r="D45" i="5"/>
  <c r="E45" i="5" s="1"/>
  <c r="B45" i="5"/>
  <c r="C45" i="5"/>
  <c r="D46" i="5"/>
  <c r="E46" i="5" s="1"/>
  <c r="B46" i="5"/>
  <c r="C46" i="5"/>
  <c r="D47" i="5"/>
  <c r="E47" i="5" s="1"/>
  <c r="B47" i="5"/>
  <c r="C47" i="5"/>
  <c r="D48" i="5"/>
  <c r="E48" i="5" s="1"/>
  <c r="B48" i="5"/>
  <c r="C48" i="5"/>
  <c r="D49" i="5"/>
  <c r="E49" i="5" s="1"/>
  <c r="B49" i="5"/>
  <c r="C49" i="5"/>
  <c r="D50" i="5"/>
  <c r="E50" i="5" s="1"/>
  <c r="B50" i="5"/>
  <c r="C50" i="5"/>
  <c r="D51" i="5"/>
  <c r="E51" i="5" s="1"/>
  <c r="B51" i="5"/>
  <c r="C51" i="5"/>
  <c r="B52" i="5"/>
  <c r="C52" i="5"/>
  <c r="D52" i="5"/>
  <c r="E52" i="5" s="1"/>
  <c r="B53" i="5"/>
  <c r="D53" i="5"/>
  <c r="E53" i="5" s="1"/>
  <c r="C53" i="5"/>
  <c r="C54" i="5"/>
  <c r="B54" i="5"/>
  <c r="D54" i="5"/>
  <c r="E54" i="5" s="1"/>
  <c r="C55" i="5"/>
  <c r="D55" i="5"/>
  <c r="E55" i="5" s="1"/>
  <c r="B55" i="5"/>
  <c r="D56" i="5"/>
  <c r="E56" i="5" s="1"/>
  <c r="B56" i="5"/>
  <c r="C56" i="5"/>
  <c r="C57" i="5"/>
  <c r="B57" i="5"/>
  <c r="D57" i="5"/>
  <c r="E57" i="5" s="1"/>
  <c r="B58" i="5"/>
  <c r="C58" i="5"/>
  <c r="D58" i="5"/>
  <c r="E58" i="5" s="1"/>
  <c r="C59" i="5"/>
  <c r="B59" i="5"/>
  <c r="D59" i="5"/>
  <c r="E59" i="5" s="1"/>
  <c r="C60" i="5"/>
  <c r="B60" i="5"/>
  <c r="D60" i="5"/>
  <c r="E60" i="5" s="1"/>
  <c r="C61" i="5"/>
  <c r="B61" i="5"/>
  <c r="D61" i="5"/>
  <c r="E61" i="5" s="1"/>
  <c r="C62" i="5"/>
  <c r="B62" i="5"/>
  <c r="D62" i="5"/>
  <c r="E62" i="5" s="1"/>
  <c r="C63" i="5"/>
  <c r="B63" i="5"/>
  <c r="D63" i="5"/>
  <c r="E63" i="5" s="1"/>
  <c r="D64" i="5"/>
  <c r="E64" i="5" s="1"/>
  <c r="B64" i="5"/>
  <c r="C64" i="5"/>
  <c r="D65" i="5"/>
  <c r="E65" i="5" s="1"/>
  <c r="B65" i="5"/>
  <c r="C65" i="5"/>
  <c r="D66" i="5"/>
  <c r="E66" i="5" s="1"/>
  <c r="B66" i="5"/>
  <c r="C66" i="5"/>
  <c r="D67" i="5"/>
  <c r="E67" i="5" s="1"/>
  <c r="B67" i="5"/>
  <c r="C67" i="5"/>
  <c r="D68" i="5"/>
  <c r="E68" i="5" s="1"/>
  <c r="B68" i="5"/>
  <c r="C68" i="5"/>
  <c r="B69" i="5"/>
  <c r="D69" i="5"/>
  <c r="E69" i="5" s="1"/>
  <c r="C69" i="5"/>
  <c r="B70" i="5"/>
  <c r="C70" i="5"/>
  <c r="D70" i="5"/>
  <c r="E70" i="5" s="1"/>
  <c r="B71" i="5"/>
  <c r="D71" i="5"/>
  <c r="E71" i="5" s="1"/>
  <c r="C71" i="5"/>
  <c r="D72" i="5"/>
  <c r="E72" i="5" s="1"/>
  <c r="B72" i="5"/>
  <c r="C72" i="5"/>
  <c r="D73" i="5"/>
  <c r="E73" i="5" s="1"/>
  <c r="B73" i="5"/>
  <c r="C73" i="5"/>
  <c r="D74" i="5"/>
  <c r="E74" i="5" s="1"/>
  <c r="C74" i="5"/>
  <c r="B74" i="5"/>
  <c r="D75" i="5"/>
  <c r="E75" i="5" s="1"/>
  <c r="C75" i="5"/>
  <c r="B75" i="5"/>
  <c r="D76" i="5"/>
  <c r="E76" i="5" s="1"/>
  <c r="C76" i="5"/>
  <c r="B76" i="5"/>
  <c r="C77" i="5"/>
  <c r="D77" i="5"/>
  <c r="E77" i="5" s="1"/>
  <c r="B77" i="5"/>
  <c r="D78" i="5"/>
  <c r="E78" i="5" s="1"/>
  <c r="B78" i="5"/>
  <c r="C78" i="5"/>
  <c r="D79" i="5"/>
  <c r="E79" i="5" s="1"/>
  <c r="B79" i="5"/>
  <c r="C79" i="5"/>
  <c r="B80" i="5"/>
  <c r="C80" i="5"/>
  <c r="D80" i="5"/>
  <c r="E80" i="5" s="1"/>
  <c r="C81" i="5"/>
  <c r="D81" i="5"/>
  <c r="E81" i="5" s="1"/>
  <c r="B81" i="5"/>
  <c r="C82" i="5"/>
  <c r="B82" i="5"/>
  <c r="D82" i="5"/>
  <c r="E82" i="5" s="1"/>
  <c r="C83" i="5"/>
  <c r="D83" i="5"/>
  <c r="E83" i="5" s="1"/>
  <c r="B83" i="5"/>
  <c r="C84" i="5"/>
  <c r="D84" i="5"/>
  <c r="E84" i="5" s="1"/>
  <c r="B84" i="5"/>
  <c r="B85" i="5"/>
  <c r="C85" i="5"/>
  <c r="D85" i="5"/>
  <c r="E85" i="5" s="1"/>
  <c r="B86" i="5"/>
  <c r="C86" i="5"/>
  <c r="D86" i="5"/>
  <c r="E86" i="5" s="1"/>
  <c r="C87" i="5"/>
  <c r="B87" i="5"/>
  <c r="D87" i="5"/>
  <c r="E87" i="5" s="1"/>
  <c r="C88" i="5"/>
  <c r="B88" i="5"/>
  <c r="D88" i="5"/>
  <c r="E88" i="5" s="1"/>
  <c r="C89" i="5"/>
  <c r="D89" i="5"/>
  <c r="E89" i="5" s="1"/>
  <c r="B89" i="5"/>
  <c r="C90" i="5"/>
  <c r="D90" i="5"/>
  <c r="E90" i="5" s="1"/>
  <c r="B90" i="5"/>
  <c r="C91" i="5"/>
  <c r="D91" i="5"/>
  <c r="E91" i="5" s="1"/>
  <c r="B91" i="5"/>
  <c r="C92" i="5"/>
  <c r="D92" i="5"/>
  <c r="E92" i="5" s="1"/>
  <c r="B92" i="5"/>
  <c r="C93" i="5"/>
  <c r="B93" i="5"/>
  <c r="D93" i="5"/>
  <c r="E93" i="5" s="1"/>
  <c r="C94" i="5"/>
  <c r="D94" i="5"/>
  <c r="E94" i="5" s="1"/>
  <c r="B94" i="5"/>
  <c r="C95" i="5"/>
  <c r="B95" i="5"/>
  <c r="D95" i="5"/>
  <c r="E95" i="5" s="1"/>
  <c r="C96" i="5"/>
  <c r="B96" i="5"/>
  <c r="D96" i="5"/>
  <c r="E96" i="5" s="1"/>
  <c r="B97" i="5"/>
  <c r="D97" i="5"/>
  <c r="E97" i="5" s="1"/>
  <c r="C97" i="5"/>
  <c r="B98" i="5"/>
  <c r="C98" i="5"/>
  <c r="D98" i="5"/>
  <c r="E98" i="5" s="1"/>
  <c r="B99" i="5"/>
  <c r="C99" i="5"/>
  <c r="D99" i="5"/>
  <c r="E99" i="5" s="1"/>
  <c r="B100" i="5"/>
  <c r="D100" i="5"/>
  <c r="E100" i="5" s="1"/>
  <c r="C100" i="5"/>
  <c r="D101" i="5"/>
  <c r="E101" i="5" s="1"/>
  <c r="B101" i="5"/>
  <c r="C101" i="5"/>
  <c r="D102" i="5"/>
  <c r="E102" i="5" s="1"/>
  <c r="B102" i="5"/>
  <c r="C102" i="5"/>
  <c r="B103" i="5"/>
  <c r="D103" i="5"/>
  <c r="E103" i="5" s="1"/>
  <c r="C103" i="5"/>
  <c r="C104" i="5"/>
  <c r="D104" i="5"/>
  <c r="E104" i="5" s="1"/>
  <c r="B104" i="5"/>
  <c r="C105" i="5"/>
  <c r="B105" i="5"/>
  <c r="D105" i="5"/>
  <c r="E105" i="5" s="1"/>
  <c r="B106" i="5"/>
  <c r="D106" i="5"/>
  <c r="E106" i="5" s="1"/>
  <c r="C106" i="5"/>
  <c r="C107" i="5"/>
  <c r="B107" i="5"/>
  <c r="D107" i="5"/>
  <c r="E107" i="5" s="1"/>
  <c r="B108" i="5"/>
  <c r="D108" i="5"/>
  <c r="E108" i="5" s="1"/>
  <c r="C108" i="5"/>
  <c r="D109" i="5"/>
  <c r="E109" i="5" s="1"/>
  <c r="C109" i="5"/>
  <c r="B109" i="5"/>
  <c r="B110" i="5"/>
  <c r="C110" i="5"/>
  <c r="D110" i="5"/>
  <c r="E110" i="5" s="1"/>
  <c r="D111" i="5"/>
  <c r="E111" i="5" s="1"/>
  <c r="C111" i="5"/>
  <c r="B111" i="5"/>
  <c r="C112" i="5"/>
  <c r="D112" i="5"/>
  <c r="E112" i="5" s="1"/>
  <c r="B112" i="5"/>
  <c r="D113" i="5"/>
  <c r="E113" i="5" s="1"/>
  <c r="B113" i="5"/>
  <c r="C113" i="5"/>
  <c r="B114" i="5"/>
  <c r="C114" i="5"/>
  <c r="D114" i="5"/>
  <c r="E114" i="5" s="1"/>
  <c r="C115" i="5"/>
  <c r="B115" i="5"/>
  <c r="D115" i="5"/>
  <c r="E115" i="5" s="1"/>
  <c r="D116" i="5"/>
  <c r="E116" i="5" s="1"/>
  <c r="C116" i="5"/>
  <c r="B116" i="5"/>
  <c r="C117" i="5"/>
  <c r="B117" i="5"/>
  <c r="D117" i="5"/>
  <c r="E117" i="5" s="1"/>
  <c r="B118" i="5"/>
  <c r="C118" i="5"/>
  <c r="D118" i="5"/>
  <c r="E118" i="5" s="1"/>
  <c r="C119" i="5"/>
  <c r="D119" i="5"/>
  <c r="E119" i="5" s="1"/>
  <c r="B119" i="5"/>
  <c r="C120" i="5"/>
  <c r="D120" i="5"/>
  <c r="E120" i="5" s="1"/>
  <c r="B120" i="5"/>
  <c r="C121" i="5"/>
  <c r="D121" i="5"/>
  <c r="E121" i="5" s="1"/>
  <c r="B121" i="5"/>
  <c r="C122" i="5"/>
  <c r="D122" i="5"/>
  <c r="E122" i="5" s="1"/>
  <c r="B122" i="5"/>
  <c r="B123" i="5"/>
  <c r="C123" i="5"/>
  <c r="D123" i="5"/>
  <c r="E123" i="5" s="1"/>
  <c r="D124" i="5"/>
  <c r="E124" i="5" s="1"/>
  <c r="B124" i="5"/>
  <c r="C124" i="5"/>
  <c r="D125" i="5"/>
  <c r="E125" i="5" s="1"/>
  <c r="C125" i="5"/>
  <c r="B125" i="5"/>
  <c r="D126" i="5"/>
  <c r="E126" i="5" s="1"/>
  <c r="C126" i="5"/>
  <c r="B126" i="5"/>
  <c r="C127" i="5"/>
  <c r="D127" i="5"/>
  <c r="E127" i="5" s="1"/>
  <c r="B127" i="5"/>
  <c r="D128" i="5"/>
  <c r="E128" i="5" s="1"/>
  <c r="B128" i="5"/>
  <c r="C128" i="5"/>
  <c r="D129" i="5"/>
  <c r="E129" i="5" s="1"/>
  <c r="B129" i="5"/>
  <c r="C129" i="5"/>
  <c r="D130" i="5"/>
  <c r="E130" i="5" s="1"/>
  <c r="B130" i="5"/>
  <c r="C130" i="5"/>
  <c r="D131" i="5"/>
  <c r="E131" i="5" s="1"/>
  <c r="C131" i="5"/>
  <c r="B131" i="5"/>
  <c r="D132" i="5"/>
  <c r="E132" i="5" s="1"/>
  <c r="C132" i="5"/>
  <c r="B132" i="5"/>
  <c r="C133" i="5"/>
  <c r="D133" i="5"/>
  <c r="E133" i="5" s="1"/>
  <c r="B133" i="5"/>
  <c r="C134" i="5"/>
  <c r="D134" i="5"/>
  <c r="E134" i="5" s="1"/>
  <c r="B134" i="5"/>
  <c r="D135" i="5"/>
  <c r="E135" i="5" s="1"/>
  <c r="B135" i="5"/>
  <c r="C135" i="5"/>
  <c r="D136" i="5"/>
  <c r="E136" i="5" s="1"/>
  <c r="C136" i="5"/>
  <c r="B136" i="5"/>
  <c r="C137" i="5"/>
  <c r="D137" i="5"/>
  <c r="E137" i="5" s="1"/>
  <c r="B137" i="5"/>
  <c r="C138" i="5"/>
  <c r="B138" i="5"/>
  <c r="D138" i="5"/>
  <c r="E138" i="5" s="1"/>
  <c r="C139" i="5"/>
  <c r="B139" i="5"/>
  <c r="D139" i="5"/>
  <c r="E139" i="5" s="1"/>
  <c r="B140" i="5"/>
  <c r="C140" i="5"/>
  <c r="D140" i="5"/>
  <c r="E140" i="5" s="1"/>
  <c r="D141" i="5"/>
  <c r="E141" i="5" s="1"/>
  <c r="C141" i="5"/>
  <c r="B141" i="5"/>
  <c r="D142" i="5"/>
  <c r="E142" i="5" s="1"/>
  <c r="C142" i="5"/>
  <c r="B142" i="5"/>
  <c r="C143" i="5"/>
  <c r="D143" i="5"/>
  <c r="E143" i="5" s="1"/>
  <c r="B143" i="5"/>
  <c r="C144" i="5"/>
  <c r="B144" i="5"/>
  <c r="D144" i="5"/>
  <c r="E144" i="5" s="1"/>
  <c r="D145" i="5"/>
  <c r="E145" i="5" s="1"/>
  <c r="B145" i="5"/>
  <c r="C145" i="5"/>
  <c r="C146" i="5"/>
  <c r="B146" i="5"/>
  <c r="D146" i="5"/>
  <c r="E146" i="5" s="1"/>
  <c r="D147" i="5"/>
  <c r="E147" i="5" s="1"/>
  <c r="C147" i="5"/>
  <c r="B147" i="5"/>
  <c r="B148" i="5"/>
  <c r="D148" i="5"/>
  <c r="E148" i="5" s="1"/>
  <c r="C148" i="5"/>
  <c r="C149" i="5"/>
  <c r="B149" i="5"/>
  <c r="D149" i="5"/>
  <c r="E149" i="5" s="1"/>
  <c r="B150" i="5"/>
  <c r="D150" i="5"/>
  <c r="E150" i="5" s="1"/>
  <c r="C150" i="5"/>
  <c r="C151" i="5"/>
  <c r="B151" i="5"/>
  <c r="D151" i="5"/>
  <c r="E151" i="5" s="1"/>
  <c r="B3" i="5"/>
  <c r="D3" i="5"/>
  <c r="E3" i="5" s="1"/>
  <c r="C3" i="5"/>
  <c r="C4" i="5"/>
  <c r="D4" i="5"/>
  <c r="E4" i="5" s="1"/>
  <c r="B4" i="5"/>
  <c r="B5" i="5"/>
  <c r="C5" i="5"/>
  <c r="D5" i="5"/>
  <c r="E5" i="5" s="1"/>
  <c r="D6" i="5"/>
  <c r="E6" i="5" s="1"/>
  <c r="B6" i="5"/>
  <c r="C6" i="5"/>
  <c r="B7" i="5"/>
  <c r="C7" i="5"/>
  <c r="D7" i="5"/>
  <c r="E7" i="5" s="1"/>
  <c r="C2" i="5"/>
  <c r="B2" i="5"/>
  <c r="D2" i="5"/>
  <c r="E2" i="5" s="1"/>
  <c r="M3" i="2"/>
  <c r="L3" i="2"/>
  <c r="M4" i="2"/>
  <c r="L4" i="2"/>
  <c r="M5" i="2"/>
  <c r="L5" i="2"/>
  <c r="M6" i="2"/>
  <c r="L6" i="2"/>
  <c r="L7" i="2"/>
  <c r="M7" i="2"/>
  <c r="L8" i="2"/>
  <c r="M8" i="2"/>
  <c r="L9" i="2"/>
  <c r="M9" i="2"/>
  <c r="M10" i="2"/>
  <c r="L10" i="2"/>
  <c r="L11" i="2"/>
  <c r="M11" i="2"/>
  <c r="L12" i="2"/>
  <c r="M12" i="2"/>
  <c r="L13" i="2"/>
  <c r="M13" i="2"/>
  <c r="L14" i="2"/>
  <c r="M14" i="2"/>
  <c r="K14" i="2"/>
  <c r="M15" i="2"/>
  <c r="L15" i="2"/>
  <c r="K15" i="2"/>
  <c r="M16" i="2"/>
  <c r="L16" i="2"/>
  <c r="K16" i="2"/>
  <c r="K17" i="2"/>
  <c r="L17" i="2"/>
  <c r="M17" i="2"/>
  <c r="L18" i="2"/>
  <c r="M18" i="2"/>
  <c r="K18" i="2"/>
  <c r="L19" i="2"/>
  <c r="M19" i="2"/>
  <c r="K19" i="2"/>
  <c r="L20" i="2"/>
  <c r="K20" i="2"/>
  <c r="M20" i="2"/>
  <c r="L21" i="2"/>
  <c r="M21" i="2"/>
  <c r="K21" i="2"/>
  <c r="M22" i="2"/>
  <c r="L22" i="2"/>
  <c r="K22" i="2"/>
  <c r="M23" i="2"/>
  <c r="L23" i="2"/>
  <c r="K23" i="2"/>
  <c r="M24" i="2"/>
  <c r="K24" i="2"/>
  <c r="L24" i="2"/>
  <c r="K25" i="2"/>
  <c r="M25" i="2"/>
  <c r="L25" i="2"/>
  <c r="K26" i="2"/>
  <c r="L26" i="2"/>
  <c r="M26" i="2"/>
  <c r="K27" i="2"/>
  <c r="L27" i="2"/>
  <c r="M27" i="2"/>
  <c r="K28" i="2"/>
  <c r="L28" i="2"/>
  <c r="M28" i="2"/>
  <c r="K29" i="2"/>
  <c r="L29" i="2"/>
  <c r="M29" i="2"/>
  <c r="K30" i="2"/>
  <c r="L30" i="2"/>
  <c r="M30" i="2"/>
  <c r="K31" i="2"/>
  <c r="L31" i="2"/>
  <c r="M31" i="2"/>
  <c r="K32" i="2"/>
  <c r="L32" i="2"/>
  <c r="M32" i="2"/>
  <c r="K33" i="2"/>
  <c r="L33" i="2"/>
  <c r="M33" i="2"/>
  <c r="K34" i="2"/>
  <c r="M34" i="2"/>
  <c r="L34" i="2"/>
  <c r="K35" i="2"/>
  <c r="L35" i="2"/>
  <c r="M35" i="2"/>
  <c r="K36" i="2"/>
  <c r="L36" i="2"/>
  <c r="M36" i="2"/>
  <c r="K37" i="2"/>
  <c r="L37" i="2"/>
  <c r="M37" i="2"/>
  <c r="M38" i="2"/>
  <c r="K38" i="2"/>
  <c r="L38" i="2"/>
  <c r="K39" i="2"/>
  <c r="L39" i="2"/>
  <c r="M39" i="2"/>
  <c r="K40" i="2"/>
  <c r="L40" i="2"/>
  <c r="H40" i="2"/>
  <c r="M40" i="2"/>
  <c r="K41" i="2"/>
  <c r="M41" i="2"/>
  <c r="L41" i="2"/>
  <c r="H41" i="2"/>
  <c r="K42" i="2"/>
  <c r="H42" i="2"/>
  <c r="M42" i="2"/>
  <c r="L42" i="2"/>
  <c r="K43" i="2"/>
  <c r="M43" i="2"/>
  <c r="L43" i="2"/>
  <c r="H43" i="2"/>
  <c r="K44" i="2"/>
  <c r="M44" i="2"/>
  <c r="L44" i="2"/>
  <c r="H44" i="2"/>
  <c r="K45" i="2"/>
  <c r="M45" i="2"/>
  <c r="L45" i="2"/>
  <c r="H45" i="2"/>
  <c r="K46" i="2"/>
  <c r="M46" i="2"/>
  <c r="L46" i="2"/>
  <c r="H46" i="2"/>
  <c r="M47" i="2"/>
  <c r="K47" i="2"/>
  <c r="H47" i="2"/>
  <c r="L47" i="2"/>
  <c r="H48" i="2"/>
  <c r="L48" i="2"/>
  <c r="K48" i="2"/>
  <c r="M48" i="2"/>
  <c r="L49" i="2"/>
  <c r="K49" i="2"/>
  <c r="H49" i="2"/>
  <c r="M49" i="2"/>
  <c r="L50" i="2"/>
  <c r="H50" i="2"/>
  <c r="K50" i="2"/>
  <c r="M50" i="2"/>
  <c r="L51" i="2"/>
  <c r="H51" i="2"/>
  <c r="M51" i="2"/>
  <c r="K51" i="2"/>
  <c r="M52" i="2"/>
  <c r="H52" i="2"/>
  <c r="K52" i="2"/>
  <c r="L52" i="2"/>
  <c r="M53" i="2"/>
  <c r="L53" i="2"/>
  <c r="H53" i="2"/>
  <c r="K53" i="2"/>
  <c r="M54" i="2"/>
  <c r="L54" i="2"/>
  <c r="H54" i="2"/>
  <c r="K54" i="2"/>
  <c r="K55" i="2"/>
  <c r="L55" i="2"/>
  <c r="M55" i="2"/>
  <c r="H55" i="2"/>
  <c r="K56" i="2"/>
  <c r="L56" i="2"/>
  <c r="H56" i="2"/>
  <c r="M56" i="2"/>
  <c r="M57" i="2"/>
  <c r="K57" i="2"/>
  <c r="L57" i="2"/>
  <c r="H57" i="2"/>
  <c r="K58" i="2"/>
  <c r="M58" i="2"/>
  <c r="L58" i="2"/>
  <c r="H58" i="2"/>
  <c r="K59" i="2"/>
  <c r="M59" i="2"/>
  <c r="L59" i="2"/>
  <c r="H59" i="2"/>
  <c r="K60" i="2"/>
  <c r="L60" i="2"/>
  <c r="H60" i="2"/>
  <c r="M60" i="2"/>
  <c r="K61" i="2"/>
  <c r="M61" i="2"/>
  <c r="L61" i="2"/>
  <c r="H61" i="2"/>
  <c r="K62" i="2"/>
  <c r="L62" i="2"/>
  <c r="H62" i="2"/>
  <c r="M62" i="2"/>
  <c r="K63" i="2"/>
  <c r="L63" i="2"/>
  <c r="H63" i="2"/>
  <c r="M63" i="2"/>
  <c r="K64" i="2"/>
  <c r="M64" i="2"/>
  <c r="H64" i="2"/>
  <c r="L64" i="2"/>
  <c r="L65" i="2"/>
  <c r="C65" i="2"/>
  <c r="K65" i="2"/>
  <c r="M65" i="2"/>
  <c r="H65" i="2"/>
  <c r="M66" i="2"/>
  <c r="K66" i="2"/>
  <c r="L66" i="2"/>
  <c r="H66" i="2"/>
  <c r="C66" i="2"/>
  <c r="K67" i="2"/>
  <c r="H67" i="2"/>
  <c r="L67" i="2"/>
  <c r="M67" i="2"/>
  <c r="C67" i="2"/>
  <c r="K68" i="2"/>
  <c r="L68" i="2"/>
  <c r="H68" i="2"/>
  <c r="M68" i="2"/>
  <c r="C68" i="2"/>
  <c r="K69" i="2"/>
  <c r="H69" i="2"/>
  <c r="L69" i="2"/>
  <c r="C69" i="2"/>
  <c r="M69" i="2"/>
  <c r="K70" i="2"/>
  <c r="H70" i="2"/>
  <c r="L70" i="2"/>
  <c r="C70" i="2"/>
  <c r="M70" i="2"/>
  <c r="H71" i="2"/>
  <c r="C71" i="2"/>
  <c r="M71" i="2"/>
  <c r="L71" i="2"/>
  <c r="K71" i="2"/>
  <c r="L72" i="2"/>
  <c r="M72" i="2"/>
  <c r="C72" i="2"/>
  <c r="K72" i="2"/>
  <c r="H72" i="2"/>
  <c r="L73" i="2"/>
  <c r="M73" i="2"/>
  <c r="K73" i="2"/>
  <c r="C73" i="2"/>
  <c r="H73" i="2"/>
  <c r="L74" i="2"/>
  <c r="K74" i="2"/>
  <c r="C74" i="2"/>
  <c r="M74" i="2"/>
  <c r="H74" i="2"/>
  <c r="L75" i="2"/>
  <c r="K75" i="2"/>
  <c r="C75" i="2"/>
  <c r="H75" i="2"/>
  <c r="M75" i="2"/>
  <c r="K76" i="2"/>
  <c r="L76" i="2"/>
  <c r="C76" i="2"/>
  <c r="H76" i="2"/>
  <c r="M76" i="2"/>
  <c r="C77" i="2"/>
  <c r="M77" i="2"/>
  <c r="L77" i="2"/>
  <c r="K77" i="2"/>
  <c r="H77" i="2"/>
  <c r="C78" i="2"/>
  <c r="L78" i="2"/>
  <c r="M78" i="2"/>
  <c r="H78" i="2"/>
  <c r="K78" i="2"/>
  <c r="C79" i="2"/>
  <c r="M79" i="2"/>
  <c r="L79" i="2"/>
  <c r="H79" i="2"/>
  <c r="K79" i="2"/>
  <c r="L80" i="2"/>
  <c r="M80" i="2"/>
  <c r="K80" i="2"/>
  <c r="H80" i="2"/>
  <c r="C80" i="2"/>
  <c r="L81" i="2"/>
  <c r="H81" i="2"/>
  <c r="K81" i="2"/>
  <c r="C81" i="2"/>
  <c r="M81" i="2"/>
  <c r="K82" i="2"/>
  <c r="L82" i="2"/>
  <c r="M82" i="2"/>
  <c r="H82" i="2"/>
  <c r="C82" i="2"/>
  <c r="M83" i="2"/>
  <c r="L83" i="2"/>
  <c r="K83" i="2"/>
  <c r="C83" i="2"/>
  <c r="H83" i="2"/>
  <c r="M84" i="2"/>
  <c r="L84" i="2"/>
  <c r="K84" i="2"/>
  <c r="C84" i="2"/>
  <c r="H84" i="2"/>
  <c r="M85" i="2"/>
  <c r="L85" i="2"/>
  <c r="K85" i="2"/>
  <c r="H85" i="2"/>
  <c r="C85" i="2"/>
  <c r="L86" i="2"/>
  <c r="K86" i="2"/>
  <c r="H86" i="2"/>
  <c r="C86" i="2"/>
  <c r="M86" i="2"/>
  <c r="H87" i="2"/>
  <c r="K87" i="2"/>
  <c r="M87" i="2"/>
  <c r="C87" i="2"/>
  <c r="L87" i="2"/>
  <c r="H88" i="2"/>
  <c r="L88" i="2"/>
  <c r="K88" i="2"/>
  <c r="M88" i="2"/>
  <c r="C88" i="2"/>
  <c r="M89" i="2"/>
  <c r="K89" i="2"/>
  <c r="L89" i="2"/>
  <c r="H89" i="2"/>
  <c r="C89" i="2"/>
  <c r="K90" i="2"/>
  <c r="L90" i="2"/>
  <c r="M90" i="2"/>
  <c r="H90" i="2"/>
  <c r="C90" i="2"/>
  <c r="K91" i="2"/>
  <c r="M91" i="2"/>
  <c r="L91" i="2"/>
  <c r="H91" i="2"/>
  <c r="C91" i="2"/>
  <c r="C92" i="2"/>
  <c r="K92" i="2"/>
  <c r="M92" i="2"/>
  <c r="H92" i="2"/>
  <c r="L92" i="2"/>
  <c r="M93" i="2"/>
  <c r="L93" i="2"/>
  <c r="K93" i="2"/>
  <c r="H93" i="2"/>
  <c r="C93" i="2"/>
  <c r="L94" i="2"/>
  <c r="M94" i="2"/>
  <c r="K94" i="2"/>
  <c r="H94" i="2"/>
  <c r="C94" i="2"/>
  <c r="H95" i="2"/>
  <c r="C95" i="2"/>
  <c r="K95" i="2"/>
  <c r="M95" i="2"/>
  <c r="L95" i="2"/>
  <c r="H96" i="2"/>
  <c r="C96" i="2"/>
  <c r="L96" i="2"/>
  <c r="K96" i="2"/>
  <c r="M96" i="2"/>
  <c r="H97" i="2"/>
  <c r="M97" i="2"/>
  <c r="C97" i="2"/>
  <c r="L97" i="2"/>
  <c r="K97" i="2"/>
  <c r="C98" i="2"/>
  <c r="M98" i="2"/>
  <c r="L98" i="2"/>
  <c r="H98" i="2"/>
  <c r="K98" i="2"/>
  <c r="H99" i="2"/>
  <c r="C99" i="2"/>
  <c r="M99" i="2"/>
  <c r="L99" i="2"/>
  <c r="K99" i="2"/>
  <c r="H100" i="2"/>
  <c r="L100" i="2"/>
  <c r="M100" i="2"/>
  <c r="C100" i="2"/>
  <c r="K100" i="2"/>
  <c r="H101" i="2"/>
  <c r="C101" i="2"/>
  <c r="L101" i="2"/>
  <c r="M101" i="2"/>
  <c r="K101" i="2"/>
  <c r="L102" i="2"/>
  <c r="C102" i="2"/>
  <c r="H102" i="2"/>
  <c r="M102" i="2"/>
  <c r="K102" i="2"/>
  <c r="L103" i="2"/>
  <c r="M103" i="2"/>
  <c r="K103" i="2"/>
  <c r="H103" i="2"/>
  <c r="C103" i="2"/>
  <c r="L104" i="2"/>
  <c r="K104" i="2"/>
  <c r="H104" i="2"/>
  <c r="C104" i="2"/>
  <c r="M104" i="2"/>
  <c r="L105" i="2"/>
  <c r="K105" i="2"/>
  <c r="C105" i="2"/>
  <c r="H105" i="2"/>
  <c r="M105" i="2"/>
  <c r="L106" i="2"/>
  <c r="C106" i="2"/>
  <c r="H106" i="2"/>
  <c r="K106" i="2"/>
  <c r="M106" i="2"/>
  <c r="L107" i="2"/>
  <c r="M107" i="2"/>
  <c r="C107" i="2"/>
  <c r="H107" i="2"/>
  <c r="K107" i="2"/>
  <c r="L108" i="2"/>
  <c r="K108" i="2"/>
  <c r="C108" i="2"/>
  <c r="H108" i="2"/>
  <c r="M108" i="2"/>
  <c r="K109" i="2"/>
  <c r="H109" i="2"/>
  <c r="M109" i="2"/>
  <c r="L109" i="2"/>
  <c r="C109" i="2"/>
  <c r="H110" i="2"/>
  <c r="L110" i="2"/>
  <c r="K110" i="2"/>
  <c r="C110" i="2"/>
  <c r="M110" i="2"/>
  <c r="H111" i="2"/>
  <c r="L111" i="2"/>
  <c r="M111" i="2"/>
  <c r="C111" i="2"/>
  <c r="K111" i="2"/>
  <c r="H112" i="2"/>
  <c r="M112" i="2"/>
  <c r="K112" i="2"/>
  <c r="L112" i="2"/>
  <c r="C112" i="2"/>
  <c r="H113" i="2"/>
  <c r="M113" i="2"/>
  <c r="K113" i="2"/>
  <c r="L113" i="2"/>
  <c r="C113" i="2"/>
  <c r="M114" i="2"/>
  <c r="L114" i="2"/>
  <c r="K114" i="2"/>
  <c r="H114" i="2"/>
  <c r="C114" i="2"/>
  <c r="C115" i="2"/>
  <c r="M115" i="2"/>
  <c r="H115" i="2"/>
  <c r="K115" i="2"/>
  <c r="L115" i="2"/>
  <c r="M116" i="2"/>
  <c r="K116" i="2"/>
  <c r="C116" i="2"/>
  <c r="L116" i="2"/>
  <c r="H116" i="2"/>
  <c r="H117" i="2"/>
  <c r="C117" i="2"/>
  <c r="L117" i="2"/>
  <c r="K117" i="2"/>
  <c r="M117" i="2"/>
  <c r="C118" i="2"/>
  <c r="H118" i="2"/>
  <c r="K118" i="2"/>
  <c r="M118" i="2"/>
  <c r="L118" i="2"/>
  <c r="K119" i="2"/>
  <c r="M119" i="2"/>
  <c r="H119" i="2"/>
  <c r="L119" i="2"/>
  <c r="C119" i="2"/>
  <c r="M120" i="2"/>
  <c r="C120" i="2"/>
  <c r="K120" i="2"/>
  <c r="L120" i="2"/>
  <c r="H120" i="2"/>
  <c r="K121" i="2"/>
  <c r="L121" i="2"/>
  <c r="C121" i="2"/>
  <c r="H121" i="2"/>
  <c r="M121" i="2"/>
  <c r="H122" i="2"/>
  <c r="K122" i="2"/>
  <c r="L122" i="2"/>
  <c r="C122" i="2"/>
  <c r="M122" i="2"/>
  <c r="K123" i="2"/>
  <c r="H123" i="2"/>
  <c r="L123" i="2"/>
  <c r="M123" i="2"/>
  <c r="C123" i="2"/>
  <c r="K124" i="2"/>
  <c r="H124" i="2"/>
  <c r="L124" i="2"/>
  <c r="M124" i="2"/>
  <c r="C124" i="2"/>
  <c r="K125" i="2"/>
  <c r="L125" i="2"/>
  <c r="H125" i="2"/>
  <c r="M125" i="2"/>
  <c r="C125" i="2"/>
  <c r="K126" i="2"/>
  <c r="M126" i="2"/>
  <c r="L126" i="2"/>
  <c r="H126" i="2"/>
  <c r="C126" i="2"/>
  <c r="H127" i="2"/>
  <c r="K127" i="2"/>
  <c r="M127" i="2"/>
  <c r="L127" i="2"/>
  <c r="C127" i="2"/>
  <c r="L128" i="2"/>
  <c r="K128" i="2"/>
  <c r="M128" i="2"/>
  <c r="C128" i="2"/>
  <c r="H128" i="2"/>
  <c r="M129" i="2"/>
  <c r="K129" i="2"/>
  <c r="L129" i="2"/>
  <c r="H129" i="2"/>
  <c r="C129" i="2"/>
  <c r="H130" i="2"/>
  <c r="L130" i="2"/>
  <c r="M130" i="2"/>
  <c r="C130" i="2"/>
  <c r="K130" i="2"/>
  <c r="H131" i="2"/>
  <c r="L131" i="2"/>
  <c r="M131" i="2"/>
  <c r="K131" i="2"/>
  <c r="C131" i="2"/>
  <c r="H132" i="2"/>
  <c r="L132" i="2"/>
  <c r="M132" i="2"/>
  <c r="K132" i="2"/>
  <c r="C132" i="2"/>
  <c r="K133" i="2"/>
  <c r="C133" i="2"/>
  <c r="M133" i="2"/>
  <c r="L133" i="2"/>
  <c r="H133" i="2"/>
  <c r="M134" i="2"/>
  <c r="H134" i="2"/>
  <c r="K134" i="2"/>
  <c r="C134" i="2"/>
  <c r="L134" i="2"/>
  <c r="M135" i="2"/>
  <c r="H135" i="2"/>
  <c r="C135" i="2"/>
  <c r="K135" i="2"/>
  <c r="L135" i="2"/>
  <c r="C136" i="2"/>
  <c r="M136" i="2"/>
  <c r="H136" i="2"/>
  <c r="K136" i="2"/>
  <c r="L136" i="2"/>
  <c r="C137" i="2"/>
  <c r="H137" i="2"/>
  <c r="K137" i="2"/>
  <c r="M137" i="2"/>
  <c r="L137" i="2"/>
  <c r="H138" i="2"/>
  <c r="L138" i="2"/>
  <c r="M138" i="2"/>
  <c r="K138" i="2"/>
  <c r="C138" i="2"/>
  <c r="M139" i="2"/>
  <c r="K139" i="2"/>
  <c r="L139" i="2"/>
  <c r="C139" i="2"/>
  <c r="H139" i="2"/>
  <c r="H140" i="2"/>
  <c r="M140" i="2"/>
  <c r="K140" i="2"/>
  <c r="L140" i="2"/>
  <c r="C140" i="2"/>
  <c r="K141" i="2"/>
  <c r="M141" i="2"/>
  <c r="H141" i="2"/>
  <c r="L141" i="2"/>
  <c r="C141" i="2"/>
  <c r="M142" i="2"/>
  <c r="H142" i="2"/>
  <c r="K142" i="2"/>
  <c r="L142" i="2"/>
  <c r="C142" i="2"/>
  <c r="M143" i="2"/>
  <c r="H143" i="2"/>
  <c r="C143" i="2"/>
  <c r="L143" i="2"/>
  <c r="K143" i="2"/>
  <c r="M144" i="2"/>
  <c r="K144" i="2"/>
  <c r="H144" i="2"/>
  <c r="C144" i="2"/>
  <c r="L144" i="2"/>
  <c r="M145" i="2"/>
  <c r="H145" i="2"/>
  <c r="K145" i="2"/>
  <c r="L145" i="2"/>
  <c r="C145" i="2"/>
  <c r="H146" i="2"/>
  <c r="M146" i="2"/>
  <c r="K146" i="2"/>
  <c r="C146" i="2"/>
  <c r="L146" i="2"/>
  <c r="H147" i="2"/>
  <c r="M147" i="2"/>
  <c r="C147" i="2"/>
  <c r="L147" i="2"/>
  <c r="K147" i="2"/>
  <c r="M148" i="2"/>
  <c r="C148" i="2"/>
  <c r="L148" i="2"/>
  <c r="H148" i="2"/>
  <c r="K148" i="2"/>
  <c r="H149" i="2"/>
  <c r="C149" i="2"/>
  <c r="M149" i="2"/>
  <c r="L149" i="2"/>
  <c r="K149" i="2"/>
  <c r="M150" i="2"/>
  <c r="K150" i="2"/>
  <c r="H150" i="2"/>
  <c r="L150" i="2"/>
  <c r="C150" i="2"/>
  <c r="H151" i="2"/>
  <c r="M151" i="2"/>
  <c r="L151" i="2"/>
  <c r="K151" i="2"/>
  <c r="C151" i="2"/>
  <c r="C2" i="2"/>
  <c r="L2" i="2"/>
  <c r="K2" i="2"/>
  <c r="H2" i="2"/>
  <c r="M2" i="2"/>
  <c r="L9" i="1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<sst xmlns="http://schemas.openxmlformats.org/spreadsheetml/2006/main" count="290" uniqueCount="104">
  <si>
    <t>sepal_length</t>
  </si>
  <si>
    <t>sepal_width</t>
  </si>
  <si>
    <t>petal_length</t>
  </si>
  <si>
    <t>petal_width</t>
  </si>
  <si>
    <t>species</t>
  </si>
  <si>
    <t>setosa</t>
  </si>
  <si>
    <t>versicolor</t>
  </si>
  <si>
    <t>virginica</t>
  </si>
  <si>
    <t>IF CLASSIFICATION</t>
  </si>
  <si>
    <t>IFS CLASSIFICATION</t>
  </si>
  <si>
    <t>AND TEST</t>
  </si>
  <si>
    <t>OR TEST</t>
  </si>
  <si>
    <t>NOT TEST</t>
  </si>
  <si>
    <t>NESTED IF</t>
  </si>
  <si>
    <t>CHOOSE</t>
  </si>
  <si>
    <t>SWITCH</t>
  </si>
  <si>
    <t>ISERROR</t>
  </si>
  <si>
    <t>ISBLANK</t>
  </si>
  <si>
    <t>ISNUMBER</t>
  </si>
  <si>
    <t>Species</t>
  </si>
  <si>
    <t>Code</t>
  </si>
  <si>
    <t>test species</t>
  </si>
  <si>
    <t>Vlookup</t>
  </si>
  <si>
    <t>Xlookup</t>
  </si>
  <si>
    <t>Index-match</t>
  </si>
  <si>
    <t>Hlookup</t>
  </si>
  <si>
    <t>Largest Petal Length</t>
  </si>
  <si>
    <t>Smallest Petal Length</t>
  </si>
  <si>
    <t>Largest Petal Species</t>
  </si>
  <si>
    <t>Smallest Petal Species</t>
  </si>
  <si>
    <t>INDIRECT</t>
  </si>
  <si>
    <t>OFFSET</t>
  </si>
  <si>
    <t>Dynamic Species</t>
  </si>
  <si>
    <t>Dynamic array anlysis</t>
  </si>
  <si>
    <t>Unique species</t>
  </si>
  <si>
    <t>sorted sepal length</t>
  </si>
  <si>
    <t>Filtered setosa</t>
  </si>
  <si>
    <t>Petal lenth&gt;5</t>
  </si>
  <si>
    <t>Sequence</t>
  </si>
  <si>
    <t>SUMPRODUCT Analysis</t>
  </si>
  <si>
    <t>Setosa Petal Length Total</t>
  </si>
  <si>
    <t>Virginica Petal Width Tota</t>
  </si>
  <si>
    <t>Setosa Count</t>
  </si>
  <si>
    <t>Original Species</t>
  </si>
  <si>
    <t>TRIM</t>
  </si>
  <si>
    <t>CLEAN</t>
  </si>
  <si>
    <t>TRIM + CLEAN</t>
  </si>
  <si>
    <t>SUBSTITUTE</t>
  </si>
  <si>
    <t>Blank Check</t>
  </si>
  <si>
    <t>Duplicate Check</t>
  </si>
  <si>
    <t>DESCRIPTIVE STATISTICS</t>
  </si>
  <si>
    <t>Metric</t>
  </si>
  <si>
    <t>Sepal Length</t>
  </si>
  <si>
    <t>Sepal Width</t>
  </si>
  <si>
    <t>Petal Length</t>
  </si>
  <si>
    <t>Petal Width</t>
  </si>
  <si>
    <t>Mean</t>
  </si>
  <si>
    <t>Median</t>
  </si>
  <si>
    <t>Mode</t>
  </si>
  <si>
    <t>Variance</t>
  </si>
  <si>
    <t>Standard Deviation</t>
  </si>
  <si>
    <t>Minimum</t>
  </si>
  <si>
    <t>Maximum</t>
  </si>
  <si>
    <t>SPECIES ANALYSIS</t>
  </si>
  <si>
    <t>Count</t>
  </si>
  <si>
    <t>Avg Sepal Length</t>
  </si>
  <si>
    <t>Avg Sepal Width</t>
  </si>
  <si>
    <t>Avg Petal Length</t>
  </si>
  <si>
    <t>Avg Petal Width</t>
  </si>
  <si>
    <t>CORRELATION &amp; COVARIANCE</t>
  </si>
  <si>
    <t>Relationship</t>
  </si>
  <si>
    <t>Correlation</t>
  </si>
  <si>
    <t>Covariance</t>
  </si>
  <si>
    <t>Sepal Length vs Petal Length</t>
  </si>
  <si>
    <t>Sepal Width vs Petal Width</t>
  </si>
  <si>
    <t>Petal Length vs Petal Width</t>
  </si>
  <si>
    <t>REGRESSION ANALYSIS</t>
  </si>
  <si>
    <t>Independent Variable</t>
  </si>
  <si>
    <t>Dependent Variable</t>
  </si>
  <si>
    <t>Slope</t>
  </si>
  <si>
    <t>Intercept</t>
  </si>
  <si>
    <t>R-Squared</t>
  </si>
  <si>
    <t>Predicted Width at Petal Length = 4</t>
  </si>
  <si>
    <t>T-TEST</t>
  </si>
  <si>
    <t>Setosa Sepal Length</t>
  </si>
  <si>
    <t>Versicolor Sepal Length</t>
  </si>
  <si>
    <t>P-Value</t>
  </si>
  <si>
    <t>CHI-SQUARE TEST</t>
  </si>
  <si>
    <t>Small</t>
  </si>
  <si>
    <t>Medium</t>
  </si>
  <si>
    <t>Large</t>
  </si>
  <si>
    <t>Chi-Square P-Value</t>
  </si>
  <si>
    <t>SMALL</t>
  </si>
  <si>
    <t>MEDIUM</t>
  </si>
  <si>
    <t>LARGE</t>
  </si>
  <si>
    <t>Setosa</t>
  </si>
  <si>
    <t>Versicolor</t>
  </si>
  <si>
    <t>Virginica</t>
  </si>
  <si>
    <t>Row Labels</t>
  </si>
  <si>
    <t>Grand Total</t>
  </si>
  <si>
    <t>Sum of Avg Sepal Length</t>
  </si>
  <si>
    <t>Sum of Avg Sepal Width</t>
  </si>
  <si>
    <t>Sum of Avg Petal Length</t>
  </si>
  <si>
    <t>Sum of Avg Petal Width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</si>
</sst>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0" xfId="0" applyFill="1"/>
    <xf numFmtId="0" fontId="0" fillId="33" borderId="10" xfId="0" applyFill="1" applyBorder="1"/>
    <xf numFmtId="0" fontId="0" fillId="0" borderId="10" xfId="0" applyBorder="1"/>
    <xf numFmtId="0" fontId="0" fillId="34" borderId="0" xfId="0" applyFill="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[iris ANALYSED.xlsx]PIVOT!PivotTable3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AVG SEPAL LENGTH AGAINST SPECIES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PIVOT!$B$2:$B$5</c:f>
              <c:strCache>
                <c:ptCount val="3"/>
                <c:pt idx="0">
                  <c:v>setosa</c:v>
                </c:pt>
                <c:pt idx="1">
                  <c:v>versicolor</c:v>
                </c:pt>
                <c:pt idx="2">
                  <c:v>virginica</c:v>
                </c:pt>
              </c:strCache>
            </c:strRef>
          </c:cat>
          <c:val>
            <c:numRef>
              <c:f>PIVOT!$C$2:$C$5</c:f>
              <c:numCache>
                <c:formatCode>General</c:formatCode>
                <c:ptCount val="3"/>
                <c:pt idx="0">
                  <c:v>5.0059999999999993</c:v>
                </c:pt>
                <c:pt idx="1">
                  <c:v>5.9359999999999999</c:v>
                </c:pt>
                <c:pt idx="2">
                  <c:v>6.5879999999999983</c:v>
                </c:pt>
              </c:numCache>
            </c:numRef>
          </c:val>
          <c:extLst>
            <c:ext xmlns:c16="http://schemas.microsoft.com/office/drawing/2014/chart" uri="{C3380CC4-5D6E-409C-BE32-E72D297353CC}">
              <c16:uniqueId val="{00000000-E1F6-4ACC-A488-6F780A36CFBB}"/>
            </c:ext>
          </c:extLst>
        </c:ser>
        <c:dLbls>
          <c:dLblPos val="inEnd"/>
          <c:showLegendKey val="0"/>
          <c:showVal val="1"/>
          <c:showCatName val="0"/>
          <c:showSerName val="0"/>
          <c:showPercent val="0"/>
          <c:showBubbleSize val="0"/>
        </c:dLbls>
        <c:gapWidth val="65"/>
        <c:axId val="1640980576"/>
        <c:axId val="1510687376"/>
      </c:barChart>
      <c:catAx>
        <c:axId val="16409805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species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0687376"/>
        <c:crosses val="autoZero"/>
        <c:auto val="1"/>
        <c:lblAlgn val="ctr"/>
        <c:lblOffset val="100"/>
        <c:noMultiLvlLbl val="0"/>
      </c:catAx>
      <c:valAx>
        <c:axId val="1510687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Avg sepal length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6409805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[iris ANALYSED.xlsx]PIVOT!PivotTable5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PETAL LENGTH AGAINST SPECIES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PIVOT!$H$2:$H$5</c:f>
              <c:strCache>
                <c:ptCount val="3"/>
                <c:pt idx="0">
                  <c:v>setosa</c:v>
                </c:pt>
                <c:pt idx="1">
                  <c:v>versicolor</c:v>
                </c:pt>
                <c:pt idx="2">
                  <c:v>virginica</c:v>
                </c:pt>
              </c:strCache>
            </c:strRef>
          </c:cat>
          <c:val>
            <c:numRef>
              <c:f>PIVOT!$I$2:$I$5</c:f>
              <c:numCache>
                <c:formatCode>General</c:formatCode>
                <c:ptCount val="3"/>
                <c:pt idx="0">
                  <c:v>1.464</c:v>
                </c:pt>
                <c:pt idx="1">
                  <c:v>4.26</c:v>
                </c:pt>
                <c:pt idx="2">
                  <c:v>5.5519999999999996</c:v>
                </c:pt>
              </c:numCache>
            </c:numRef>
          </c:val>
          <c:extLst>
            <c:ext xmlns:c16="http://schemas.microsoft.com/office/drawing/2014/chart" uri="{C3380CC4-5D6E-409C-BE32-E72D297353CC}">
              <c16:uniqueId val="{00000000-BA5E-4AAE-8FC4-C59BE185CE6D}"/>
            </c:ext>
          </c:extLst>
        </c:ser>
        <c:dLbls>
          <c:dLblPos val="inEnd"/>
          <c:showLegendKey val="0"/>
          <c:showVal val="1"/>
          <c:showCatName val="0"/>
          <c:showSerName val="0"/>
          <c:showPercent val="0"/>
          <c:showBubbleSize val="0"/>
        </c:dLbls>
        <c:gapWidth val="65"/>
        <c:axId val="1631958128"/>
        <c:axId val="1510662416"/>
      </c:barChart>
      <c:catAx>
        <c:axId val="16319581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SPECIES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0662416"/>
        <c:crosses val="autoZero"/>
        <c:auto val="1"/>
        <c:lblAlgn val="ctr"/>
        <c:lblOffset val="100"/>
        <c:noMultiLvlLbl val="0"/>
      </c:catAx>
      <c:valAx>
        <c:axId val="15106624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AVG PETAL LENGTH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6319581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[iris ANALYSED.xlsx]PIVOT!PivotTable6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PETAL WIDTH AGAINST SPECIES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PIVOT!$A$20:$A$23</c:f>
              <c:strCache>
                <c:ptCount val="3"/>
                <c:pt idx="0">
                  <c:v>setosa</c:v>
                </c:pt>
                <c:pt idx="1">
                  <c:v>versicolor</c:v>
                </c:pt>
                <c:pt idx="2">
                  <c:v>virginica</c:v>
                </c:pt>
              </c:strCache>
            </c:strRef>
          </c:cat>
          <c:val>
            <c:numRef>
              <c:f>PIVOT!$B$20:$B$23</c:f>
              <c:numCache>
                <c:formatCode>General</c:formatCode>
                <c:ptCount val="3"/>
                <c:pt idx="0">
                  <c:v>0.24399999999999991</c:v>
                </c:pt>
                <c:pt idx="1">
                  <c:v>1.3259999999999998</c:v>
                </c:pt>
                <c:pt idx="2">
                  <c:v>2.0259999999999998</c:v>
                </c:pt>
              </c:numCache>
            </c:numRef>
          </c:val>
          <c:extLst>
            <c:ext xmlns:c16="http://schemas.microsoft.com/office/drawing/2014/chart" uri="{C3380CC4-5D6E-409C-BE32-E72D297353CC}">
              <c16:uniqueId val="{00000000-E044-4D9A-9368-AC7A6956C0F2}"/>
            </c:ext>
          </c:extLst>
        </c:ser>
        <c:dLbls>
          <c:dLblPos val="inEnd"/>
          <c:showLegendKey val="0"/>
          <c:showVal val="1"/>
          <c:showCatName val="0"/>
          <c:showSerName val="0"/>
          <c:showPercent val="0"/>
          <c:showBubbleSize val="0"/>
        </c:dLbls>
        <c:gapWidth val="65"/>
        <c:axId val="80394176"/>
        <c:axId val="1510693616"/>
      </c:barChart>
      <c:catAx>
        <c:axId val="803941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0693616"/>
        <c:crosses val="autoZero"/>
        <c:auto val="1"/>
        <c:lblAlgn val="ctr"/>
        <c:lblOffset val="100"/>
        <c:noMultiLvlLbl val="0"/>
      </c:catAx>
      <c:valAx>
        <c:axId val="15106936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0394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[iris ANALYSED.xlsx]PIVOT!PivotTable4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SEPAL WIDTH ACROSS SPECIES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E6-4E63-A207-0448BAC7C3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E6-4E63-A207-0448BAC7C3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E6-4E63-A207-0448BAC7C3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PIVOT!$E$2:$E$5</c:f>
              <c:strCache>
                <c:ptCount val="3"/>
                <c:pt idx="0">
                  <c:v>setosa</c:v>
                </c:pt>
                <c:pt idx="1">
                  <c:v>versicolor</c:v>
                </c:pt>
                <c:pt idx="2">
                  <c:v>virginica</c:v>
                </c:pt>
              </c:strCache>
            </c:strRef>
          </c:cat>
          <c:val>
            <c:numRef>
              <c:f>PIVOT!$F$2:$F$5</c:f>
              <c:numCache>
                <c:formatCode>General</c:formatCode>
                <c:ptCount val="3"/>
                <c:pt idx="0">
                  <c:v>3.4180000000000006</c:v>
                </c:pt>
                <c:pt idx="1">
                  <c:v>2.7700000000000005</c:v>
                </c:pt>
                <c:pt idx="2">
                  <c:v>2.9739999999999998</c:v>
                </c:pt>
              </c:numCache>
            </c:numRef>
          </c:val>
          <c:extLst>
            <c:ext xmlns:c16="http://schemas.microsoft.com/office/drawing/2014/chart" uri="{C3380CC4-5D6E-409C-BE32-E72D297353CC}">
              <c16:uniqueId val="{00000006-11E6-4E63-A207-0448BAC7C3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123825</xdr:rowOff>
    </xdr:from>
    <xdr:to>
      <xdr:col>2</xdr:col>
      <xdr:colOff>76200</xdr:colOff>
      <xdr:row>13</xdr:row>
      <xdr:rowOff>57150</xdr:rowOff>
    </xdr:to>
    <mc:AlternateContent xmlns:mc="http://schemas.openxmlformats.org/markup-compatibility/2006" xmlns:a14="http://schemas.microsoft.com/office/drawing/2010/main">
      <mc:Choice Requires="a14">
        <xdr:graphicFrame macro="">
          <xdr:nvGraphicFramePr>
            <xdr:cNvPr id="6" name="Species">
              <a:extLst>
                <a:ext uri="{FF2B5EF4-FFF2-40B4-BE49-F238E27FC236}">
                  <a16:creationId xmlns:a16="http://schemas.microsoft.com/office/drawing/2014/main" id="{9A1499CF-8F91-34BA-D876-3D6E71E551C3}"/>
                </a:ext>
              </a:extLst>
            </xdr:cNvPr>
            <xdr:cNvGraphicFramePr/>
          </xdr:nvGraphicFramePr>
          <xdr:xfrm>
            <a:off x="0" y="0"/>
            <a:ext cx="0" cy="0"/>
          </xdr:xfrm>
          <a:graphic>
            <a:graphicData uri="http://schemas.microsoft.com/office/drawing/2010/slicer">
              <sle:slicer xmlns:sle="http://schemas.microsoft.com/office/drawing/2010/slicer" name="Species"/>
            </a:graphicData>
          </a:graphic>
        </xdr:graphicFrame>
      </mc:Choice>
      <mc:Fallback xmlns="">
        <xdr:sp macro="" textlink="">
          <xdr:nvSpPr>
            <xdr:cNvPr id="0" name=""/>
            <xdr:cNvSpPr>
              <a:spLocks noTextEdit="1"/>
            </xdr:cNvSpPr>
          </xdr:nvSpPr>
          <xdr:spPr>
            <a:xfrm>
              <a:off x="0" y="1266825"/>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390524</xdr:colOff>
      <xdr:row>1</xdr:row>
      <xdr:rowOff>1</xdr:rowOff>
    </xdr:from>
    <xdr:to>
      <xdr:col>15</xdr:col>
      <xdr:colOff>438149</xdr:colOff>
      <xdr:row>7</xdr:row>
      <xdr:rowOff>28575</xdr:rowOff>
    </xdr:to>
    <xdr:sp macro="" textlink="">
      <xdr:nvSpPr>
        <xdr:cNvPr id="2" name="Rectangle: Rounded Corners 1">
          <a:extLst>
            <a:ext uri="{FF2B5EF4-FFF2-40B4-BE49-F238E27FC236}">
              <a16:creationId xmlns:a16="http://schemas.microsoft.com/office/drawing/2014/main" id="{49E9A1C9-3490-1EA1-783D-B338829537AC}"/>
            </a:ext>
          </a:extLst>
        </xdr:cNvPr>
        <xdr:cNvSpPr/>
      </xdr:nvSpPr>
      <xdr:spPr>
        <a:xfrm>
          <a:off x="7096124" y="190501"/>
          <a:ext cx="2486025" cy="1171574"/>
        </a:xfrm>
        <a:prstGeom prst="roundRect">
          <a:avLst/>
        </a:prstGeom>
        <a:solidFill>
          <a:schemeClr val="tx2">
            <a:lumMod val="20000"/>
            <a:lumOff val="80000"/>
          </a:schemeClr>
        </a:solidFill>
        <a:ln>
          <a:solidFill>
            <a:schemeClr val="accent6">
              <a:lumMod val="50000"/>
            </a:schemeClr>
          </a:solidFill>
        </a:ln>
        <a:effectLst>
          <a:outerShdw blurRad="107950" dist="12700" dir="5400000" algn="ctr">
            <a:srgbClr val="000000"/>
          </a:outerShdw>
        </a:effectLst>
        <a:scene3d>
          <a:camera prst="obliqueTopRight"/>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i="0" u="none" strike="noStrike">
              <a:solidFill>
                <a:srgbClr val="FF0000"/>
              </a:solidFill>
              <a:effectLst/>
              <a:latin typeface="+mn-lt"/>
              <a:ea typeface="+mn-ea"/>
              <a:cs typeface="+mn-cs"/>
            </a:rPr>
            <a:t>Mean</a:t>
          </a:r>
        </a:p>
        <a:p>
          <a:pPr algn="l"/>
          <a:r>
            <a:rPr lang="en-US" sz="1200" b="1" i="0" u="none" strike="noStrike">
              <a:solidFill>
                <a:schemeClr val="accent1">
                  <a:lumMod val="75000"/>
                </a:schemeClr>
              </a:solidFill>
              <a:effectLst/>
              <a:latin typeface="+mn-lt"/>
              <a:ea typeface="+mn-ea"/>
              <a:cs typeface="+mn-cs"/>
            </a:rPr>
            <a:t>Sepal Length = </a:t>
          </a:r>
          <a:r>
            <a:rPr lang="en-US" sz="1100" b="0" i="0" u="none" strike="noStrike">
              <a:solidFill>
                <a:schemeClr val="dk1"/>
              </a:solidFill>
              <a:effectLst/>
              <a:latin typeface="+mn-lt"/>
              <a:ea typeface="+mn-ea"/>
              <a:cs typeface="+mn-cs"/>
            </a:rPr>
            <a:t>5.8433</a:t>
          </a:r>
          <a:r>
            <a:rPr lang="en-US" sz="1200" b="1">
              <a:solidFill>
                <a:schemeClr val="accent1">
                  <a:lumMod val="75000"/>
                </a:schemeClr>
              </a:solidFill>
              <a:effectLst/>
            </a:rPr>
            <a:t> </a:t>
          </a:r>
        </a:p>
        <a:p>
          <a:pPr algn="l"/>
          <a:r>
            <a:rPr lang="en-US" sz="1200" b="1" i="0" u="none" strike="noStrike">
              <a:solidFill>
                <a:schemeClr val="accent1">
                  <a:lumMod val="75000"/>
                </a:schemeClr>
              </a:solidFill>
              <a:effectLst/>
              <a:latin typeface="+mn-lt"/>
              <a:ea typeface="+mn-ea"/>
              <a:cs typeface="+mn-cs"/>
            </a:rPr>
            <a:t>Sepal Width = </a:t>
          </a:r>
          <a:r>
            <a:rPr lang="en-US" sz="1100" b="0" i="0" u="none" strike="noStrike">
              <a:solidFill>
                <a:schemeClr val="dk1"/>
              </a:solidFill>
              <a:effectLst/>
              <a:latin typeface="+mn-lt"/>
              <a:ea typeface="+mn-ea"/>
              <a:cs typeface="+mn-cs"/>
            </a:rPr>
            <a:t>3.054</a:t>
          </a:r>
          <a:r>
            <a:rPr lang="en-US" sz="1200">
              <a:effectLst/>
            </a:rPr>
            <a:t> </a:t>
          </a:r>
          <a:endParaRPr lang="en-US" sz="1200" b="1" i="0" u="none" strike="noStrike">
            <a:solidFill>
              <a:schemeClr val="accent1">
                <a:lumMod val="75000"/>
              </a:schemeClr>
            </a:solidFill>
            <a:effectLst/>
            <a:latin typeface="+mn-lt"/>
            <a:ea typeface="+mn-ea"/>
            <a:cs typeface="+mn-cs"/>
          </a:endParaRPr>
        </a:p>
        <a:p>
          <a:pPr algn="l"/>
          <a:r>
            <a:rPr lang="en-US" sz="1200" b="1" i="0" u="none" strike="noStrike">
              <a:solidFill>
                <a:schemeClr val="accent1">
                  <a:lumMod val="75000"/>
                </a:schemeClr>
              </a:solidFill>
              <a:effectLst/>
              <a:latin typeface="+mn-lt"/>
              <a:ea typeface="+mn-ea"/>
              <a:cs typeface="+mn-cs"/>
            </a:rPr>
            <a:t>Petal Length = </a:t>
          </a:r>
          <a:r>
            <a:rPr lang="en-US" sz="1100" b="0" i="0" u="none" strike="noStrike">
              <a:solidFill>
                <a:schemeClr val="dk1"/>
              </a:solidFill>
              <a:effectLst/>
              <a:latin typeface="+mn-lt"/>
              <a:ea typeface="+mn-ea"/>
              <a:cs typeface="+mn-cs"/>
            </a:rPr>
            <a:t>3.75866</a:t>
          </a:r>
          <a:r>
            <a:rPr lang="en-US" sz="1200" b="1">
              <a:solidFill>
                <a:schemeClr val="accent1">
                  <a:lumMod val="75000"/>
                </a:schemeClr>
              </a:solidFill>
              <a:effectLst/>
            </a:rPr>
            <a:t> </a:t>
          </a:r>
        </a:p>
        <a:p>
          <a:pPr algn="l"/>
          <a:r>
            <a:rPr lang="en-US" sz="1200" b="1" i="0" u="none" strike="noStrike">
              <a:solidFill>
                <a:schemeClr val="accent1">
                  <a:lumMod val="75000"/>
                </a:schemeClr>
              </a:solidFill>
              <a:effectLst/>
              <a:latin typeface="+mn-lt"/>
              <a:ea typeface="+mn-ea"/>
              <a:cs typeface="+mn-cs"/>
            </a:rPr>
            <a:t>Petal Width</a:t>
          </a:r>
          <a:r>
            <a:rPr lang="en-US" sz="1200" b="1">
              <a:solidFill>
                <a:schemeClr val="accent1">
                  <a:lumMod val="75000"/>
                </a:schemeClr>
              </a:solidFill>
              <a:effectLst/>
            </a:rPr>
            <a:t>  = </a:t>
          </a:r>
          <a:r>
            <a:rPr lang="en-US" sz="1100" b="0" i="0" u="none" strike="noStrike">
              <a:solidFill>
                <a:schemeClr val="dk1"/>
              </a:solidFill>
              <a:effectLst/>
              <a:latin typeface="+mn-lt"/>
              <a:ea typeface="+mn-ea"/>
              <a:cs typeface="+mn-cs"/>
            </a:rPr>
            <a:t>1.19866</a:t>
          </a:r>
          <a:r>
            <a:rPr lang="en-US" sz="1200" b="1">
              <a:solidFill>
                <a:schemeClr val="accent1">
                  <a:lumMod val="75000"/>
                </a:schemeClr>
              </a:solidFill>
              <a:effectLst/>
            </a:rPr>
            <a:t>                                   </a:t>
          </a:r>
          <a:endParaRPr lang="en-US" sz="1200" b="1">
            <a:solidFill>
              <a:schemeClr val="accent1">
                <a:lumMod val="75000"/>
              </a:schemeClr>
            </a:solidFill>
          </a:endParaRPr>
        </a:p>
      </xdr:txBody>
    </xdr:sp>
    <xdr:clientData/>
  </xdr:twoCellAnchor>
  <xdr:twoCellAnchor>
    <xdr:from>
      <xdr:col>3</xdr:col>
      <xdr:colOff>419099</xdr:colOff>
      <xdr:row>0</xdr:row>
      <xdr:rowOff>142874</xdr:rowOff>
    </xdr:from>
    <xdr:to>
      <xdr:col>6</xdr:col>
      <xdr:colOff>581024</xdr:colOff>
      <xdr:row>6</xdr:row>
      <xdr:rowOff>152399</xdr:rowOff>
    </xdr:to>
    <xdr:sp macro="" textlink="">
      <xdr:nvSpPr>
        <xdr:cNvPr id="9" name="Rectangle: Rounded Corners 8">
          <a:extLst>
            <a:ext uri="{FF2B5EF4-FFF2-40B4-BE49-F238E27FC236}">
              <a16:creationId xmlns:a16="http://schemas.microsoft.com/office/drawing/2014/main" id="{F6B508B2-3F6C-4DCF-BFBC-1F580D990584}"/>
            </a:ext>
          </a:extLst>
        </xdr:cNvPr>
        <xdr:cNvSpPr/>
      </xdr:nvSpPr>
      <xdr:spPr>
        <a:xfrm>
          <a:off x="2247899" y="142874"/>
          <a:ext cx="1990725" cy="1152525"/>
        </a:xfrm>
        <a:prstGeom prst="roundRect">
          <a:avLst/>
        </a:prstGeom>
        <a:solidFill>
          <a:schemeClr val="tx2">
            <a:lumMod val="20000"/>
            <a:lumOff val="80000"/>
          </a:schemeClr>
        </a:solidFill>
        <a:ln w="12700" cap="flat" cmpd="sng" algn="ctr">
          <a:solidFill>
            <a:srgbClr val="70AD47">
              <a:lumMod val="50000"/>
            </a:srgbClr>
          </a:solidFill>
          <a:prstDash val="solid"/>
          <a:miter lim="800000"/>
        </a:ln>
        <a:effectLst>
          <a:outerShdw blurRad="107950" dist="12700" dir="5400000" algn="ctr">
            <a:srgbClr val="000000"/>
          </a:outerShdw>
        </a:effectLst>
        <a:scene3d>
          <a:camera prst="obliqueTopRight"/>
          <a:lightRig rig="soft" dir="t">
            <a:rot lat="0" lon="0" rev="0"/>
          </a:lightRig>
        </a:scene3d>
        <a:sp3d contourW="44450" prstMaterial="matte">
          <a:bevelT w="63500" h="63500" prst="artDeco"/>
          <a:contourClr>
            <a:srgbClr val="FFFFFF"/>
          </a:contourClr>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0" i="0" u="none" strike="noStrike">
              <a:solidFill>
                <a:srgbClr val="FF0000"/>
              </a:solidFill>
              <a:effectLst/>
              <a:latin typeface="+mn-lt"/>
              <a:ea typeface="+mn-ea"/>
              <a:cs typeface="+mn-cs"/>
            </a:rPr>
            <a:t>Largest Petal Length</a:t>
          </a:r>
          <a:r>
            <a:rPr lang="en-US" sz="1600">
              <a:solidFill>
                <a:srgbClr val="FF0000"/>
              </a:solidFill>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baseline="0">
              <a:solidFill>
                <a:srgbClr val="FF0000"/>
              </a:solidFill>
              <a:effectLst/>
              <a:latin typeface="+mn-lt"/>
              <a:ea typeface="+mn-ea"/>
              <a:cs typeface="+mn-cs"/>
            </a:rPr>
            <a:t>          </a:t>
          </a:r>
          <a:r>
            <a:rPr lang="en-US" sz="2800" b="0" i="0" u="none" strike="noStrike">
              <a:solidFill>
                <a:schemeClr val="accent1">
                  <a:lumMod val="75000"/>
                </a:schemeClr>
              </a:solidFill>
              <a:effectLst/>
              <a:latin typeface="+mn-lt"/>
              <a:ea typeface="+mn-ea"/>
              <a:cs typeface="+mn-cs"/>
            </a:rPr>
            <a:t>6.9</a:t>
          </a:r>
          <a:r>
            <a:rPr lang="en-US" sz="1400">
              <a:effectLst/>
            </a:rPr>
            <a:t> </a:t>
          </a:r>
          <a:endParaRPr kumimoji="0" lang="en-US" sz="1400" b="0" i="0" u="none" strike="noStrike" kern="0" cap="none" spc="0" normalizeH="0" baseline="0" noProof="0">
            <a:ln>
              <a:noFill/>
            </a:ln>
            <a:solidFill>
              <a:srgbClr val="FF0000"/>
            </a:solidFill>
            <a:effectLst/>
            <a:uLnTx/>
            <a:uFillTx/>
            <a:latin typeface="Calibri" panose="020F0502020204030204"/>
            <a:ea typeface="+mn-ea"/>
            <a:cs typeface="+mn-cs"/>
          </a:endParaRPr>
        </a:p>
      </xdr:txBody>
    </xdr:sp>
    <xdr:clientData/>
  </xdr:twoCellAnchor>
  <xdr:twoCellAnchor>
    <xdr:from>
      <xdr:col>7</xdr:col>
      <xdr:colOff>180974</xdr:colOff>
      <xdr:row>0</xdr:row>
      <xdr:rowOff>152399</xdr:rowOff>
    </xdr:from>
    <xdr:to>
      <xdr:col>11</xdr:col>
      <xdr:colOff>47625</xdr:colOff>
      <xdr:row>6</xdr:row>
      <xdr:rowOff>152400</xdr:rowOff>
    </xdr:to>
    <xdr:sp macro="" textlink="">
      <xdr:nvSpPr>
        <xdr:cNvPr id="11" name="Rectangle: Rounded Corners 10">
          <a:extLst>
            <a:ext uri="{FF2B5EF4-FFF2-40B4-BE49-F238E27FC236}">
              <a16:creationId xmlns:a16="http://schemas.microsoft.com/office/drawing/2014/main" id="{95C9A350-6315-4D49-96EA-F71071738214}"/>
            </a:ext>
          </a:extLst>
        </xdr:cNvPr>
        <xdr:cNvSpPr/>
      </xdr:nvSpPr>
      <xdr:spPr>
        <a:xfrm>
          <a:off x="4448174" y="152399"/>
          <a:ext cx="2305051" cy="1143001"/>
        </a:xfrm>
        <a:prstGeom prst="roundRect">
          <a:avLst/>
        </a:prstGeom>
        <a:solidFill>
          <a:schemeClr val="tx2">
            <a:lumMod val="20000"/>
            <a:lumOff val="80000"/>
          </a:schemeClr>
        </a:solidFill>
        <a:ln w="12700" cap="flat" cmpd="sng" algn="ctr">
          <a:solidFill>
            <a:srgbClr val="70AD47">
              <a:lumMod val="50000"/>
            </a:srgbClr>
          </a:solidFill>
          <a:prstDash val="solid"/>
          <a:miter lim="800000"/>
        </a:ln>
        <a:effectLst>
          <a:outerShdw blurRad="107950" dist="12700" dir="5400000" algn="ctr">
            <a:srgbClr val="000000"/>
          </a:outerShdw>
        </a:effectLst>
        <a:scene3d>
          <a:camera prst="obliqueTopRight"/>
          <a:lightRig rig="soft" dir="t">
            <a:rot lat="0" lon="0" rev="0"/>
          </a:lightRig>
        </a:scene3d>
        <a:sp3d contourW="44450" prstMaterial="matte">
          <a:bevelT w="63500" h="63500" prst="artDeco"/>
          <a:contourClr>
            <a:srgbClr val="FFFFFF"/>
          </a:contourClr>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0" i="0" u="none" strike="noStrike">
              <a:solidFill>
                <a:srgbClr val="FF0000"/>
              </a:solidFill>
              <a:effectLst/>
              <a:latin typeface="+mn-lt"/>
              <a:ea typeface="+mn-ea"/>
              <a:cs typeface="+mn-cs"/>
            </a:rPr>
            <a:t>Smallest Petal Length</a:t>
          </a:r>
          <a:r>
            <a:rPr lang="en-US" sz="1800">
              <a:solidFill>
                <a:srgbClr val="FF0000"/>
              </a:solidFill>
              <a:effectLst/>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FF0000"/>
              </a:solidFill>
              <a:effectLst/>
              <a:uLnTx/>
              <a:uFillTx/>
              <a:latin typeface="Calibri" panose="020F0502020204030204"/>
              <a:ea typeface="+mn-ea"/>
              <a:cs typeface="+mn-cs"/>
            </a:rPr>
            <a:t>                 </a:t>
          </a:r>
          <a:r>
            <a:rPr kumimoji="0" lang="en-US" sz="2400" b="0" i="0" u="none" strike="noStrike" kern="0" cap="none" spc="0" normalizeH="0" baseline="0" noProof="0">
              <a:ln>
                <a:noFill/>
              </a:ln>
              <a:solidFill>
                <a:schemeClr val="accent1">
                  <a:lumMod val="75000"/>
                </a:schemeClr>
              </a:solidFill>
              <a:effectLst/>
              <a:uLnTx/>
              <a:uFillTx/>
              <a:latin typeface="Calibri" panose="020F0502020204030204"/>
              <a:ea typeface="+mn-ea"/>
              <a:cs typeface="+mn-cs"/>
            </a:rPr>
            <a:t>1</a:t>
          </a:r>
        </a:p>
      </xdr:txBody>
    </xdr:sp>
    <xdr:clientData/>
  </xdr:twoCellAnchor>
  <xdr:twoCellAnchor>
    <xdr:from>
      <xdr:col>0</xdr:col>
      <xdr:colOff>161925</xdr:colOff>
      <xdr:row>0</xdr:row>
      <xdr:rowOff>152399</xdr:rowOff>
    </xdr:from>
    <xdr:to>
      <xdr:col>3</xdr:col>
      <xdr:colOff>257175</xdr:colOff>
      <xdr:row>6</xdr:row>
      <xdr:rowOff>161924</xdr:rowOff>
    </xdr:to>
    <xdr:sp macro="" textlink="">
      <xdr:nvSpPr>
        <xdr:cNvPr id="12" name="Rectangle: Rounded Corners 11">
          <a:extLst>
            <a:ext uri="{FF2B5EF4-FFF2-40B4-BE49-F238E27FC236}">
              <a16:creationId xmlns:a16="http://schemas.microsoft.com/office/drawing/2014/main" id="{7C9251A3-2E40-4618-BDBB-06B5B0AC175A}"/>
            </a:ext>
          </a:extLst>
        </xdr:cNvPr>
        <xdr:cNvSpPr/>
      </xdr:nvSpPr>
      <xdr:spPr>
        <a:xfrm>
          <a:off x="161925" y="152399"/>
          <a:ext cx="1924050" cy="1152525"/>
        </a:xfrm>
        <a:prstGeom prst="roundRect">
          <a:avLst/>
        </a:prstGeom>
        <a:solidFill>
          <a:schemeClr val="tx2">
            <a:lumMod val="20000"/>
            <a:lumOff val="80000"/>
          </a:schemeClr>
        </a:solidFill>
        <a:ln w="12700" cap="flat" cmpd="sng" algn="ctr">
          <a:solidFill>
            <a:srgbClr val="70AD47">
              <a:lumMod val="50000"/>
            </a:srgbClr>
          </a:solidFill>
          <a:prstDash val="solid"/>
          <a:miter lim="800000"/>
        </a:ln>
        <a:effectLst>
          <a:outerShdw blurRad="107950" dist="12700" dir="5400000" algn="ctr">
            <a:srgbClr val="000000"/>
          </a:outerShdw>
        </a:effectLst>
        <a:scene3d>
          <a:camera prst="obliqueTopRight"/>
          <a:lightRig rig="soft" dir="t">
            <a:rot lat="0" lon="0" rev="0"/>
          </a:lightRig>
        </a:scene3d>
        <a:sp3d contourW="44450" prstMaterial="matte">
          <a:bevelT w="63500" h="63500" prst="artDeco"/>
          <a:contourClr>
            <a:srgbClr val="FFFFFF"/>
          </a:contourClr>
        </a:sp3d>
      </xdr:spPr>
      <xdr:txBody>
        <a:bodyPr vertOverflow="clip" horzOverflow="clip" rtlCol="0" anchor="t"/>
        <a:lstStyle/>
        <a:p>
          <a:r>
            <a:rPr lang="en-US" sz="1400" b="0" i="0" u="none" strike="noStrike">
              <a:solidFill>
                <a:srgbClr val="FF0000"/>
              </a:solidFill>
              <a:effectLst/>
              <a:latin typeface="+mn-lt"/>
              <a:ea typeface="+mn-ea"/>
              <a:cs typeface="+mn-cs"/>
            </a:rPr>
            <a:t>Species</a:t>
          </a:r>
          <a:r>
            <a:rPr lang="en-US" sz="1400">
              <a:solidFill>
                <a:srgbClr val="FF0000"/>
              </a:solidFill>
              <a:effectLst/>
            </a:rPr>
            <a:t> </a:t>
          </a:r>
        </a:p>
        <a:p>
          <a:r>
            <a:rPr lang="en-US" sz="1400" b="1" i="0" u="none" strike="noStrike">
              <a:solidFill>
                <a:schemeClr val="accent1">
                  <a:lumMod val="75000"/>
                </a:schemeClr>
              </a:solidFill>
              <a:effectLst/>
              <a:latin typeface="+mn-lt"/>
              <a:ea typeface="+mn-ea"/>
              <a:cs typeface="+mn-cs"/>
            </a:rPr>
            <a:t>setosa</a:t>
          </a:r>
          <a:r>
            <a:rPr lang="en-US" sz="1400" b="1">
              <a:solidFill>
                <a:schemeClr val="accent1">
                  <a:lumMod val="75000"/>
                </a:schemeClr>
              </a:solidFill>
              <a:effectLst/>
            </a:rPr>
            <a:t>   = 50</a:t>
          </a:r>
        </a:p>
        <a:p>
          <a:r>
            <a:rPr lang="en-US" sz="1400" b="1" i="0" u="none" strike="noStrike">
              <a:solidFill>
                <a:schemeClr val="accent1">
                  <a:lumMod val="75000"/>
                </a:schemeClr>
              </a:solidFill>
              <a:effectLst/>
              <a:latin typeface="+mn-lt"/>
              <a:ea typeface="+mn-ea"/>
              <a:cs typeface="+mn-cs"/>
            </a:rPr>
            <a:t>versicolor</a:t>
          </a:r>
          <a:r>
            <a:rPr lang="en-US" sz="1400" b="1">
              <a:solidFill>
                <a:schemeClr val="accent1">
                  <a:lumMod val="75000"/>
                </a:schemeClr>
              </a:solidFill>
              <a:effectLst/>
            </a:rPr>
            <a:t> = 50</a:t>
          </a:r>
        </a:p>
        <a:p>
          <a:r>
            <a:rPr lang="en-US" sz="1400" b="1" i="0" u="none" strike="noStrike">
              <a:solidFill>
                <a:schemeClr val="accent1">
                  <a:lumMod val="75000"/>
                </a:schemeClr>
              </a:solidFill>
              <a:effectLst/>
              <a:latin typeface="+mn-lt"/>
              <a:ea typeface="+mn-ea"/>
              <a:cs typeface="+mn-cs"/>
            </a:rPr>
            <a:t>virginica</a:t>
          </a:r>
          <a:r>
            <a:rPr lang="en-US" sz="1400" b="1">
              <a:solidFill>
                <a:schemeClr val="accent1">
                  <a:lumMod val="75000"/>
                </a:schemeClr>
              </a:solidFill>
              <a:effectLst/>
            </a:rPr>
            <a:t> = 50</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xdr:from>
      <xdr:col>0</xdr:col>
      <xdr:colOff>0</xdr:colOff>
      <xdr:row>8</xdr:row>
      <xdr:rowOff>123825</xdr:rowOff>
    </xdr:from>
    <xdr:to>
      <xdr:col>5</xdr:col>
      <xdr:colOff>180974</xdr:colOff>
      <xdr:row>23</xdr:row>
      <xdr:rowOff>161925</xdr:rowOff>
    </xdr:to>
    <xdr:graphicFrame macro="">
      <xdr:nvGraphicFramePr>
        <xdr:cNvPr id="13" name="Chart 12">
          <a:extLst>
            <a:ext uri="{FF2B5EF4-FFF2-40B4-BE49-F238E27FC236}">
              <a16:creationId xmlns:a16="http://schemas.microsoft.com/office/drawing/2014/main" id="{34C0CAB6-F8D9-4944-91FE-7923A0F3E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114300</xdr:rowOff>
    </xdr:from>
    <xdr:to>
      <xdr:col>11</xdr:col>
      <xdr:colOff>342900</xdr:colOff>
      <xdr:row>23</xdr:row>
      <xdr:rowOff>152400</xdr:rowOff>
    </xdr:to>
    <xdr:graphicFrame macro="">
      <xdr:nvGraphicFramePr>
        <xdr:cNvPr id="15" name="Chart 14">
          <a:extLst>
            <a:ext uri="{FF2B5EF4-FFF2-40B4-BE49-F238E27FC236}">
              <a16:creationId xmlns:a16="http://schemas.microsoft.com/office/drawing/2014/main" id="{C783F0F6-9FFC-4253-972F-98A2C0F1B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114299</xdr:colOff>
      <xdr:row>25</xdr:row>
      <xdr:rowOff>76200</xdr:rowOff>
    </xdr:from>
    <xdr:to>
      <xdr:col>5</xdr:col>
      <xdr:colOff>238124</xdr:colOff>
      <xdr:row>38</xdr:row>
      <xdr:rowOff>19050</xdr:rowOff>
    </xdr:to>
    <xdr:graphicFrame macro="">
      <xdr:nvGraphicFramePr>
        <xdr:cNvPr id="16" name="Chart 15">
          <a:extLst>
            <a:ext uri="{FF2B5EF4-FFF2-40B4-BE49-F238E27FC236}">
              <a16:creationId xmlns:a16="http://schemas.microsoft.com/office/drawing/2014/main" id="{D4355544-C3BC-4427-B8E5-AFEA7013B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533400</xdr:colOff>
      <xdr:row>25</xdr:row>
      <xdr:rowOff>85725</xdr:rowOff>
    </xdr:from>
    <xdr:to>
      <xdr:col>11</xdr:col>
      <xdr:colOff>504825</xdr:colOff>
      <xdr:row>39</xdr:row>
      <xdr:rowOff>38100</xdr:rowOff>
    </xdr:to>
    <xdr:graphicFrame macro="">
      <xdr:nvGraphicFramePr>
        <xdr:cNvPr id="3" name="Chart 2">
          <a:extLst>
            <a:ext uri="{FF2B5EF4-FFF2-40B4-BE49-F238E27FC236}">
              <a16:creationId xmlns:a16="http://schemas.microsoft.com/office/drawing/2014/main" id="{C711EC53-DAC7-40BA-9000-5289F35DD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4RAW_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4RAW_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5.500768981481" createdVersion="8" refreshedVersion="8" minRefreshableVersion="3" recordCount="150" xr:uid="{BC5C6EEF-A1EE-44C2-B738-43652E9C82B7}">
  <cacheSource type="worksheet">
    <worksheetSource ref="A1:E151" sheet="RAW_DATA"/>
  </cacheSource>
  <cacheFields count="5">
    <cacheField name="sepal_length" numFmtId="0">
      <sharedItems containsSemiMixedTypes="0" containsString="0" containsNumber="1" minValue="4.3" maxValue="7.9"/>
    </cacheField>
    <cacheField name="sepal_width" numFmtId="0">
      <sharedItems containsSemiMixedTypes="0" containsString="0" containsNumber="1" minValue="2" maxValue="4.4000000000000004"/>
    </cacheField>
    <cacheField name="petal_length" numFmtId="0">
      <sharedItems containsSemiMixedTypes="0" containsString="0" containsNumber="1" minValue="1" maxValue="6.9"/>
    </cacheField>
    <cacheField name="petal_width" numFmtId="0">
      <sharedItems containsSemiMixedTypes="0" containsString="0" containsNumber="1" minValue="0.1" maxValue="2.5"/>
    </cacheField>
    <cacheField name="species" numFmtId="0">
      <sharedItems count="3">
        <s v="setosa"/>
        <s v="versicolor"/>
        <s v="virginic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5.915939351849" createdVersion="8" refreshedVersion="8" minRefreshableVersion="3" recordCount="3" xr:uid="{C0477F7E-8103-443B-BF7B-6F56BE08DD13}">
  <cacheSource type="worksheet">
    <worksheetSource ref="A14:F17" sheet="STATISTICS"/>
  </cacheSource>
  <cacheFields count="6">
    <cacheField name="Species" numFmtId="0">
      <sharedItems count="3">
        <s v="setosa"/>
        <s v="versicolor"/>
        <s v="virginica"/>
      </sharedItems>
    </cacheField>
    <cacheField name="Count" numFmtId="0">
      <sharedItems containsSemiMixedTypes="0" containsString="0" containsNumber="1" containsInteger="1" minValue="50" maxValue="50"/>
    </cacheField>
    <cacheField name="Avg Sepal Length" numFmtId="0">
      <sharedItems containsSemiMixedTypes="0" containsString="0" containsNumber="1" minValue="5.0059999999999993" maxValue="6.5879999999999983" count="3">
        <n v="5.0059999999999993"/>
        <n v="5.9359999999999999"/>
        <n v="6.5879999999999983"/>
      </sharedItems>
    </cacheField>
    <cacheField name="Avg Sepal Width" numFmtId="0">
      <sharedItems containsSemiMixedTypes="0" containsString="0" containsNumber="1" minValue="2.7700000000000005" maxValue="3.4180000000000006"/>
    </cacheField>
    <cacheField name="Avg Petal Length" numFmtId="0">
      <sharedItems containsSemiMixedTypes="0" containsString="0" containsNumber="1" minValue="1.464" maxValue="5.5519999999999996"/>
    </cacheField>
    <cacheField name="Avg Petal Width" numFmtId="0">
      <sharedItems containsSemiMixedTypes="0" containsString="0" containsNumber="1" minValue="0.24399999999999991" maxValue="2.0259999999999998"/>
    </cacheField>
  </cacheFields>
  <extLst>
    <ext xmlns:x14="http://schemas.microsoft.com/office/spreadsheetml/2009/9/main" uri="{725AE2AE-9491-48be-B2B4-4EB974FC3084}">
      <x14:pivotCacheDefinition pivotCacheId="1757648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5.0999999999999996"/>
    <n v="3.5"/>
    <n v="1.4"/>
    <n v="0.2"/>
    <x v="0"/>
  </r>
  <r>
    <n v="4.9000000000000004"/>
    <n v="3"/>
    <n v="1.4"/>
    <n v="0.2"/>
    <x v="0"/>
  </r>
  <r>
    <n v="4.7"/>
    <n v="3.2"/>
    <n v="1.3"/>
    <n v="0.2"/>
    <x v="0"/>
  </r>
  <r>
    <n v="4.5999999999999996"/>
    <n v="3.1"/>
    <n v="1.5"/>
    <n v="0.2"/>
    <x v="0"/>
  </r>
  <r>
    <n v="5"/>
    <n v="3.6"/>
    <n v="1.4"/>
    <n v="0.2"/>
    <x v="0"/>
  </r>
  <r>
    <n v="5.4"/>
    <n v="3.9"/>
    <n v="1.7"/>
    <n v="0.4"/>
    <x v="0"/>
  </r>
  <r>
    <n v="4.5999999999999996"/>
    <n v="3.4"/>
    <n v="1.4"/>
    <n v="0.3"/>
    <x v="0"/>
  </r>
  <r>
    <n v="5"/>
    <n v="3.4"/>
    <n v="1.5"/>
    <n v="0.2"/>
    <x v="0"/>
  </r>
  <r>
    <n v="4.4000000000000004"/>
    <n v="2.9"/>
    <n v="1.4"/>
    <n v="0.2"/>
    <x v="0"/>
  </r>
  <r>
    <n v="4.9000000000000004"/>
    <n v="3.1"/>
    <n v="1.5"/>
    <n v="0.1"/>
    <x v="0"/>
  </r>
  <r>
    <n v="5.4"/>
    <n v="3.7"/>
    <n v="1.5"/>
    <n v="0.2"/>
    <x v="0"/>
  </r>
  <r>
    <n v="4.8"/>
    <n v="3.4"/>
    <n v="1.6"/>
    <n v="0.2"/>
    <x v="0"/>
  </r>
  <r>
    <n v="4.8"/>
    <n v="3"/>
    <n v="1.4"/>
    <n v="0.1"/>
    <x v="0"/>
  </r>
  <r>
    <n v="4.3"/>
    <n v="3"/>
    <n v="1.1000000000000001"/>
    <n v="0.1"/>
    <x v="0"/>
  </r>
  <r>
    <n v="5.8"/>
    <n v="4"/>
    <n v="1.2"/>
    <n v="0.2"/>
    <x v="0"/>
  </r>
  <r>
    <n v="5.7"/>
    <n v="4.4000000000000004"/>
    <n v="1.5"/>
    <n v="0.4"/>
    <x v="0"/>
  </r>
  <r>
    <n v="5.4"/>
    <n v="3.9"/>
    <n v="1.3"/>
    <n v="0.4"/>
    <x v="0"/>
  </r>
  <r>
    <n v="5.0999999999999996"/>
    <n v="3.5"/>
    <n v="1.4"/>
    <n v="0.3"/>
    <x v="0"/>
  </r>
  <r>
    <n v="5.7"/>
    <n v="3.8"/>
    <n v="1.7"/>
    <n v="0.3"/>
    <x v="0"/>
  </r>
  <r>
    <n v="5.0999999999999996"/>
    <n v="3.8"/>
    <n v="1.5"/>
    <n v="0.3"/>
    <x v="0"/>
  </r>
  <r>
    <n v="5.4"/>
    <n v="3.4"/>
    <n v="1.7"/>
    <n v="0.2"/>
    <x v="0"/>
  </r>
  <r>
    <n v="5.0999999999999996"/>
    <n v="3.7"/>
    <n v="1.5"/>
    <n v="0.4"/>
    <x v="0"/>
  </r>
  <r>
    <n v="4.5999999999999996"/>
    <n v="3.6"/>
    <n v="1"/>
    <n v="0.2"/>
    <x v="0"/>
  </r>
  <r>
    <n v="5.0999999999999996"/>
    <n v="3.3"/>
    <n v="1.7"/>
    <n v="0.5"/>
    <x v="0"/>
  </r>
  <r>
    <n v="4.8"/>
    <n v="3.4"/>
    <n v="1.9"/>
    <n v="0.2"/>
    <x v="0"/>
  </r>
  <r>
    <n v="5"/>
    <n v="3"/>
    <n v="1.6"/>
    <n v="0.2"/>
    <x v="0"/>
  </r>
  <r>
    <n v="5"/>
    <n v="3.4"/>
    <n v="1.6"/>
    <n v="0.4"/>
    <x v="0"/>
  </r>
  <r>
    <n v="5.2"/>
    <n v="3.5"/>
    <n v="1.5"/>
    <n v="0.2"/>
    <x v="0"/>
  </r>
  <r>
    <n v="5.2"/>
    <n v="3.4"/>
    <n v="1.4"/>
    <n v="0.2"/>
    <x v="0"/>
  </r>
  <r>
    <n v="4.7"/>
    <n v="3.2"/>
    <n v="1.6"/>
    <n v="0.2"/>
    <x v="0"/>
  </r>
  <r>
    <n v="4.8"/>
    <n v="3.1"/>
    <n v="1.6"/>
    <n v="0.2"/>
    <x v="0"/>
  </r>
  <r>
    <n v="5.4"/>
    <n v="3.4"/>
    <n v="1.5"/>
    <n v="0.4"/>
    <x v="0"/>
  </r>
  <r>
    <n v="5.2"/>
    <n v="4.0999999999999996"/>
    <n v="1.5"/>
    <n v="0.1"/>
    <x v="0"/>
  </r>
  <r>
    <n v="5.5"/>
    <n v="4.2"/>
    <n v="1.4"/>
    <n v="0.2"/>
    <x v="0"/>
  </r>
  <r>
    <n v="4.9000000000000004"/>
    <n v="3.1"/>
    <n v="1.5"/>
    <n v="0.1"/>
    <x v="0"/>
  </r>
  <r>
    <n v="5"/>
    <n v="3.2"/>
    <n v="1.2"/>
    <n v="0.2"/>
    <x v="0"/>
  </r>
  <r>
    <n v="5.5"/>
    <n v="3.5"/>
    <n v="1.3"/>
    <n v="0.2"/>
    <x v="0"/>
  </r>
  <r>
    <n v="4.9000000000000004"/>
    <n v="3.1"/>
    <n v="1.5"/>
    <n v="0.1"/>
    <x v="0"/>
  </r>
  <r>
    <n v="4.4000000000000004"/>
    <n v="3"/>
    <n v="1.3"/>
    <n v="0.2"/>
    <x v="0"/>
  </r>
  <r>
    <n v="5.0999999999999996"/>
    <n v="3.4"/>
    <n v="1.5"/>
    <n v="0.2"/>
    <x v="0"/>
  </r>
  <r>
    <n v="5"/>
    <n v="3.5"/>
    <n v="1.3"/>
    <n v="0.3"/>
    <x v="0"/>
  </r>
  <r>
    <n v="4.5"/>
    <n v="2.2999999999999998"/>
    <n v="1.3"/>
    <n v="0.3"/>
    <x v="0"/>
  </r>
  <r>
    <n v="4.4000000000000004"/>
    <n v="3.2"/>
    <n v="1.3"/>
    <n v="0.2"/>
    <x v="0"/>
  </r>
  <r>
    <n v="5"/>
    <n v="3.5"/>
    <n v="1.6"/>
    <n v="0.6"/>
    <x v="0"/>
  </r>
  <r>
    <n v="5.0999999999999996"/>
    <n v="3.8"/>
    <n v="1.9"/>
    <n v="0.4"/>
    <x v="0"/>
  </r>
  <r>
    <n v="4.8"/>
    <n v="3"/>
    <n v="1.4"/>
    <n v="0.3"/>
    <x v="0"/>
  </r>
  <r>
    <n v="5.0999999999999996"/>
    <n v="3.8"/>
    <n v="1.6"/>
    <n v="0.2"/>
    <x v="0"/>
  </r>
  <r>
    <n v="4.5999999999999996"/>
    <n v="3.2"/>
    <n v="1.4"/>
    <n v="0.2"/>
    <x v="0"/>
  </r>
  <r>
    <n v="5.3"/>
    <n v="3.7"/>
    <n v="1.5"/>
    <n v="0.2"/>
    <x v="0"/>
  </r>
  <r>
    <n v="5"/>
    <n v="3.3"/>
    <n v="1.4"/>
    <n v="0.2"/>
    <x v="0"/>
  </r>
  <r>
    <n v="7"/>
    <n v="3.2"/>
    <n v="4.7"/>
    <n v="1.4"/>
    <x v="1"/>
  </r>
  <r>
    <n v="6.4"/>
    <n v="3.2"/>
    <n v="4.5"/>
    <n v="1.5"/>
    <x v="1"/>
  </r>
  <r>
    <n v="6.9"/>
    <n v="3.1"/>
    <n v="4.9000000000000004"/>
    <n v="1.5"/>
    <x v="1"/>
  </r>
  <r>
    <n v="5.5"/>
    <n v="2.2999999999999998"/>
    <n v="4"/>
    <n v="1.3"/>
    <x v="1"/>
  </r>
  <r>
    <n v="6.5"/>
    <n v="2.8"/>
    <n v="4.5999999999999996"/>
    <n v="1.5"/>
    <x v="1"/>
  </r>
  <r>
    <n v="5.7"/>
    <n v="2.8"/>
    <n v="4.5"/>
    <n v="1.3"/>
    <x v="1"/>
  </r>
  <r>
    <n v="6.3"/>
    <n v="3.3"/>
    <n v="4.7"/>
    <n v="1.6"/>
    <x v="1"/>
  </r>
  <r>
    <n v="4.9000000000000004"/>
    <n v="2.4"/>
    <n v="3.3"/>
    <n v="1"/>
    <x v="1"/>
  </r>
  <r>
    <n v="6.6"/>
    <n v="2.9"/>
    <n v="4.5999999999999996"/>
    <n v="1.3"/>
    <x v="1"/>
  </r>
  <r>
    <n v="5.2"/>
    <n v="2.7"/>
    <n v="3.9"/>
    <n v="1.4"/>
    <x v="1"/>
  </r>
  <r>
    <n v="5"/>
    <n v="2"/>
    <n v="3.5"/>
    <n v="1"/>
    <x v="1"/>
  </r>
  <r>
    <n v="5.9"/>
    <n v="3"/>
    <n v="4.2"/>
    <n v="1.5"/>
    <x v="1"/>
  </r>
  <r>
    <n v="6"/>
    <n v="2.2000000000000002"/>
    <n v="4"/>
    <n v="1"/>
    <x v="1"/>
  </r>
  <r>
    <n v="6.1"/>
    <n v="2.9"/>
    <n v="4.7"/>
    <n v="1.4"/>
    <x v="1"/>
  </r>
  <r>
    <n v="5.6"/>
    <n v="2.9"/>
    <n v="3.6"/>
    <n v="1.3"/>
    <x v="1"/>
  </r>
  <r>
    <n v="6.7"/>
    <n v="3.1"/>
    <n v="4.4000000000000004"/>
    <n v="1.4"/>
    <x v="1"/>
  </r>
  <r>
    <n v="5.6"/>
    <n v="3"/>
    <n v="4.5"/>
    <n v="1.5"/>
    <x v="1"/>
  </r>
  <r>
    <n v="5.8"/>
    <n v="2.7"/>
    <n v="4.0999999999999996"/>
    <n v="1"/>
    <x v="1"/>
  </r>
  <r>
    <n v="6.2"/>
    <n v="2.2000000000000002"/>
    <n v="4.5"/>
    <n v="1.5"/>
    <x v="1"/>
  </r>
  <r>
    <n v="5.6"/>
    <n v="2.5"/>
    <n v="3.9"/>
    <n v="1.1000000000000001"/>
    <x v="1"/>
  </r>
  <r>
    <n v="5.9"/>
    <n v="3.2"/>
    <n v="4.8"/>
    <n v="1.8"/>
    <x v="1"/>
  </r>
  <r>
    <n v="6.1"/>
    <n v="2.8"/>
    <n v="4"/>
    <n v="1.3"/>
    <x v="1"/>
  </r>
  <r>
    <n v="6.3"/>
    <n v="2.5"/>
    <n v="4.9000000000000004"/>
    <n v="1.5"/>
    <x v="1"/>
  </r>
  <r>
    <n v="6.1"/>
    <n v="2.8"/>
    <n v="4.7"/>
    <n v="1.2"/>
    <x v="1"/>
  </r>
  <r>
    <n v="6.4"/>
    <n v="2.9"/>
    <n v="4.3"/>
    <n v="1.3"/>
    <x v="1"/>
  </r>
  <r>
    <n v="6.6"/>
    <n v="3"/>
    <n v="4.4000000000000004"/>
    <n v="1.4"/>
    <x v="1"/>
  </r>
  <r>
    <n v="6.8"/>
    <n v="2.8"/>
    <n v="4.8"/>
    <n v="1.4"/>
    <x v="1"/>
  </r>
  <r>
    <n v="6.7"/>
    <n v="3"/>
    <n v="5"/>
    <n v="1.7"/>
    <x v="1"/>
  </r>
  <r>
    <n v="6"/>
    <n v="2.9"/>
    <n v="4.5"/>
    <n v="1.5"/>
    <x v="1"/>
  </r>
  <r>
    <n v="5.7"/>
    <n v="2.6"/>
    <n v="3.5"/>
    <n v="1"/>
    <x v="1"/>
  </r>
  <r>
    <n v="5.5"/>
    <n v="2.4"/>
    <n v="3.8"/>
    <n v="1.1000000000000001"/>
    <x v="1"/>
  </r>
  <r>
    <n v="5.5"/>
    <n v="2.4"/>
    <n v="3.7"/>
    <n v="1"/>
    <x v="1"/>
  </r>
  <r>
    <n v="5.8"/>
    <n v="2.7"/>
    <n v="3.9"/>
    <n v="1.2"/>
    <x v="1"/>
  </r>
  <r>
    <n v="6"/>
    <n v="2.7"/>
    <n v="5.0999999999999996"/>
    <n v="1.6"/>
    <x v="1"/>
  </r>
  <r>
    <n v="5.4"/>
    <n v="3"/>
    <n v="4.5"/>
    <n v="1.5"/>
    <x v="1"/>
  </r>
  <r>
    <n v="6"/>
    <n v="3.4"/>
    <n v="4.5"/>
    <n v="1.6"/>
    <x v="1"/>
  </r>
  <r>
    <n v="6.7"/>
    <n v="3.1"/>
    <n v="4.7"/>
    <n v="1.5"/>
    <x v="1"/>
  </r>
  <r>
    <n v="6.3"/>
    <n v="2.2999999999999998"/>
    <n v="4.4000000000000004"/>
    <n v="1.3"/>
    <x v="1"/>
  </r>
  <r>
    <n v="5.6"/>
    <n v="3"/>
    <n v="4.0999999999999996"/>
    <n v="1.3"/>
    <x v="1"/>
  </r>
  <r>
    <n v="5.5"/>
    <n v="2.5"/>
    <n v="4"/>
    <n v="1.3"/>
    <x v="1"/>
  </r>
  <r>
    <n v="5.5"/>
    <n v="2.6"/>
    <n v="4.4000000000000004"/>
    <n v="1.2"/>
    <x v="1"/>
  </r>
  <r>
    <n v="6.1"/>
    <n v="3"/>
    <n v="4.5999999999999996"/>
    <n v="1.4"/>
    <x v="1"/>
  </r>
  <r>
    <n v="5.8"/>
    <n v="2.6"/>
    <n v="4"/>
    <n v="1.2"/>
    <x v="1"/>
  </r>
  <r>
    <n v="5"/>
    <n v="2.2999999999999998"/>
    <n v="3.3"/>
    <n v="1"/>
    <x v="1"/>
  </r>
  <r>
    <n v="5.6"/>
    <n v="2.7"/>
    <n v="4.2"/>
    <n v="1.3"/>
    <x v="1"/>
  </r>
  <r>
    <n v="5.7"/>
    <n v="3"/>
    <n v="4.2"/>
    <n v="1.2"/>
    <x v="1"/>
  </r>
  <r>
    <n v="5.7"/>
    <n v="2.9"/>
    <n v="4.2"/>
    <n v="1.3"/>
    <x v="1"/>
  </r>
  <r>
    <n v="6.2"/>
    <n v="2.9"/>
    <n v="4.3"/>
    <n v="1.3"/>
    <x v="1"/>
  </r>
  <r>
    <n v="5.0999999999999996"/>
    <n v="2.5"/>
    <n v="3"/>
    <n v="1.1000000000000001"/>
    <x v="1"/>
  </r>
  <r>
    <n v="5.7"/>
    <n v="2.8"/>
    <n v="4.0999999999999996"/>
    <n v="1.3"/>
    <x v="1"/>
  </r>
  <r>
    <n v="6.3"/>
    <n v="3.3"/>
    <n v="6"/>
    <n v="2.5"/>
    <x v="2"/>
  </r>
  <r>
    <n v="5.8"/>
    <n v="2.7"/>
    <n v="5.0999999999999996"/>
    <n v="1.9"/>
    <x v="2"/>
  </r>
  <r>
    <n v="7.1"/>
    <n v="3"/>
    <n v="5.9"/>
    <n v="2.1"/>
    <x v="2"/>
  </r>
  <r>
    <n v="6.3"/>
    <n v="2.9"/>
    <n v="5.6"/>
    <n v="1.8"/>
    <x v="2"/>
  </r>
  <r>
    <n v="6.5"/>
    <n v="3"/>
    <n v="5.8"/>
    <n v="2.2000000000000002"/>
    <x v="2"/>
  </r>
  <r>
    <n v="7.6"/>
    <n v="3"/>
    <n v="6.6"/>
    <n v="2.1"/>
    <x v="2"/>
  </r>
  <r>
    <n v="4.9000000000000004"/>
    <n v="2.5"/>
    <n v="4.5"/>
    <n v="1.7"/>
    <x v="2"/>
  </r>
  <r>
    <n v="7.3"/>
    <n v="2.9"/>
    <n v="6.3"/>
    <n v="1.8"/>
    <x v="2"/>
  </r>
  <r>
    <n v="6.7"/>
    <n v="2.5"/>
    <n v="5.8"/>
    <n v="1.8"/>
    <x v="2"/>
  </r>
  <r>
    <n v="7.2"/>
    <n v="3.6"/>
    <n v="6.1"/>
    <n v="2.5"/>
    <x v="2"/>
  </r>
  <r>
    <n v="6.5"/>
    <n v="3.2"/>
    <n v="5.0999999999999996"/>
    <n v="2"/>
    <x v="2"/>
  </r>
  <r>
    <n v="6.4"/>
    <n v="2.7"/>
    <n v="5.3"/>
    <n v="1.9"/>
    <x v="2"/>
  </r>
  <r>
    <n v="6.8"/>
    <n v="3"/>
    <n v="5.5"/>
    <n v="2.1"/>
    <x v="2"/>
  </r>
  <r>
    <n v="5.7"/>
    <n v="2.5"/>
    <n v="5"/>
    <n v="2"/>
    <x v="2"/>
  </r>
  <r>
    <n v="5.8"/>
    <n v="2.8"/>
    <n v="5.0999999999999996"/>
    <n v="2.4"/>
    <x v="2"/>
  </r>
  <r>
    <n v="6.4"/>
    <n v="3.2"/>
    <n v="5.3"/>
    <n v="2.2999999999999998"/>
    <x v="2"/>
  </r>
  <r>
    <n v="6.5"/>
    <n v="3"/>
    <n v="5.5"/>
    <n v="1.8"/>
    <x v="2"/>
  </r>
  <r>
    <n v="7.7"/>
    <n v="3.8"/>
    <n v="6.7"/>
    <n v="2.2000000000000002"/>
    <x v="2"/>
  </r>
  <r>
    <n v="7.7"/>
    <n v="2.6"/>
    <n v="6.9"/>
    <n v="2.2999999999999998"/>
    <x v="2"/>
  </r>
  <r>
    <n v="6"/>
    <n v="2.2000000000000002"/>
    <n v="5"/>
    <n v="1.5"/>
    <x v="2"/>
  </r>
  <r>
    <n v="6.9"/>
    <n v="3.2"/>
    <n v="5.7"/>
    <n v="2.2999999999999998"/>
    <x v="2"/>
  </r>
  <r>
    <n v="5.6"/>
    <n v="2.8"/>
    <n v="4.9000000000000004"/>
    <n v="2"/>
    <x v="2"/>
  </r>
  <r>
    <n v="7.7"/>
    <n v="2.8"/>
    <n v="6.7"/>
    <n v="2"/>
    <x v="2"/>
  </r>
  <r>
    <n v="6.3"/>
    <n v="2.7"/>
    <n v="4.9000000000000004"/>
    <n v="1.8"/>
    <x v="2"/>
  </r>
  <r>
    <n v="6.7"/>
    <n v="3.3"/>
    <n v="5.7"/>
    <n v="2.1"/>
    <x v="2"/>
  </r>
  <r>
    <n v="7.2"/>
    <n v="3.2"/>
    <n v="6"/>
    <n v="1.8"/>
    <x v="2"/>
  </r>
  <r>
    <n v="6.2"/>
    <n v="2.8"/>
    <n v="4.8"/>
    <n v="1.8"/>
    <x v="2"/>
  </r>
  <r>
    <n v="6.1"/>
    <n v="3"/>
    <n v="4.9000000000000004"/>
    <n v="1.8"/>
    <x v="2"/>
  </r>
  <r>
    <n v="6.4"/>
    <n v="2.8"/>
    <n v="5.6"/>
    <n v="2.1"/>
    <x v="2"/>
  </r>
  <r>
    <n v="7.2"/>
    <n v="3"/>
    <n v="5.8"/>
    <n v="1.6"/>
    <x v="2"/>
  </r>
  <r>
    <n v="7.4"/>
    <n v="2.8"/>
    <n v="6.1"/>
    <n v="1.9"/>
    <x v="2"/>
  </r>
  <r>
    <n v="7.9"/>
    <n v="3.8"/>
    <n v="6.4"/>
    <n v="2"/>
    <x v="2"/>
  </r>
  <r>
    <n v="6.4"/>
    <n v="2.8"/>
    <n v="5.6"/>
    <n v="2.2000000000000002"/>
    <x v="2"/>
  </r>
  <r>
    <n v="6.3"/>
    <n v="2.8"/>
    <n v="5.0999999999999996"/>
    <n v="1.5"/>
    <x v="2"/>
  </r>
  <r>
    <n v="6.1"/>
    <n v="2.6"/>
    <n v="5.6"/>
    <n v="1.4"/>
    <x v="2"/>
  </r>
  <r>
    <n v="7.7"/>
    <n v="3"/>
    <n v="6.1"/>
    <n v="2.2999999999999998"/>
    <x v="2"/>
  </r>
  <r>
    <n v="6.3"/>
    <n v="3.4"/>
    <n v="5.6"/>
    <n v="2.4"/>
    <x v="2"/>
  </r>
  <r>
    <n v="6.4"/>
    <n v="3.1"/>
    <n v="5.5"/>
    <n v="1.8"/>
    <x v="2"/>
  </r>
  <r>
    <n v="6"/>
    <n v="3"/>
    <n v="4.8"/>
    <n v="1.8"/>
    <x v="2"/>
  </r>
  <r>
    <n v="6.9"/>
    <n v="3.1"/>
    <n v="5.4"/>
    <n v="2.1"/>
    <x v="2"/>
  </r>
  <r>
    <n v="6.7"/>
    <n v="3.1"/>
    <n v="5.6"/>
    <n v="2.4"/>
    <x v="2"/>
  </r>
  <r>
    <n v="6.9"/>
    <n v="3.1"/>
    <n v="5.0999999999999996"/>
    <n v="2.2999999999999998"/>
    <x v="2"/>
  </r>
  <r>
    <n v="5.8"/>
    <n v="2.7"/>
    <n v="5.0999999999999996"/>
    <n v="1.9"/>
    <x v="2"/>
  </r>
  <r>
    <n v="6.8"/>
    <n v="3.2"/>
    <n v="5.9"/>
    <n v="2.2999999999999998"/>
    <x v="2"/>
  </r>
  <r>
    <n v="6.7"/>
    <n v="3.3"/>
    <n v="5.7"/>
    <n v="2.5"/>
    <x v="2"/>
  </r>
  <r>
    <n v="6.7"/>
    <n v="3"/>
    <n v="5.2"/>
    <n v="2.2999999999999998"/>
    <x v="2"/>
  </r>
  <r>
    <n v="6.3"/>
    <n v="2.5"/>
    <n v="5"/>
    <n v="1.9"/>
    <x v="2"/>
  </r>
  <r>
    <n v="6.5"/>
    <n v="3"/>
    <n v="5.2"/>
    <n v="2"/>
    <x v="2"/>
  </r>
  <r>
    <n v="6.2"/>
    <n v="3.4"/>
    <n v="5.4"/>
    <n v="2.2999999999999998"/>
    <x v="2"/>
  </r>
  <r>
    <n v="5.9"/>
    <n v="3"/>
    <n v="5.0999999999999996"/>
    <n v="1.8"/>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50"/>
    <x v="0"/>
    <n v="3.4180000000000006"/>
    <n v="1.464"/>
    <n v="0.24399999999999991"/>
  </r>
  <r>
    <x v="1"/>
    <n v="50"/>
    <x v="1"/>
    <n v="2.7700000000000005"/>
    <n v="4.26"/>
    <n v="1.3259999999999998"/>
  </r>
  <r>
    <x v="2"/>
    <n v="50"/>
    <x v="2"/>
    <n v="2.9739999999999998"/>
    <n v="5.5519999999999996"/>
    <n v="2.025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03B2DC-8488-49E3-B99D-0E5BEC92BA1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5" firstHeaderRow="1" firstDataRow="1" firstDataCol="1"/>
  <pivotFields count="5">
    <pivotField showAll="0"/>
    <pivotField showAll="0"/>
    <pivotField showAll="0"/>
    <pivotField showAll="0"/>
    <pivotField axis="axisRow" showAll="0">
      <items count="4">
        <item x="0"/>
        <item x="1"/>
        <item x="2"/>
        <item t="default"/>
      </items>
    </pivotField>
  </pivotFields>
  <rowFields count="1">
    <field x="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FF17F-D32E-4F1A-8ADF-AE4C0B62FB76}"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B23" firstHeaderRow="1" firstDataRow="1" firstDataCol="1"/>
  <pivotFields count="6">
    <pivotField axis="axisRow" showAll="0">
      <items count="4">
        <item x="0"/>
        <item x="1"/>
        <item x="2"/>
        <item t="default"/>
      </items>
    </pivotField>
    <pivotField showAll="0"/>
    <pivotField showAll="0"/>
    <pivotField showAll="0"/>
    <pivotField showAll="0"/>
    <pivotField dataField="1" showAll="0"/>
  </pivotFields>
  <rowFields count="1">
    <field x="0"/>
  </rowFields>
  <rowItems count="4">
    <i>
      <x/>
    </i>
    <i>
      <x v="1"/>
    </i>
    <i>
      <x v="2"/>
    </i>
    <i t="grand">
      <x/>
    </i>
  </rowItems>
  <colItems count="1">
    <i/>
  </colItems>
  <dataFields count="1">
    <dataField name="Sum of Avg Petal Width"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C9446F-8265-4B5F-A755-706C3A40F07D}"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I5" firstHeaderRow="1" firstDataRow="1" firstDataCol="1"/>
  <pivotFields count="6">
    <pivotField axis="axisRow" showAll="0">
      <items count="4">
        <item x="0"/>
        <item x="1"/>
        <item x="2"/>
        <item t="default"/>
      </items>
    </pivotField>
    <pivotField showAll="0"/>
    <pivotField showAll="0"/>
    <pivotField showAll="0"/>
    <pivotField dataField="1" showAll="0"/>
    <pivotField showAll="0"/>
  </pivotFields>
  <rowFields count="1">
    <field x="0"/>
  </rowFields>
  <rowItems count="4">
    <i>
      <x/>
    </i>
    <i>
      <x v="1"/>
    </i>
    <i>
      <x v="2"/>
    </i>
    <i t="grand">
      <x/>
    </i>
  </rowItems>
  <colItems count="1">
    <i/>
  </colItems>
  <dataFields count="1">
    <dataField name="Sum of Avg Petal Length"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D75D86-C60A-44F8-8ED9-FBC17ED0F7EA}"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F5" firstHeaderRow="1" firstDataRow="1" firstDataCol="1"/>
  <pivotFields count="6">
    <pivotField axis="axisRow" showAll="0">
      <items count="4">
        <item x="0"/>
        <item x="1"/>
        <item x="2"/>
        <item t="default"/>
      </items>
    </pivotField>
    <pivotField showAll="0"/>
    <pivotField showAll="0"/>
    <pivotField dataField="1" showAll="0"/>
    <pivotField showAll="0"/>
    <pivotField showAll="0"/>
  </pivotFields>
  <rowFields count="1">
    <field x="0"/>
  </rowFields>
  <rowItems count="4">
    <i>
      <x/>
    </i>
    <i>
      <x v="1"/>
    </i>
    <i>
      <x v="2"/>
    </i>
    <i t="grand">
      <x/>
    </i>
  </rowItems>
  <colItems count="1">
    <i/>
  </colItems>
  <dataFields count="1">
    <dataField name="Sum of Avg Sepal Width" fld="3" baseField="0" baseItem="0"/>
  </dataFields>
  <chartFormats count="14">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0"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C6CB58-6F4E-418A-8518-DA8AC529D41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C5" firstHeaderRow="1" firstDataRow="1" firstDataCol="1"/>
  <pivotFields count="6">
    <pivotField axis="axisRow" showAll="0">
      <items count="4">
        <item x="0"/>
        <item x="1"/>
        <item x="2"/>
        <item t="default"/>
      </items>
    </pivotField>
    <pivotField showAll="0"/>
    <pivotField dataField="1" showAll="0">
      <items count="4">
        <item x="0"/>
        <item x="1"/>
        <item x="2"/>
        <item t="default"/>
      </items>
    </pivotField>
    <pivotField showAll="0"/>
    <pivotField showAll="0"/>
    <pivotField showAll="0"/>
  </pivotFields>
  <rowFields count="1">
    <field x="0"/>
  </rowFields>
  <rowItems count="4">
    <i>
      <x/>
    </i>
    <i>
      <x v="1"/>
    </i>
    <i>
      <x v="2"/>
    </i>
    <i t="grand">
      <x/>
    </i>
  </rowItems>
  <colItems count="1">
    <i/>
  </colItems>
  <dataFields count="1">
    <dataField name="Sum of Avg Sepal Length" fld="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es" xr10:uid="{87238BF9-BD5D-436E-8735-B54001670CC9}" sourceName="Species">
  <pivotTables>
    <pivotTable tabId="6" name="PivotTable3"/>
  </pivotTables>
  <data>
    <tabular pivotCacheId="175764884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es" xr10:uid="{468DAA92-E569-4454-B6B3-7C64AD963C79}" cache="Slicer_Species" caption="Specie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91A65EB-C4FE-41DD-888C-14F503DEEC94}">
  <we:reference id="wa200006009" version="2.1.3.10" store="en-US" storeType="OMEX"/>
  <we:alternateReferences>
    <we:reference id="WA200006009" version="2.1.3.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318DD-6D04-42D5-A607-A3251291A87C}">
  <dimension ref="A1:E151"/>
  <sheetViews>
    <sheetView workbookViewId="0">
      <selection activeCell="F1" sqref="F1"/>
    </sheetView>
  </sheetViews>
  <sheetFormatPr defaultRowHeight="15" x14ac:dyDescent="0.25"/>
  <cols>
    <col min="1" max="1" width="12.42578125" bestFit="1" customWidth="1"/>
    <col min="2" max="2" width="11.85546875" bestFit="1" customWidth="1"/>
    <col min="3" max="3" width="12.28515625" bestFit="1" customWidth="1"/>
    <col min="4" max="4" width="11.7109375" bestFit="1" customWidth="1"/>
  </cols>
  <sheetData>
    <row r="1" spans="1:5" x14ac:dyDescent="0.25">
      <c r="A1" s="2" t="s">
        <v>0</v>
      </c>
      <c r="B1" s="2" t="s">
        <v>1</v>
      </c>
      <c r="C1" s="2" t="s">
        <v>2</v>
      </c>
      <c r="D1" s="2" t="s">
        <v>3</v>
      </c>
      <c r="E1" s="2" t="s">
        <v>4</v>
      </c>
    </row>
    <row r="2" spans="1:5" x14ac:dyDescent="0.25">
      <c r="A2" s="3">
        <v>5.0999999999999996</v>
      </c>
      <c r="B2" s="3">
        <v>3.5</v>
      </c>
      <c r="C2" s="3">
        <v>1.4</v>
      </c>
      <c r="D2" s="3">
        <v>0.2</v>
      </c>
      <c r="E2" s="3" t="s">
        <v>5</v>
      </c>
    </row>
    <row r="3" spans="1:5" x14ac:dyDescent="0.25">
      <c r="A3" s="3">
        <v>4.9000000000000004</v>
      </c>
      <c r="B3" s="3">
        <v>3</v>
      </c>
      <c r="C3" s="3">
        <v>1.4</v>
      </c>
      <c r="D3" s="3">
        <v>0.2</v>
      </c>
      <c r="E3" s="3" t="s">
        <v>5</v>
      </c>
    </row>
    <row r="4" spans="1:5" x14ac:dyDescent="0.25">
      <c r="A4" s="3">
        <v>4.7</v>
      </c>
      <c r="B4" s="3">
        <v>3.2</v>
      </c>
      <c r="C4" s="3">
        <v>1.3</v>
      </c>
      <c r="D4" s="3">
        <v>0.2</v>
      </c>
      <c r="E4" s="3" t="s">
        <v>5</v>
      </c>
    </row>
    <row r="5" spans="1:5" x14ac:dyDescent="0.25">
      <c r="A5" s="3">
        <v>4.5999999999999996</v>
      </c>
      <c r="B5" s="3">
        <v>3.1</v>
      </c>
      <c r="C5" s="3">
        <v>1.5</v>
      </c>
      <c r="D5" s="3">
        <v>0.2</v>
      </c>
      <c r="E5" s="3" t="s">
        <v>5</v>
      </c>
    </row>
    <row r="6" spans="1:5" x14ac:dyDescent="0.25">
      <c r="A6" s="3">
        <v>5</v>
      </c>
      <c r="B6" s="3">
        <v>3.6</v>
      </c>
      <c r="C6" s="3">
        <v>1.4</v>
      </c>
      <c r="D6" s="3">
        <v>0.2</v>
      </c>
      <c r="E6" s="3" t="s">
        <v>5</v>
      </c>
    </row>
    <row r="7" spans="1:5" x14ac:dyDescent="0.25">
      <c r="A7" s="3">
        <v>5.4</v>
      </c>
      <c r="B7" s="3">
        <v>3.9</v>
      </c>
      <c r="C7" s="3">
        <v>1.7</v>
      </c>
      <c r="D7" s="3">
        <v>0.4</v>
      </c>
      <c r="E7" s="3" t="s">
        <v>5</v>
      </c>
    </row>
    <row r="8" spans="1:5" x14ac:dyDescent="0.25">
      <c r="A8" s="3">
        <v>4.5999999999999996</v>
      </c>
      <c r="B8" s="3">
        <v>3.4</v>
      </c>
      <c r="C8" s="3">
        <v>1.4</v>
      </c>
      <c r="D8" s="3">
        <v>0.3</v>
      </c>
      <c r="E8" s="3" t="s">
        <v>5</v>
      </c>
    </row>
    <row r="9" spans="1:5" x14ac:dyDescent="0.25">
      <c r="A9" s="3">
        <v>5</v>
      </c>
      <c r="B9" s="3">
        <v>3.4</v>
      </c>
      <c r="C9" s="3">
        <v>1.5</v>
      </c>
      <c r="D9" s="3">
        <v>0.2</v>
      </c>
      <c r="E9" s="3" t="s">
        <v>5</v>
      </c>
    </row>
    <row r="10" spans="1:5" x14ac:dyDescent="0.25">
      <c r="A10" s="3">
        <v>4.4000000000000004</v>
      </c>
      <c r="B10" s="3">
        <v>2.9</v>
      </c>
      <c r="C10" s="3">
        <v>1.4</v>
      </c>
      <c r="D10" s="3">
        <v>0.2</v>
      </c>
      <c r="E10" s="3" t="s">
        <v>5</v>
      </c>
    </row>
    <row r="11" spans="1:5" x14ac:dyDescent="0.25">
      <c r="A11" s="3">
        <v>4.9000000000000004</v>
      </c>
      <c r="B11" s="3">
        <v>3.1</v>
      </c>
      <c r="C11" s="3">
        <v>1.5</v>
      </c>
      <c r="D11" s="3">
        <v>0.1</v>
      </c>
      <c r="E11" s="3" t="s">
        <v>5</v>
      </c>
    </row>
    <row r="12" spans="1:5" x14ac:dyDescent="0.25">
      <c r="A12" s="3">
        <v>5.4</v>
      </c>
      <c r="B12" s="3">
        <v>3.7</v>
      </c>
      <c r="C12" s="3">
        <v>1.5</v>
      </c>
      <c r="D12" s="3">
        <v>0.2</v>
      </c>
      <c r="E12" s="3" t="s">
        <v>5</v>
      </c>
    </row>
    <row r="13" spans="1:5" x14ac:dyDescent="0.25">
      <c r="A13" s="3">
        <v>4.8</v>
      </c>
      <c r="B13" s="3">
        <v>3.4</v>
      </c>
      <c r="C13" s="3">
        <v>1.6</v>
      </c>
      <c r="D13" s="3">
        <v>0.2</v>
      </c>
      <c r="E13" s="3" t="s">
        <v>5</v>
      </c>
    </row>
    <row r="14" spans="1:5" x14ac:dyDescent="0.25">
      <c r="A14" s="3">
        <v>4.8</v>
      </c>
      <c r="B14" s="3">
        <v>3</v>
      </c>
      <c r="C14" s="3">
        <v>1.4</v>
      </c>
      <c r="D14" s="3">
        <v>0.1</v>
      </c>
      <c r="E14" s="3" t="s">
        <v>5</v>
      </c>
    </row>
    <row r="15" spans="1:5" x14ac:dyDescent="0.25">
      <c r="A15" s="3">
        <v>4.3</v>
      </c>
      <c r="B15" s="3">
        <v>3</v>
      </c>
      <c r="C15" s="3">
        <v>1.1000000000000001</v>
      </c>
      <c r="D15" s="3">
        <v>0.1</v>
      </c>
      <c r="E15" s="3" t="s">
        <v>5</v>
      </c>
    </row>
    <row r="16" spans="1:5" x14ac:dyDescent="0.25">
      <c r="A16" s="3">
        <v>5.8</v>
      </c>
      <c r="B16" s="3">
        <v>4</v>
      </c>
      <c r="C16" s="3">
        <v>1.2</v>
      </c>
      <c r="D16" s="3">
        <v>0.2</v>
      </c>
      <c r="E16" s="3" t="s">
        <v>5</v>
      </c>
    </row>
    <row r="17" spans="1:5" x14ac:dyDescent="0.25">
      <c r="A17" s="3">
        <v>5.7</v>
      </c>
      <c r="B17" s="3">
        <v>4.4000000000000004</v>
      </c>
      <c r="C17" s="3">
        <v>1.5</v>
      </c>
      <c r="D17" s="3">
        <v>0.4</v>
      </c>
      <c r="E17" s="3" t="s">
        <v>5</v>
      </c>
    </row>
    <row r="18" spans="1:5" x14ac:dyDescent="0.25">
      <c r="A18" s="3">
        <v>5.4</v>
      </c>
      <c r="B18" s="3">
        <v>3.9</v>
      </c>
      <c r="C18" s="3">
        <v>1.3</v>
      </c>
      <c r="D18" s="3">
        <v>0.4</v>
      </c>
      <c r="E18" s="3" t="s">
        <v>5</v>
      </c>
    </row>
    <row r="19" spans="1:5" x14ac:dyDescent="0.25">
      <c r="A19" s="3">
        <v>5.0999999999999996</v>
      </c>
      <c r="B19" s="3">
        <v>3.5</v>
      </c>
      <c r="C19" s="3">
        <v>1.4</v>
      </c>
      <c r="D19" s="3">
        <v>0.3</v>
      </c>
      <c r="E19" s="3" t="s">
        <v>5</v>
      </c>
    </row>
    <row r="20" spans="1:5" x14ac:dyDescent="0.25">
      <c r="A20" s="3">
        <v>5.7</v>
      </c>
      <c r="B20" s="3">
        <v>3.8</v>
      </c>
      <c r="C20" s="3">
        <v>1.7</v>
      </c>
      <c r="D20" s="3">
        <v>0.3</v>
      </c>
      <c r="E20" s="3" t="s">
        <v>5</v>
      </c>
    </row>
    <row r="21" spans="1:5" x14ac:dyDescent="0.25">
      <c r="A21" s="3">
        <v>5.0999999999999996</v>
      </c>
      <c r="B21" s="3">
        <v>3.8</v>
      </c>
      <c r="C21" s="3">
        <v>1.5</v>
      </c>
      <c r="D21" s="3">
        <v>0.3</v>
      </c>
      <c r="E21" s="3" t="s">
        <v>5</v>
      </c>
    </row>
    <row r="22" spans="1:5" x14ac:dyDescent="0.25">
      <c r="A22" s="3">
        <v>5.4</v>
      </c>
      <c r="B22" s="3">
        <v>3.4</v>
      </c>
      <c r="C22" s="3">
        <v>1.7</v>
      </c>
      <c r="D22" s="3">
        <v>0.2</v>
      </c>
      <c r="E22" s="3" t="s">
        <v>5</v>
      </c>
    </row>
    <row r="23" spans="1:5" x14ac:dyDescent="0.25">
      <c r="A23" s="3">
        <v>5.0999999999999996</v>
      </c>
      <c r="B23" s="3">
        <v>3.7</v>
      </c>
      <c r="C23" s="3">
        <v>1.5</v>
      </c>
      <c r="D23" s="3">
        <v>0.4</v>
      </c>
      <c r="E23" s="3" t="s">
        <v>5</v>
      </c>
    </row>
    <row r="24" spans="1:5" x14ac:dyDescent="0.25">
      <c r="A24" s="3">
        <v>4.5999999999999996</v>
      </c>
      <c r="B24" s="3">
        <v>3.6</v>
      </c>
      <c r="C24" s="3">
        <v>1</v>
      </c>
      <c r="D24" s="3">
        <v>0.2</v>
      </c>
      <c r="E24" s="3" t="s">
        <v>5</v>
      </c>
    </row>
    <row r="25" spans="1:5" x14ac:dyDescent="0.25">
      <c r="A25" s="3">
        <v>5.0999999999999996</v>
      </c>
      <c r="B25" s="3">
        <v>3.3</v>
      </c>
      <c r="C25" s="3">
        <v>1.7</v>
      </c>
      <c r="D25" s="3">
        <v>0.5</v>
      </c>
      <c r="E25" s="3" t="s">
        <v>5</v>
      </c>
    </row>
    <row r="26" spans="1:5" x14ac:dyDescent="0.25">
      <c r="A26" s="3">
        <v>4.8</v>
      </c>
      <c r="B26" s="3">
        <v>3.4</v>
      </c>
      <c r="C26" s="3">
        <v>1.9</v>
      </c>
      <c r="D26" s="3">
        <v>0.2</v>
      </c>
      <c r="E26" s="3" t="s">
        <v>5</v>
      </c>
    </row>
    <row r="27" spans="1:5" x14ac:dyDescent="0.25">
      <c r="A27" s="3">
        <v>5</v>
      </c>
      <c r="B27" s="3">
        <v>3</v>
      </c>
      <c r="C27" s="3">
        <v>1.6</v>
      </c>
      <c r="D27" s="3">
        <v>0.2</v>
      </c>
      <c r="E27" s="3" t="s">
        <v>5</v>
      </c>
    </row>
    <row r="28" spans="1:5" x14ac:dyDescent="0.25">
      <c r="A28" s="3">
        <v>5</v>
      </c>
      <c r="B28" s="3">
        <v>3.4</v>
      </c>
      <c r="C28" s="3">
        <v>1.6</v>
      </c>
      <c r="D28" s="3">
        <v>0.4</v>
      </c>
      <c r="E28" s="3" t="s">
        <v>5</v>
      </c>
    </row>
    <row r="29" spans="1:5" x14ac:dyDescent="0.25">
      <c r="A29" s="3">
        <v>5.2</v>
      </c>
      <c r="B29" s="3">
        <v>3.5</v>
      </c>
      <c r="C29" s="3">
        <v>1.5</v>
      </c>
      <c r="D29" s="3">
        <v>0.2</v>
      </c>
      <c r="E29" s="3" t="s">
        <v>5</v>
      </c>
    </row>
    <row r="30" spans="1:5" x14ac:dyDescent="0.25">
      <c r="A30" s="3">
        <v>5.2</v>
      </c>
      <c r="B30" s="3">
        <v>3.4</v>
      </c>
      <c r="C30" s="3">
        <v>1.4</v>
      </c>
      <c r="D30" s="3">
        <v>0.2</v>
      </c>
      <c r="E30" s="3" t="s">
        <v>5</v>
      </c>
    </row>
    <row r="31" spans="1:5" x14ac:dyDescent="0.25">
      <c r="A31" s="3">
        <v>4.7</v>
      </c>
      <c r="B31" s="3">
        <v>3.2</v>
      </c>
      <c r="C31" s="3">
        <v>1.6</v>
      </c>
      <c r="D31" s="3">
        <v>0.2</v>
      </c>
      <c r="E31" s="3" t="s">
        <v>5</v>
      </c>
    </row>
    <row r="32" spans="1:5" x14ac:dyDescent="0.25">
      <c r="A32" s="3">
        <v>4.8</v>
      </c>
      <c r="B32" s="3">
        <v>3.1</v>
      </c>
      <c r="C32" s="3">
        <v>1.6</v>
      </c>
      <c r="D32" s="3">
        <v>0.2</v>
      </c>
      <c r="E32" s="3" t="s">
        <v>5</v>
      </c>
    </row>
    <row r="33" spans="1:5" x14ac:dyDescent="0.25">
      <c r="A33" s="3">
        <v>5.4</v>
      </c>
      <c r="B33" s="3">
        <v>3.4</v>
      </c>
      <c r="C33" s="3">
        <v>1.5</v>
      </c>
      <c r="D33" s="3">
        <v>0.4</v>
      </c>
      <c r="E33" s="3" t="s">
        <v>5</v>
      </c>
    </row>
    <row r="34" spans="1:5" x14ac:dyDescent="0.25">
      <c r="A34" s="3">
        <v>5.2</v>
      </c>
      <c r="B34" s="3">
        <v>4.0999999999999996</v>
      </c>
      <c r="C34" s="3">
        <v>1.5</v>
      </c>
      <c r="D34" s="3">
        <v>0.1</v>
      </c>
      <c r="E34" s="3" t="s">
        <v>5</v>
      </c>
    </row>
    <row r="35" spans="1:5" x14ac:dyDescent="0.25">
      <c r="A35" s="3">
        <v>5.5</v>
      </c>
      <c r="B35" s="3">
        <v>4.2</v>
      </c>
      <c r="C35" s="3">
        <v>1.4</v>
      </c>
      <c r="D35" s="3">
        <v>0.2</v>
      </c>
      <c r="E35" s="3" t="s">
        <v>5</v>
      </c>
    </row>
    <row r="36" spans="1:5" x14ac:dyDescent="0.25">
      <c r="A36" s="3">
        <v>4.9000000000000004</v>
      </c>
      <c r="B36" s="3">
        <v>3.1</v>
      </c>
      <c r="C36" s="3">
        <v>1.5</v>
      </c>
      <c r="D36" s="3">
        <v>0.1</v>
      </c>
      <c r="E36" s="3" t="s">
        <v>5</v>
      </c>
    </row>
    <row r="37" spans="1:5" x14ac:dyDescent="0.25">
      <c r="A37" s="3">
        <v>5</v>
      </c>
      <c r="B37" s="3">
        <v>3.2</v>
      </c>
      <c r="C37" s="3">
        <v>1.2</v>
      </c>
      <c r="D37" s="3">
        <v>0.2</v>
      </c>
      <c r="E37" s="3" t="s">
        <v>5</v>
      </c>
    </row>
    <row r="38" spans="1:5" x14ac:dyDescent="0.25">
      <c r="A38" s="3">
        <v>5.5</v>
      </c>
      <c r="B38" s="3">
        <v>3.5</v>
      </c>
      <c r="C38" s="3">
        <v>1.3</v>
      </c>
      <c r="D38" s="3">
        <v>0.2</v>
      </c>
      <c r="E38" s="3" t="s">
        <v>5</v>
      </c>
    </row>
    <row r="39" spans="1:5" x14ac:dyDescent="0.25">
      <c r="A39" s="3">
        <v>4.9000000000000004</v>
      </c>
      <c r="B39" s="3">
        <v>3.1</v>
      </c>
      <c r="C39" s="3">
        <v>1.5</v>
      </c>
      <c r="D39" s="3">
        <v>0.1</v>
      </c>
      <c r="E39" s="3" t="s">
        <v>5</v>
      </c>
    </row>
    <row r="40" spans="1:5" x14ac:dyDescent="0.25">
      <c r="A40" s="3">
        <v>4.4000000000000004</v>
      </c>
      <c r="B40" s="3">
        <v>3</v>
      </c>
      <c r="C40" s="3">
        <v>1.3</v>
      </c>
      <c r="D40" s="3">
        <v>0.2</v>
      </c>
      <c r="E40" s="3" t="s">
        <v>5</v>
      </c>
    </row>
    <row r="41" spans="1:5" x14ac:dyDescent="0.25">
      <c r="A41" s="3">
        <v>5.0999999999999996</v>
      </c>
      <c r="B41" s="3">
        <v>3.4</v>
      </c>
      <c r="C41" s="3">
        <v>1.5</v>
      </c>
      <c r="D41" s="3">
        <v>0.2</v>
      </c>
      <c r="E41" s="3" t="s">
        <v>5</v>
      </c>
    </row>
    <row r="42" spans="1:5" x14ac:dyDescent="0.25">
      <c r="A42" s="3">
        <v>5</v>
      </c>
      <c r="B42" s="3">
        <v>3.5</v>
      </c>
      <c r="C42" s="3">
        <v>1.3</v>
      </c>
      <c r="D42" s="3">
        <v>0.3</v>
      </c>
      <c r="E42" s="3" t="s">
        <v>5</v>
      </c>
    </row>
    <row r="43" spans="1:5" x14ac:dyDescent="0.25">
      <c r="A43" s="3">
        <v>4.5</v>
      </c>
      <c r="B43" s="3">
        <v>2.2999999999999998</v>
      </c>
      <c r="C43" s="3">
        <v>1.3</v>
      </c>
      <c r="D43" s="3">
        <v>0.3</v>
      </c>
      <c r="E43" s="3" t="s">
        <v>5</v>
      </c>
    </row>
    <row r="44" spans="1:5" x14ac:dyDescent="0.25">
      <c r="A44" s="3">
        <v>4.4000000000000004</v>
      </c>
      <c r="B44" s="3">
        <v>3.2</v>
      </c>
      <c r="C44" s="3">
        <v>1.3</v>
      </c>
      <c r="D44" s="3">
        <v>0.2</v>
      </c>
      <c r="E44" s="3" t="s">
        <v>5</v>
      </c>
    </row>
    <row r="45" spans="1:5" x14ac:dyDescent="0.25">
      <c r="A45" s="3">
        <v>5</v>
      </c>
      <c r="B45" s="3">
        <v>3.5</v>
      </c>
      <c r="C45" s="3">
        <v>1.6</v>
      </c>
      <c r="D45" s="3">
        <v>0.6</v>
      </c>
      <c r="E45" s="3" t="s">
        <v>5</v>
      </c>
    </row>
    <row r="46" spans="1:5" x14ac:dyDescent="0.25">
      <c r="A46" s="3">
        <v>5.0999999999999996</v>
      </c>
      <c r="B46" s="3">
        <v>3.8</v>
      </c>
      <c r="C46" s="3">
        <v>1.9</v>
      </c>
      <c r="D46" s="3">
        <v>0.4</v>
      </c>
      <c r="E46" s="3" t="s">
        <v>5</v>
      </c>
    </row>
    <row r="47" spans="1:5" x14ac:dyDescent="0.25">
      <c r="A47" s="3">
        <v>4.8</v>
      </c>
      <c r="B47" s="3">
        <v>3</v>
      </c>
      <c r="C47" s="3">
        <v>1.4</v>
      </c>
      <c r="D47" s="3">
        <v>0.3</v>
      </c>
      <c r="E47" s="3" t="s">
        <v>5</v>
      </c>
    </row>
    <row r="48" spans="1:5" x14ac:dyDescent="0.25">
      <c r="A48" s="3">
        <v>5.0999999999999996</v>
      </c>
      <c r="B48" s="3">
        <v>3.8</v>
      </c>
      <c r="C48" s="3">
        <v>1.6</v>
      </c>
      <c r="D48" s="3">
        <v>0.2</v>
      </c>
      <c r="E48" s="3" t="s">
        <v>5</v>
      </c>
    </row>
    <row r="49" spans="1:5" x14ac:dyDescent="0.25">
      <c r="A49" s="3">
        <v>4.5999999999999996</v>
      </c>
      <c r="B49" s="3">
        <v>3.2</v>
      </c>
      <c r="C49" s="3">
        <v>1.4</v>
      </c>
      <c r="D49" s="3">
        <v>0.2</v>
      </c>
      <c r="E49" s="3" t="s">
        <v>5</v>
      </c>
    </row>
    <row r="50" spans="1:5" x14ac:dyDescent="0.25">
      <c r="A50" s="3">
        <v>5.3</v>
      </c>
      <c r="B50" s="3">
        <v>3.7</v>
      </c>
      <c r="C50" s="3">
        <v>1.5</v>
      </c>
      <c r="D50" s="3">
        <v>0.2</v>
      </c>
      <c r="E50" s="3" t="s">
        <v>5</v>
      </c>
    </row>
    <row r="51" spans="1:5" x14ac:dyDescent="0.25">
      <c r="A51" s="3">
        <v>5</v>
      </c>
      <c r="B51" s="3">
        <v>3.3</v>
      </c>
      <c r="C51" s="3">
        <v>1.4</v>
      </c>
      <c r="D51" s="3">
        <v>0.2</v>
      </c>
      <c r="E51" s="3" t="s">
        <v>5</v>
      </c>
    </row>
    <row r="52" spans="1:5" x14ac:dyDescent="0.25">
      <c r="A52" s="3">
        <v>7</v>
      </c>
      <c r="B52" s="3">
        <v>3.2</v>
      </c>
      <c r="C52" s="3">
        <v>4.7</v>
      </c>
      <c r="D52" s="3">
        <v>1.4</v>
      </c>
      <c r="E52" s="3" t="s">
        <v>6</v>
      </c>
    </row>
    <row r="53" spans="1:5" x14ac:dyDescent="0.25">
      <c r="A53" s="3">
        <v>6.4</v>
      </c>
      <c r="B53" s="3">
        <v>3.2</v>
      </c>
      <c r="C53" s="3">
        <v>4.5</v>
      </c>
      <c r="D53" s="3">
        <v>1.5</v>
      </c>
      <c r="E53" s="3" t="s">
        <v>6</v>
      </c>
    </row>
    <row r="54" spans="1:5" x14ac:dyDescent="0.25">
      <c r="A54" s="3">
        <v>6.9</v>
      </c>
      <c r="B54" s="3">
        <v>3.1</v>
      </c>
      <c r="C54" s="3">
        <v>4.9000000000000004</v>
      </c>
      <c r="D54" s="3">
        <v>1.5</v>
      </c>
      <c r="E54" s="3" t="s">
        <v>6</v>
      </c>
    </row>
    <row r="55" spans="1:5" x14ac:dyDescent="0.25">
      <c r="A55" s="3">
        <v>5.5</v>
      </c>
      <c r="B55" s="3">
        <v>2.2999999999999998</v>
      </c>
      <c r="C55" s="3">
        <v>4</v>
      </c>
      <c r="D55" s="3">
        <v>1.3</v>
      </c>
      <c r="E55" s="3" t="s">
        <v>6</v>
      </c>
    </row>
    <row r="56" spans="1:5" x14ac:dyDescent="0.25">
      <c r="A56" s="3">
        <v>6.5</v>
      </c>
      <c r="B56" s="3">
        <v>2.8</v>
      </c>
      <c r="C56" s="3">
        <v>4.5999999999999996</v>
      </c>
      <c r="D56" s="3">
        <v>1.5</v>
      </c>
      <c r="E56" s="3" t="s">
        <v>6</v>
      </c>
    </row>
    <row r="57" spans="1:5" x14ac:dyDescent="0.25">
      <c r="A57" s="3">
        <v>5.7</v>
      </c>
      <c r="B57" s="3">
        <v>2.8</v>
      </c>
      <c r="C57" s="3">
        <v>4.5</v>
      </c>
      <c r="D57" s="3">
        <v>1.3</v>
      </c>
      <c r="E57" s="3" t="s">
        <v>6</v>
      </c>
    </row>
    <row r="58" spans="1:5" x14ac:dyDescent="0.25">
      <c r="A58" s="3">
        <v>6.3</v>
      </c>
      <c r="B58" s="3">
        <v>3.3</v>
      </c>
      <c r="C58" s="3">
        <v>4.7</v>
      </c>
      <c r="D58" s="3">
        <v>1.6</v>
      </c>
      <c r="E58" s="3" t="s">
        <v>6</v>
      </c>
    </row>
    <row r="59" spans="1:5" x14ac:dyDescent="0.25">
      <c r="A59" s="3">
        <v>4.9000000000000004</v>
      </c>
      <c r="B59" s="3">
        <v>2.4</v>
      </c>
      <c r="C59" s="3">
        <v>3.3</v>
      </c>
      <c r="D59" s="3">
        <v>1</v>
      </c>
      <c r="E59" s="3" t="s">
        <v>6</v>
      </c>
    </row>
    <row r="60" spans="1:5" x14ac:dyDescent="0.25">
      <c r="A60" s="3">
        <v>6.6</v>
      </c>
      <c r="B60" s="3">
        <v>2.9</v>
      </c>
      <c r="C60" s="3">
        <v>4.5999999999999996</v>
      </c>
      <c r="D60" s="3">
        <v>1.3</v>
      </c>
      <c r="E60" s="3" t="s">
        <v>6</v>
      </c>
    </row>
    <row r="61" spans="1:5" x14ac:dyDescent="0.25">
      <c r="A61" s="3">
        <v>5.2</v>
      </c>
      <c r="B61" s="3">
        <v>2.7</v>
      </c>
      <c r="C61" s="3">
        <v>3.9</v>
      </c>
      <c r="D61" s="3">
        <v>1.4</v>
      </c>
      <c r="E61" s="3" t="s">
        <v>6</v>
      </c>
    </row>
    <row r="62" spans="1:5" x14ac:dyDescent="0.25">
      <c r="A62" s="3">
        <v>5</v>
      </c>
      <c r="B62" s="3">
        <v>2</v>
      </c>
      <c r="C62" s="3">
        <v>3.5</v>
      </c>
      <c r="D62" s="3">
        <v>1</v>
      </c>
      <c r="E62" s="3" t="s">
        <v>6</v>
      </c>
    </row>
    <row r="63" spans="1:5" x14ac:dyDescent="0.25">
      <c r="A63" s="3">
        <v>5.9</v>
      </c>
      <c r="B63" s="3">
        <v>3</v>
      </c>
      <c r="C63" s="3">
        <v>4.2</v>
      </c>
      <c r="D63" s="3">
        <v>1.5</v>
      </c>
      <c r="E63" s="3" t="s">
        <v>6</v>
      </c>
    </row>
    <row r="64" spans="1:5" x14ac:dyDescent="0.25">
      <c r="A64" s="3">
        <v>6</v>
      </c>
      <c r="B64" s="3">
        <v>2.2000000000000002</v>
      </c>
      <c r="C64" s="3">
        <v>4</v>
      </c>
      <c r="D64" s="3">
        <v>1</v>
      </c>
      <c r="E64" s="3" t="s">
        <v>6</v>
      </c>
    </row>
    <row r="65" spans="1:5" x14ac:dyDescent="0.25">
      <c r="A65" s="3">
        <v>6.1</v>
      </c>
      <c r="B65" s="3">
        <v>2.9</v>
      </c>
      <c r="C65" s="3">
        <v>4.7</v>
      </c>
      <c r="D65" s="3">
        <v>1.4</v>
      </c>
      <c r="E65" s="3" t="s">
        <v>6</v>
      </c>
    </row>
    <row r="66" spans="1:5" x14ac:dyDescent="0.25">
      <c r="A66" s="3">
        <v>5.6</v>
      </c>
      <c r="B66" s="3">
        <v>2.9</v>
      </c>
      <c r="C66" s="3">
        <v>3.6</v>
      </c>
      <c r="D66" s="3">
        <v>1.3</v>
      </c>
      <c r="E66" s="3" t="s">
        <v>6</v>
      </c>
    </row>
    <row r="67" spans="1:5" x14ac:dyDescent="0.25">
      <c r="A67" s="3">
        <v>6.7</v>
      </c>
      <c r="B67" s="3">
        <v>3.1</v>
      </c>
      <c r="C67" s="3">
        <v>4.4000000000000004</v>
      </c>
      <c r="D67" s="3">
        <v>1.4</v>
      </c>
      <c r="E67" s="3" t="s">
        <v>6</v>
      </c>
    </row>
    <row r="68" spans="1:5" x14ac:dyDescent="0.25">
      <c r="A68" s="3">
        <v>5.6</v>
      </c>
      <c r="B68" s="3">
        <v>3</v>
      </c>
      <c r="C68" s="3">
        <v>4.5</v>
      </c>
      <c r="D68" s="3">
        <v>1.5</v>
      </c>
      <c r="E68" s="3" t="s">
        <v>6</v>
      </c>
    </row>
    <row r="69" spans="1:5" x14ac:dyDescent="0.25">
      <c r="A69" s="3">
        <v>5.8</v>
      </c>
      <c r="B69" s="3">
        <v>2.7</v>
      </c>
      <c r="C69" s="3">
        <v>4.0999999999999996</v>
      </c>
      <c r="D69" s="3">
        <v>1</v>
      </c>
      <c r="E69" s="3" t="s">
        <v>6</v>
      </c>
    </row>
    <row r="70" spans="1:5" x14ac:dyDescent="0.25">
      <c r="A70" s="3">
        <v>6.2</v>
      </c>
      <c r="B70" s="3">
        <v>2.2000000000000002</v>
      </c>
      <c r="C70" s="3">
        <v>4.5</v>
      </c>
      <c r="D70" s="3">
        <v>1.5</v>
      </c>
      <c r="E70" s="3" t="s">
        <v>6</v>
      </c>
    </row>
    <row r="71" spans="1:5" x14ac:dyDescent="0.25">
      <c r="A71" s="3">
        <v>5.6</v>
      </c>
      <c r="B71" s="3">
        <v>2.5</v>
      </c>
      <c r="C71" s="3">
        <v>3.9</v>
      </c>
      <c r="D71" s="3">
        <v>1.1000000000000001</v>
      </c>
      <c r="E71" s="3" t="s">
        <v>6</v>
      </c>
    </row>
    <row r="72" spans="1:5" x14ac:dyDescent="0.25">
      <c r="A72" s="3">
        <v>5.9</v>
      </c>
      <c r="B72" s="3">
        <v>3.2</v>
      </c>
      <c r="C72" s="3">
        <v>4.8</v>
      </c>
      <c r="D72" s="3">
        <v>1.8</v>
      </c>
      <c r="E72" s="3" t="s">
        <v>6</v>
      </c>
    </row>
    <row r="73" spans="1:5" x14ac:dyDescent="0.25">
      <c r="A73" s="3">
        <v>6.1</v>
      </c>
      <c r="B73" s="3">
        <v>2.8</v>
      </c>
      <c r="C73" s="3">
        <v>4</v>
      </c>
      <c r="D73" s="3">
        <v>1.3</v>
      </c>
      <c r="E73" s="3" t="s">
        <v>6</v>
      </c>
    </row>
    <row r="74" spans="1:5" x14ac:dyDescent="0.25">
      <c r="A74" s="3">
        <v>6.3</v>
      </c>
      <c r="B74" s="3">
        <v>2.5</v>
      </c>
      <c r="C74" s="3">
        <v>4.9000000000000004</v>
      </c>
      <c r="D74" s="3">
        <v>1.5</v>
      </c>
      <c r="E74" s="3" t="s">
        <v>6</v>
      </c>
    </row>
    <row r="75" spans="1:5" x14ac:dyDescent="0.25">
      <c r="A75" s="3">
        <v>6.1</v>
      </c>
      <c r="B75" s="3">
        <v>2.8</v>
      </c>
      <c r="C75" s="3">
        <v>4.7</v>
      </c>
      <c r="D75" s="3">
        <v>1.2</v>
      </c>
      <c r="E75" s="3" t="s">
        <v>6</v>
      </c>
    </row>
    <row r="76" spans="1:5" x14ac:dyDescent="0.25">
      <c r="A76" s="3">
        <v>6.4</v>
      </c>
      <c r="B76" s="3">
        <v>2.9</v>
      </c>
      <c r="C76" s="3">
        <v>4.3</v>
      </c>
      <c r="D76" s="3">
        <v>1.3</v>
      </c>
      <c r="E76" s="3" t="s">
        <v>6</v>
      </c>
    </row>
    <row r="77" spans="1:5" x14ac:dyDescent="0.25">
      <c r="A77" s="3">
        <v>6.6</v>
      </c>
      <c r="B77" s="3">
        <v>3</v>
      </c>
      <c r="C77" s="3">
        <v>4.4000000000000004</v>
      </c>
      <c r="D77" s="3">
        <v>1.4</v>
      </c>
      <c r="E77" s="3" t="s">
        <v>6</v>
      </c>
    </row>
    <row r="78" spans="1:5" x14ac:dyDescent="0.25">
      <c r="A78" s="3">
        <v>6.8</v>
      </c>
      <c r="B78" s="3">
        <v>2.8</v>
      </c>
      <c r="C78" s="3">
        <v>4.8</v>
      </c>
      <c r="D78" s="3">
        <v>1.4</v>
      </c>
      <c r="E78" s="3" t="s">
        <v>6</v>
      </c>
    </row>
    <row r="79" spans="1:5" x14ac:dyDescent="0.25">
      <c r="A79" s="3">
        <v>6.7</v>
      </c>
      <c r="B79" s="3">
        <v>3</v>
      </c>
      <c r="C79" s="3">
        <v>5</v>
      </c>
      <c r="D79" s="3">
        <v>1.7</v>
      </c>
      <c r="E79" s="3" t="s">
        <v>6</v>
      </c>
    </row>
    <row r="80" spans="1:5" x14ac:dyDescent="0.25">
      <c r="A80" s="3">
        <v>6</v>
      </c>
      <c r="B80" s="3">
        <v>2.9</v>
      </c>
      <c r="C80" s="3">
        <v>4.5</v>
      </c>
      <c r="D80" s="3">
        <v>1.5</v>
      </c>
      <c r="E80" s="3" t="s">
        <v>6</v>
      </c>
    </row>
    <row r="81" spans="1:5" x14ac:dyDescent="0.25">
      <c r="A81" s="3">
        <v>5.7</v>
      </c>
      <c r="B81" s="3">
        <v>2.6</v>
      </c>
      <c r="C81" s="3">
        <v>3.5</v>
      </c>
      <c r="D81" s="3">
        <v>1</v>
      </c>
      <c r="E81" s="3" t="s">
        <v>6</v>
      </c>
    </row>
    <row r="82" spans="1:5" x14ac:dyDescent="0.25">
      <c r="A82" s="3">
        <v>5.5</v>
      </c>
      <c r="B82" s="3">
        <v>2.4</v>
      </c>
      <c r="C82" s="3">
        <v>3.8</v>
      </c>
      <c r="D82" s="3">
        <v>1.1000000000000001</v>
      </c>
      <c r="E82" s="3" t="s">
        <v>6</v>
      </c>
    </row>
    <row r="83" spans="1:5" x14ac:dyDescent="0.25">
      <c r="A83" s="3">
        <v>5.5</v>
      </c>
      <c r="B83" s="3">
        <v>2.4</v>
      </c>
      <c r="C83" s="3">
        <v>3.7</v>
      </c>
      <c r="D83" s="3">
        <v>1</v>
      </c>
      <c r="E83" s="3" t="s">
        <v>6</v>
      </c>
    </row>
    <row r="84" spans="1:5" x14ac:dyDescent="0.25">
      <c r="A84" s="3">
        <v>5.8</v>
      </c>
      <c r="B84" s="3">
        <v>2.7</v>
      </c>
      <c r="C84" s="3">
        <v>3.9</v>
      </c>
      <c r="D84" s="3">
        <v>1.2</v>
      </c>
      <c r="E84" s="3" t="s">
        <v>6</v>
      </c>
    </row>
    <row r="85" spans="1:5" x14ac:dyDescent="0.25">
      <c r="A85" s="3">
        <v>6</v>
      </c>
      <c r="B85" s="3">
        <v>2.7</v>
      </c>
      <c r="C85" s="3">
        <v>5.0999999999999996</v>
      </c>
      <c r="D85" s="3">
        <v>1.6</v>
      </c>
      <c r="E85" s="3" t="s">
        <v>6</v>
      </c>
    </row>
    <row r="86" spans="1:5" x14ac:dyDescent="0.25">
      <c r="A86" s="3">
        <v>5.4</v>
      </c>
      <c r="B86" s="3">
        <v>3</v>
      </c>
      <c r="C86" s="3">
        <v>4.5</v>
      </c>
      <c r="D86" s="3">
        <v>1.5</v>
      </c>
      <c r="E86" s="3" t="s">
        <v>6</v>
      </c>
    </row>
    <row r="87" spans="1:5" x14ac:dyDescent="0.25">
      <c r="A87" s="3">
        <v>6</v>
      </c>
      <c r="B87" s="3">
        <v>3.4</v>
      </c>
      <c r="C87" s="3">
        <v>4.5</v>
      </c>
      <c r="D87" s="3">
        <v>1.6</v>
      </c>
      <c r="E87" s="3" t="s">
        <v>6</v>
      </c>
    </row>
    <row r="88" spans="1:5" x14ac:dyDescent="0.25">
      <c r="A88" s="3">
        <v>6.7</v>
      </c>
      <c r="B88" s="3">
        <v>3.1</v>
      </c>
      <c r="C88" s="3">
        <v>4.7</v>
      </c>
      <c r="D88" s="3">
        <v>1.5</v>
      </c>
      <c r="E88" s="3" t="s">
        <v>6</v>
      </c>
    </row>
    <row r="89" spans="1:5" x14ac:dyDescent="0.25">
      <c r="A89" s="3">
        <v>6.3</v>
      </c>
      <c r="B89" s="3">
        <v>2.2999999999999998</v>
      </c>
      <c r="C89" s="3">
        <v>4.4000000000000004</v>
      </c>
      <c r="D89" s="3">
        <v>1.3</v>
      </c>
      <c r="E89" s="3" t="s">
        <v>6</v>
      </c>
    </row>
    <row r="90" spans="1:5" x14ac:dyDescent="0.25">
      <c r="A90" s="3">
        <v>5.6</v>
      </c>
      <c r="B90" s="3">
        <v>3</v>
      </c>
      <c r="C90" s="3">
        <v>4.0999999999999996</v>
      </c>
      <c r="D90" s="3">
        <v>1.3</v>
      </c>
      <c r="E90" s="3" t="s">
        <v>6</v>
      </c>
    </row>
    <row r="91" spans="1:5" x14ac:dyDescent="0.25">
      <c r="A91" s="3">
        <v>5.5</v>
      </c>
      <c r="B91" s="3">
        <v>2.5</v>
      </c>
      <c r="C91" s="3">
        <v>4</v>
      </c>
      <c r="D91" s="3">
        <v>1.3</v>
      </c>
      <c r="E91" s="3" t="s">
        <v>6</v>
      </c>
    </row>
    <row r="92" spans="1:5" x14ac:dyDescent="0.25">
      <c r="A92" s="3">
        <v>5.5</v>
      </c>
      <c r="B92" s="3">
        <v>2.6</v>
      </c>
      <c r="C92" s="3">
        <v>4.4000000000000004</v>
      </c>
      <c r="D92" s="3">
        <v>1.2</v>
      </c>
      <c r="E92" s="3" t="s">
        <v>6</v>
      </c>
    </row>
    <row r="93" spans="1:5" x14ac:dyDescent="0.25">
      <c r="A93" s="3">
        <v>6.1</v>
      </c>
      <c r="B93" s="3">
        <v>3</v>
      </c>
      <c r="C93" s="3">
        <v>4.5999999999999996</v>
      </c>
      <c r="D93" s="3">
        <v>1.4</v>
      </c>
      <c r="E93" s="3" t="s">
        <v>6</v>
      </c>
    </row>
    <row r="94" spans="1:5" x14ac:dyDescent="0.25">
      <c r="A94" s="3">
        <v>5.8</v>
      </c>
      <c r="B94" s="3">
        <v>2.6</v>
      </c>
      <c r="C94" s="3">
        <v>4</v>
      </c>
      <c r="D94" s="3">
        <v>1.2</v>
      </c>
      <c r="E94" s="3" t="s">
        <v>6</v>
      </c>
    </row>
    <row r="95" spans="1:5" x14ac:dyDescent="0.25">
      <c r="A95" s="3">
        <v>5</v>
      </c>
      <c r="B95" s="3">
        <v>2.2999999999999998</v>
      </c>
      <c r="C95" s="3">
        <v>3.3</v>
      </c>
      <c r="D95" s="3">
        <v>1</v>
      </c>
      <c r="E95" s="3" t="s">
        <v>6</v>
      </c>
    </row>
    <row r="96" spans="1:5" x14ac:dyDescent="0.25">
      <c r="A96" s="3">
        <v>5.6</v>
      </c>
      <c r="B96" s="3">
        <v>2.7</v>
      </c>
      <c r="C96" s="3">
        <v>4.2</v>
      </c>
      <c r="D96" s="3">
        <v>1.3</v>
      </c>
      <c r="E96" s="3" t="s">
        <v>6</v>
      </c>
    </row>
    <row r="97" spans="1:5" x14ac:dyDescent="0.25">
      <c r="A97" s="3">
        <v>5.7</v>
      </c>
      <c r="B97" s="3">
        <v>3</v>
      </c>
      <c r="C97" s="3">
        <v>4.2</v>
      </c>
      <c r="D97" s="3">
        <v>1.2</v>
      </c>
      <c r="E97" s="3" t="s">
        <v>6</v>
      </c>
    </row>
    <row r="98" spans="1:5" x14ac:dyDescent="0.25">
      <c r="A98" s="3">
        <v>5.7</v>
      </c>
      <c r="B98" s="3">
        <v>2.9</v>
      </c>
      <c r="C98" s="3">
        <v>4.2</v>
      </c>
      <c r="D98" s="3">
        <v>1.3</v>
      </c>
      <c r="E98" s="3" t="s">
        <v>6</v>
      </c>
    </row>
    <row r="99" spans="1:5" x14ac:dyDescent="0.25">
      <c r="A99" s="3">
        <v>6.2</v>
      </c>
      <c r="B99" s="3">
        <v>2.9</v>
      </c>
      <c r="C99" s="3">
        <v>4.3</v>
      </c>
      <c r="D99" s="3">
        <v>1.3</v>
      </c>
      <c r="E99" s="3" t="s">
        <v>6</v>
      </c>
    </row>
    <row r="100" spans="1:5" x14ac:dyDescent="0.25">
      <c r="A100" s="3">
        <v>5.0999999999999996</v>
      </c>
      <c r="B100" s="3">
        <v>2.5</v>
      </c>
      <c r="C100" s="3">
        <v>3</v>
      </c>
      <c r="D100" s="3">
        <v>1.1000000000000001</v>
      </c>
      <c r="E100" s="3" t="s">
        <v>6</v>
      </c>
    </row>
    <row r="101" spans="1:5" x14ac:dyDescent="0.25">
      <c r="A101" s="3">
        <v>5.7</v>
      </c>
      <c r="B101" s="3">
        <v>2.8</v>
      </c>
      <c r="C101" s="3">
        <v>4.0999999999999996</v>
      </c>
      <c r="D101" s="3">
        <v>1.3</v>
      </c>
      <c r="E101" s="3" t="s">
        <v>6</v>
      </c>
    </row>
    <row r="102" spans="1:5" x14ac:dyDescent="0.25">
      <c r="A102" s="3">
        <v>6.3</v>
      </c>
      <c r="B102" s="3">
        <v>3.3</v>
      </c>
      <c r="C102" s="3">
        <v>6</v>
      </c>
      <c r="D102" s="3">
        <v>2.5</v>
      </c>
      <c r="E102" s="3" t="s">
        <v>7</v>
      </c>
    </row>
    <row r="103" spans="1:5" x14ac:dyDescent="0.25">
      <c r="A103" s="3">
        <v>5.8</v>
      </c>
      <c r="B103" s="3">
        <v>2.7</v>
      </c>
      <c r="C103" s="3">
        <v>5.0999999999999996</v>
      </c>
      <c r="D103" s="3">
        <v>1.9</v>
      </c>
      <c r="E103" s="3" t="s">
        <v>7</v>
      </c>
    </row>
    <row r="104" spans="1:5" x14ac:dyDescent="0.25">
      <c r="A104" s="3">
        <v>7.1</v>
      </c>
      <c r="B104" s="3">
        <v>3</v>
      </c>
      <c r="C104" s="3">
        <v>5.9</v>
      </c>
      <c r="D104" s="3">
        <v>2.1</v>
      </c>
      <c r="E104" s="3" t="s">
        <v>7</v>
      </c>
    </row>
    <row r="105" spans="1:5" x14ac:dyDescent="0.25">
      <c r="A105" s="3">
        <v>6.3</v>
      </c>
      <c r="B105" s="3">
        <v>2.9</v>
      </c>
      <c r="C105" s="3">
        <v>5.6</v>
      </c>
      <c r="D105" s="3">
        <v>1.8</v>
      </c>
      <c r="E105" s="3" t="s">
        <v>7</v>
      </c>
    </row>
    <row r="106" spans="1:5" x14ac:dyDescent="0.25">
      <c r="A106" s="3">
        <v>6.5</v>
      </c>
      <c r="B106" s="3">
        <v>3</v>
      </c>
      <c r="C106" s="3">
        <v>5.8</v>
      </c>
      <c r="D106" s="3">
        <v>2.2000000000000002</v>
      </c>
      <c r="E106" s="3" t="s">
        <v>7</v>
      </c>
    </row>
    <row r="107" spans="1:5" x14ac:dyDescent="0.25">
      <c r="A107" s="3">
        <v>7.6</v>
      </c>
      <c r="B107" s="3">
        <v>3</v>
      </c>
      <c r="C107" s="3">
        <v>6.6</v>
      </c>
      <c r="D107" s="3">
        <v>2.1</v>
      </c>
      <c r="E107" s="3" t="s">
        <v>7</v>
      </c>
    </row>
    <row r="108" spans="1:5" x14ac:dyDescent="0.25">
      <c r="A108" s="3">
        <v>4.9000000000000004</v>
      </c>
      <c r="B108" s="3">
        <v>2.5</v>
      </c>
      <c r="C108" s="3">
        <v>4.5</v>
      </c>
      <c r="D108" s="3">
        <v>1.7</v>
      </c>
      <c r="E108" s="3" t="s">
        <v>7</v>
      </c>
    </row>
    <row r="109" spans="1:5" x14ac:dyDescent="0.25">
      <c r="A109" s="3">
        <v>7.3</v>
      </c>
      <c r="B109" s="3">
        <v>2.9</v>
      </c>
      <c r="C109" s="3">
        <v>6.3</v>
      </c>
      <c r="D109" s="3">
        <v>1.8</v>
      </c>
      <c r="E109" s="3" t="s">
        <v>7</v>
      </c>
    </row>
    <row r="110" spans="1:5" x14ac:dyDescent="0.25">
      <c r="A110" s="3">
        <v>6.7</v>
      </c>
      <c r="B110" s="3">
        <v>2.5</v>
      </c>
      <c r="C110" s="3">
        <v>5.8</v>
      </c>
      <c r="D110" s="3">
        <v>1.8</v>
      </c>
      <c r="E110" s="3" t="s">
        <v>7</v>
      </c>
    </row>
    <row r="111" spans="1:5" x14ac:dyDescent="0.25">
      <c r="A111" s="3">
        <v>7.2</v>
      </c>
      <c r="B111" s="3">
        <v>3.6</v>
      </c>
      <c r="C111" s="3">
        <v>6.1</v>
      </c>
      <c r="D111" s="3">
        <v>2.5</v>
      </c>
      <c r="E111" s="3" t="s">
        <v>7</v>
      </c>
    </row>
    <row r="112" spans="1:5" x14ac:dyDescent="0.25">
      <c r="A112" s="3">
        <v>6.5</v>
      </c>
      <c r="B112" s="3">
        <v>3.2</v>
      </c>
      <c r="C112" s="3">
        <v>5.0999999999999996</v>
      </c>
      <c r="D112" s="3">
        <v>2</v>
      </c>
      <c r="E112" s="3" t="s">
        <v>7</v>
      </c>
    </row>
    <row r="113" spans="1:5" x14ac:dyDescent="0.25">
      <c r="A113" s="3">
        <v>6.4</v>
      </c>
      <c r="B113" s="3">
        <v>2.7</v>
      </c>
      <c r="C113" s="3">
        <v>5.3</v>
      </c>
      <c r="D113" s="3">
        <v>1.9</v>
      </c>
      <c r="E113" s="3" t="s">
        <v>7</v>
      </c>
    </row>
    <row r="114" spans="1:5" x14ac:dyDescent="0.25">
      <c r="A114" s="3">
        <v>6.8</v>
      </c>
      <c r="B114" s="3">
        <v>3</v>
      </c>
      <c r="C114" s="3">
        <v>5.5</v>
      </c>
      <c r="D114" s="3">
        <v>2.1</v>
      </c>
      <c r="E114" s="3" t="s">
        <v>7</v>
      </c>
    </row>
    <row r="115" spans="1:5" x14ac:dyDescent="0.25">
      <c r="A115" s="3">
        <v>5.7</v>
      </c>
      <c r="B115" s="3">
        <v>2.5</v>
      </c>
      <c r="C115" s="3">
        <v>5</v>
      </c>
      <c r="D115" s="3">
        <v>2</v>
      </c>
      <c r="E115" s="3" t="s">
        <v>7</v>
      </c>
    </row>
    <row r="116" spans="1:5" x14ac:dyDescent="0.25">
      <c r="A116" s="3">
        <v>5.8</v>
      </c>
      <c r="B116" s="3">
        <v>2.8</v>
      </c>
      <c r="C116" s="3">
        <v>5.0999999999999996</v>
      </c>
      <c r="D116" s="3">
        <v>2.4</v>
      </c>
      <c r="E116" s="3" t="s">
        <v>7</v>
      </c>
    </row>
    <row r="117" spans="1:5" x14ac:dyDescent="0.25">
      <c r="A117" s="3">
        <v>6.4</v>
      </c>
      <c r="B117" s="3">
        <v>3.2</v>
      </c>
      <c r="C117" s="3">
        <v>5.3</v>
      </c>
      <c r="D117" s="3">
        <v>2.2999999999999998</v>
      </c>
      <c r="E117" s="3" t="s">
        <v>7</v>
      </c>
    </row>
    <row r="118" spans="1:5" x14ac:dyDescent="0.25">
      <c r="A118" s="3">
        <v>6.5</v>
      </c>
      <c r="B118" s="3">
        <v>3</v>
      </c>
      <c r="C118" s="3">
        <v>5.5</v>
      </c>
      <c r="D118" s="3">
        <v>1.8</v>
      </c>
      <c r="E118" s="3" t="s">
        <v>7</v>
      </c>
    </row>
    <row r="119" spans="1:5" x14ac:dyDescent="0.25">
      <c r="A119" s="3">
        <v>7.7</v>
      </c>
      <c r="B119" s="3">
        <v>3.8</v>
      </c>
      <c r="C119" s="3">
        <v>6.7</v>
      </c>
      <c r="D119" s="3">
        <v>2.2000000000000002</v>
      </c>
      <c r="E119" s="3" t="s">
        <v>7</v>
      </c>
    </row>
    <row r="120" spans="1:5" x14ac:dyDescent="0.25">
      <c r="A120" s="3">
        <v>7.7</v>
      </c>
      <c r="B120" s="3">
        <v>2.6</v>
      </c>
      <c r="C120" s="3">
        <v>6.9</v>
      </c>
      <c r="D120" s="3">
        <v>2.2999999999999998</v>
      </c>
      <c r="E120" s="3" t="s">
        <v>7</v>
      </c>
    </row>
    <row r="121" spans="1:5" x14ac:dyDescent="0.25">
      <c r="A121" s="3">
        <v>6</v>
      </c>
      <c r="B121" s="3">
        <v>2.2000000000000002</v>
      </c>
      <c r="C121" s="3">
        <v>5</v>
      </c>
      <c r="D121" s="3">
        <v>1.5</v>
      </c>
      <c r="E121" s="3" t="s">
        <v>7</v>
      </c>
    </row>
    <row r="122" spans="1:5" x14ac:dyDescent="0.25">
      <c r="A122" s="3">
        <v>6.9</v>
      </c>
      <c r="B122" s="3">
        <v>3.2</v>
      </c>
      <c r="C122" s="3">
        <v>5.7</v>
      </c>
      <c r="D122" s="3">
        <v>2.2999999999999998</v>
      </c>
      <c r="E122" s="3" t="s">
        <v>7</v>
      </c>
    </row>
    <row r="123" spans="1:5" x14ac:dyDescent="0.25">
      <c r="A123" s="3">
        <v>5.6</v>
      </c>
      <c r="B123" s="3">
        <v>2.8</v>
      </c>
      <c r="C123" s="3">
        <v>4.9000000000000004</v>
      </c>
      <c r="D123" s="3">
        <v>2</v>
      </c>
      <c r="E123" s="3" t="s">
        <v>7</v>
      </c>
    </row>
    <row r="124" spans="1:5" x14ac:dyDescent="0.25">
      <c r="A124" s="3">
        <v>7.7</v>
      </c>
      <c r="B124" s="3">
        <v>2.8</v>
      </c>
      <c r="C124" s="3">
        <v>6.7</v>
      </c>
      <c r="D124" s="3">
        <v>2</v>
      </c>
      <c r="E124" s="3" t="s">
        <v>7</v>
      </c>
    </row>
    <row r="125" spans="1:5" x14ac:dyDescent="0.25">
      <c r="A125" s="3">
        <v>6.3</v>
      </c>
      <c r="B125" s="3">
        <v>2.7</v>
      </c>
      <c r="C125" s="3">
        <v>4.9000000000000004</v>
      </c>
      <c r="D125" s="3">
        <v>1.8</v>
      </c>
      <c r="E125" s="3" t="s">
        <v>7</v>
      </c>
    </row>
    <row r="126" spans="1:5" x14ac:dyDescent="0.25">
      <c r="A126" s="3">
        <v>6.7</v>
      </c>
      <c r="B126" s="3">
        <v>3.3</v>
      </c>
      <c r="C126" s="3">
        <v>5.7</v>
      </c>
      <c r="D126" s="3">
        <v>2.1</v>
      </c>
      <c r="E126" s="3" t="s">
        <v>7</v>
      </c>
    </row>
    <row r="127" spans="1:5" x14ac:dyDescent="0.25">
      <c r="A127" s="3">
        <v>7.2</v>
      </c>
      <c r="B127" s="3">
        <v>3.2</v>
      </c>
      <c r="C127" s="3">
        <v>6</v>
      </c>
      <c r="D127" s="3">
        <v>1.8</v>
      </c>
      <c r="E127" s="3" t="s">
        <v>7</v>
      </c>
    </row>
    <row r="128" spans="1:5" x14ac:dyDescent="0.25">
      <c r="A128" s="3">
        <v>6.2</v>
      </c>
      <c r="B128" s="3">
        <v>2.8</v>
      </c>
      <c r="C128" s="3">
        <v>4.8</v>
      </c>
      <c r="D128" s="3">
        <v>1.8</v>
      </c>
      <c r="E128" s="3" t="s">
        <v>7</v>
      </c>
    </row>
    <row r="129" spans="1:5" x14ac:dyDescent="0.25">
      <c r="A129" s="3">
        <v>6.1</v>
      </c>
      <c r="B129" s="3">
        <v>3</v>
      </c>
      <c r="C129" s="3">
        <v>4.9000000000000004</v>
      </c>
      <c r="D129" s="3">
        <v>1.8</v>
      </c>
      <c r="E129" s="3" t="s">
        <v>7</v>
      </c>
    </row>
    <row r="130" spans="1:5" x14ac:dyDescent="0.25">
      <c r="A130" s="3">
        <v>6.4</v>
      </c>
      <c r="B130" s="3">
        <v>2.8</v>
      </c>
      <c r="C130" s="3">
        <v>5.6</v>
      </c>
      <c r="D130" s="3">
        <v>2.1</v>
      </c>
      <c r="E130" s="3" t="s">
        <v>7</v>
      </c>
    </row>
    <row r="131" spans="1:5" x14ac:dyDescent="0.25">
      <c r="A131" s="3">
        <v>7.2</v>
      </c>
      <c r="B131" s="3">
        <v>3</v>
      </c>
      <c r="C131" s="3">
        <v>5.8</v>
      </c>
      <c r="D131" s="3">
        <v>1.6</v>
      </c>
      <c r="E131" s="3" t="s">
        <v>7</v>
      </c>
    </row>
    <row r="132" spans="1:5" x14ac:dyDescent="0.25">
      <c r="A132" s="3">
        <v>7.4</v>
      </c>
      <c r="B132" s="3">
        <v>2.8</v>
      </c>
      <c r="C132" s="3">
        <v>6.1</v>
      </c>
      <c r="D132" s="3">
        <v>1.9</v>
      </c>
      <c r="E132" s="3" t="s">
        <v>7</v>
      </c>
    </row>
    <row r="133" spans="1:5" x14ac:dyDescent="0.25">
      <c r="A133" s="3">
        <v>7.9</v>
      </c>
      <c r="B133" s="3">
        <v>3.8</v>
      </c>
      <c r="C133" s="3">
        <v>6.4</v>
      </c>
      <c r="D133" s="3">
        <v>2</v>
      </c>
      <c r="E133" s="3" t="s">
        <v>7</v>
      </c>
    </row>
    <row r="134" spans="1:5" x14ac:dyDescent="0.25">
      <c r="A134" s="3">
        <v>6.4</v>
      </c>
      <c r="B134" s="3">
        <v>2.8</v>
      </c>
      <c r="C134" s="3">
        <v>5.6</v>
      </c>
      <c r="D134" s="3">
        <v>2.2000000000000002</v>
      </c>
      <c r="E134" s="3" t="s">
        <v>7</v>
      </c>
    </row>
    <row r="135" spans="1:5" x14ac:dyDescent="0.25">
      <c r="A135" s="3">
        <v>6.3</v>
      </c>
      <c r="B135" s="3">
        <v>2.8</v>
      </c>
      <c r="C135" s="3">
        <v>5.0999999999999996</v>
      </c>
      <c r="D135" s="3">
        <v>1.5</v>
      </c>
      <c r="E135" s="3" t="s">
        <v>7</v>
      </c>
    </row>
    <row r="136" spans="1:5" x14ac:dyDescent="0.25">
      <c r="A136" s="3">
        <v>6.1</v>
      </c>
      <c r="B136" s="3">
        <v>2.6</v>
      </c>
      <c r="C136" s="3">
        <v>5.6</v>
      </c>
      <c r="D136" s="3">
        <v>1.4</v>
      </c>
      <c r="E136" s="3" t="s">
        <v>7</v>
      </c>
    </row>
    <row r="137" spans="1:5" x14ac:dyDescent="0.25">
      <c r="A137" s="3">
        <v>7.7</v>
      </c>
      <c r="B137" s="3">
        <v>3</v>
      </c>
      <c r="C137" s="3">
        <v>6.1</v>
      </c>
      <c r="D137" s="3">
        <v>2.2999999999999998</v>
      </c>
      <c r="E137" s="3" t="s">
        <v>7</v>
      </c>
    </row>
    <row r="138" spans="1:5" x14ac:dyDescent="0.25">
      <c r="A138" s="3">
        <v>6.3</v>
      </c>
      <c r="B138" s="3">
        <v>3.4</v>
      </c>
      <c r="C138" s="3">
        <v>5.6</v>
      </c>
      <c r="D138" s="3">
        <v>2.4</v>
      </c>
      <c r="E138" s="3" t="s">
        <v>7</v>
      </c>
    </row>
    <row r="139" spans="1:5" x14ac:dyDescent="0.25">
      <c r="A139" s="3">
        <v>6.4</v>
      </c>
      <c r="B139" s="3">
        <v>3.1</v>
      </c>
      <c r="C139" s="3">
        <v>5.5</v>
      </c>
      <c r="D139" s="3">
        <v>1.8</v>
      </c>
      <c r="E139" s="3" t="s">
        <v>7</v>
      </c>
    </row>
    <row r="140" spans="1:5" x14ac:dyDescent="0.25">
      <c r="A140" s="3">
        <v>6</v>
      </c>
      <c r="B140" s="3">
        <v>3</v>
      </c>
      <c r="C140" s="3">
        <v>4.8</v>
      </c>
      <c r="D140" s="3">
        <v>1.8</v>
      </c>
      <c r="E140" s="3" t="s">
        <v>7</v>
      </c>
    </row>
    <row r="141" spans="1:5" x14ac:dyDescent="0.25">
      <c r="A141" s="3">
        <v>6.9</v>
      </c>
      <c r="B141" s="3">
        <v>3.1</v>
      </c>
      <c r="C141" s="3">
        <v>5.4</v>
      </c>
      <c r="D141" s="3">
        <v>2.1</v>
      </c>
      <c r="E141" s="3" t="s">
        <v>7</v>
      </c>
    </row>
    <row r="142" spans="1:5" x14ac:dyDescent="0.25">
      <c r="A142" s="3">
        <v>6.7</v>
      </c>
      <c r="B142" s="3">
        <v>3.1</v>
      </c>
      <c r="C142" s="3">
        <v>5.6</v>
      </c>
      <c r="D142" s="3">
        <v>2.4</v>
      </c>
      <c r="E142" s="3" t="s">
        <v>7</v>
      </c>
    </row>
    <row r="143" spans="1:5" x14ac:dyDescent="0.25">
      <c r="A143" s="3">
        <v>6.9</v>
      </c>
      <c r="B143" s="3">
        <v>3.1</v>
      </c>
      <c r="C143" s="3">
        <v>5.0999999999999996</v>
      </c>
      <c r="D143" s="3">
        <v>2.2999999999999998</v>
      </c>
      <c r="E143" s="3" t="s">
        <v>7</v>
      </c>
    </row>
    <row r="144" spans="1:5" x14ac:dyDescent="0.25">
      <c r="A144" s="3">
        <v>5.8</v>
      </c>
      <c r="B144" s="3">
        <v>2.7</v>
      </c>
      <c r="C144" s="3">
        <v>5.0999999999999996</v>
      </c>
      <c r="D144" s="3">
        <v>1.9</v>
      </c>
      <c r="E144" s="3" t="s">
        <v>7</v>
      </c>
    </row>
    <row r="145" spans="1:5" x14ac:dyDescent="0.25">
      <c r="A145" s="3">
        <v>6.8</v>
      </c>
      <c r="B145" s="3">
        <v>3.2</v>
      </c>
      <c r="C145" s="3">
        <v>5.9</v>
      </c>
      <c r="D145" s="3">
        <v>2.2999999999999998</v>
      </c>
      <c r="E145" s="3" t="s">
        <v>7</v>
      </c>
    </row>
    <row r="146" spans="1:5" x14ac:dyDescent="0.25">
      <c r="A146" s="3">
        <v>6.7</v>
      </c>
      <c r="B146" s="3">
        <v>3.3</v>
      </c>
      <c r="C146" s="3">
        <v>5.7</v>
      </c>
      <c r="D146" s="3">
        <v>2.5</v>
      </c>
      <c r="E146" s="3" t="s">
        <v>7</v>
      </c>
    </row>
    <row r="147" spans="1:5" x14ac:dyDescent="0.25">
      <c r="A147" s="3">
        <v>6.7</v>
      </c>
      <c r="B147" s="3">
        <v>3</v>
      </c>
      <c r="C147" s="3">
        <v>5.2</v>
      </c>
      <c r="D147" s="3">
        <v>2.2999999999999998</v>
      </c>
      <c r="E147" s="3" t="s">
        <v>7</v>
      </c>
    </row>
    <row r="148" spans="1:5" x14ac:dyDescent="0.25">
      <c r="A148" s="3">
        <v>6.3</v>
      </c>
      <c r="B148" s="3">
        <v>2.5</v>
      </c>
      <c r="C148" s="3">
        <v>5</v>
      </c>
      <c r="D148" s="3">
        <v>1.9</v>
      </c>
      <c r="E148" s="3" t="s">
        <v>7</v>
      </c>
    </row>
    <row r="149" spans="1:5" x14ac:dyDescent="0.25">
      <c r="A149" s="3">
        <v>6.5</v>
      </c>
      <c r="B149" s="3">
        <v>3</v>
      </c>
      <c r="C149" s="3">
        <v>5.2</v>
      </c>
      <c r="D149" s="3">
        <v>2</v>
      </c>
      <c r="E149" s="3" t="s">
        <v>7</v>
      </c>
    </row>
    <row r="150" spans="1:5" x14ac:dyDescent="0.25">
      <c r="A150" s="3">
        <v>6.2</v>
      </c>
      <c r="B150" s="3">
        <v>3.4</v>
      </c>
      <c r="C150" s="3">
        <v>5.4</v>
      </c>
      <c r="D150" s="3">
        <v>2.2999999999999998</v>
      </c>
      <c r="E150" s="3" t="s">
        <v>7</v>
      </c>
    </row>
    <row r="151" spans="1:5" x14ac:dyDescent="0.25">
      <c r="A151" s="3">
        <v>5.9</v>
      </c>
      <c r="B151" s="3">
        <v>3</v>
      </c>
      <c r="C151" s="3">
        <v>5.0999999999999996</v>
      </c>
      <c r="D151" s="3">
        <v>1.8</v>
      </c>
      <c r="E151" s="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B3AA-282F-421C-9C9C-CCDAEEC2069E}">
  <dimension ref="A1:M151"/>
  <sheetViews>
    <sheetView topLeftCell="E1" workbookViewId="0">
      <selection activeCell="H6" sqref="H6"/>
    </sheetView>
  </sheetViews>
  <sheetFormatPr defaultRowHeight="15" x14ac:dyDescent="0.25"/>
  <cols>
    <col min="1" max="1" width="12.42578125" bestFit="1" customWidth="1"/>
    <col min="4" max="4" width="18.5703125" bestFit="1" customWidth="1"/>
    <col min="5" max="5" width="9.42578125" bestFit="1" customWidth="1"/>
    <col min="6" max="6" width="14.28515625" bestFit="1" customWidth="1"/>
    <col min="7" max="7" width="9.28515625" bestFit="1" customWidth="1"/>
    <col min="8" max="8" width="9.7109375" bestFit="1" customWidth="1"/>
    <col min="10" max="10" width="16.7109375" bestFit="1" customWidth="1"/>
    <col min="11" max="11" width="13.28515625" bestFit="1" customWidth="1"/>
  </cols>
  <sheetData>
    <row r="1" spans="1:13" x14ac:dyDescent="0.25">
      <c r="A1" s="3" t="s">
        <v>0</v>
      </c>
      <c r="B1" s="3" t="s">
        <v>4</v>
      </c>
      <c r="C1" s="3" t="s">
        <v>8</v>
      </c>
      <c r="D1" s="3" t="s">
        <v>9</v>
      </c>
      <c r="E1" s="2" t="s">
        <v>10</v>
      </c>
      <c r="F1" s="2" t="s">
        <v>11</v>
      </c>
      <c r="G1" s="2" t="s">
        <v>12</v>
      </c>
      <c r="H1" s="2" t="s">
        <v>13</v>
      </c>
      <c r="I1" s="2" t="s">
        <v>14</v>
      </c>
      <c r="J1" s="2" t="s">
        <v>15</v>
      </c>
      <c r="K1" s="2" t="s">
        <v>16</v>
      </c>
      <c r="L1" s="2" t="s">
        <v>17</v>
      </c>
      <c r="M1" s="2" t="s">
        <v>18</v>
      </c>
    </row>
    <row r="2" spans="1:13" x14ac:dyDescent="0.25">
      <c r="A2" s="3">
        <f>RAW_DATA!A2</f>
        <v>5.0999999999999996</v>
      </c>
      <c r="B2" s="3" t="str">
        <f>RAW_DATA!E2</f>
        <v>setosa</v>
      </c>
      <c r="C2" s="3" t="str">
        <f>IF(A2&gt;=5,"LONG","SHORT")</f>
        <v>LONG</v>
      </c>
      <c r="D2" s="3" t="str" cm="1">
        <f t="array" ref="D2">_xlfn.IFS(A2&lt;5,"Short",A2&lt;6,"Medium",A2&gt;=6,"Long")</f>
        <v>Medium</v>
      </c>
      <c r="E2" s="3" t="str">
        <f>IF(AND(RAW_DATA!C2&gt;4,RAW_DATA!D2&gt;1.5),"Large Petals","Not Large")</f>
        <v>Not Large</v>
      </c>
      <c r="F2" s="3" t="str">
        <f>IF(OR(RAW_DATA!A2&gt;6,RAW_DATA!C2&gt;4),"Large Flower","Normal Flower")</f>
        <v>Normal Flower</v>
      </c>
      <c r="G2" s="3" t="str">
        <f>IF(NOT(B2="setosa"),"Not Setosa","Setosa")</f>
        <v>Setosa</v>
      </c>
      <c r="H2" s="3" t="str">
        <f>IF(A2&lt;5,"Small",IF(A2&lt;6,"Medium","Large"))</f>
        <v>Medium</v>
      </c>
      <c r="I2" s="3" t="str">
        <f>CHOOSE(MATCH(B2,{"setosa","versicolor","virginica"},0),"Setosa","Versicolor","Virginica")</f>
        <v>Setosa</v>
      </c>
      <c r="J2" s="3" t="str" cm="1">
        <f t="array" ref="J2">_xlfn.SWITCH(B2,"setosa","Setosa Flower","versicolor","Versicolor Flower","virginica","Virginica Flower","Unknown")</f>
        <v>Setosa Flower</v>
      </c>
      <c r="K2" s="3" t="str">
        <f>IF(ISERROR(A2/0),"Error","Valid")</f>
        <v>Error</v>
      </c>
      <c r="L2" s="3" t="str">
        <f>IF(ISBLANK(A2),"Missing","Available")</f>
        <v>Available</v>
      </c>
      <c r="M2" s="3" t="str">
        <f>IF(ISNUMBER(A2),"Numeric","Not Numeric")</f>
        <v>Numeric</v>
      </c>
    </row>
    <row r="3" spans="1:13" x14ac:dyDescent="0.25">
      <c r="A3" s="3">
        <f>RAW_DATA!A3</f>
        <v>4.9000000000000004</v>
      </c>
      <c r="B3" s="3" t="str">
        <f>RAW_DATA!E3</f>
        <v>setosa</v>
      </c>
      <c r="C3" s="3" t="str">
        <f t="shared" ref="C3:C66" si="0">IF(A3&gt;=5,"LONG","SHORT")</f>
        <v>SHORT</v>
      </c>
      <c r="D3" s="3" t="str" cm="1">
        <f t="array" ref="D3">_xlfn.IFS(A3&lt;5,"Short",A3&lt;6,"Medium",A3&gt;=6,"Long")</f>
        <v>Short</v>
      </c>
      <c r="E3" s="3" t="str">
        <f>IF(AND(RAW_DATA!C3&gt;4,RAW_DATA!D3&gt;1.5),"Large Petals","Not Large")</f>
        <v>Not Large</v>
      </c>
      <c r="F3" s="3" t="str">
        <f>IF(OR(RAW_DATA!A3&gt;6,RAW_DATA!C3&gt;4),"Large Flower","Normal Flower")</f>
        <v>Normal Flower</v>
      </c>
      <c r="G3" s="3" t="str">
        <f t="shared" ref="G3:G66" si="1">IF(NOT(B3="setosa"),"Not Setosa","Setosa")</f>
        <v>Setosa</v>
      </c>
      <c r="H3" s="3" t="str">
        <f t="shared" ref="H3:H66" si="2">IF(A3&lt;5,"Small",IF(A3&lt;6,"Medium","Large"))</f>
        <v>Small</v>
      </c>
      <c r="I3" s="3" t="str">
        <f>CHOOSE(MATCH(B3,{"setosa","versicolor","virginica"},0),"Setosa","Versicolor","Virginica")</f>
        <v>Setosa</v>
      </c>
      <c r="J3" s="3" t="str" cm="1">
        <f t="array" ref="J3">_xlfn.SWITCH(B3,"setosa","Setosa Flower","versicolor","Versicolor Flower","virginica","Virginica Flower","Unknown")</f>
        <v>Setosa Flower</v>
      </c>
      <c r="K3" s="3" t="str">
        <f t="shared" ref="K3:K66" si="3">IF(ISERROR(A3/0),"Error","Valid")</f>
        <v>Error</v>
      </c>
      <c r="L3" s="3" t="str">
        <f t="shared" ref="L3:L66" si="4">IF(ISBLANK(A3),"Missing","Available")</f>
        <v>Available</v>
      </c>
      <c r="M3" s="3" t="str">
        <f t="shared" ref="M3:M66" si="5">IF(ISNUMBER(A3),"Numeric","Not Numeric")</f>
        <v>Numeric</v>
      </c>
    </row>
    <row r="4" spans="1:13" x14ac:dyDescent="0.25">
      <c r="A4" s="3">
        <f>RAW_DATA!A4</f>
        <v>4.7</v>
      </c>
      <c r="B4" s="3" t="str">
        <f>RAW_DATA!E4</f>
        <v>setosa</v>
      </c>
      <c r="C4" s="3" t="str">
        <f t="shared" si="0"/>
        <v>SHORT</v>
      </c>
      <c r="D4" s="3" t="str" cm="1">
        <f t="array" ref="D4">_xlfn.IFS(A4&lt;5,"Short",A4&lt;6,"Medium",A4&gt;=6,"Long")</f>
        <v>Short</v>
      </c>
      <c r="E4" s="3" t="str">
        <f>IF(AND(RAW_DATA!C4&gt;4,RAW_DATA!D4&gt;1.5),"Large Petals","Not Large")</f>
        <v>Not Large</v>
      </c>
      <c r="F4" s="3" t="str">
        <f>IF(OR(RAW_DATA!A4&gt;6,RAW_DATA!C4&gt;4),"Large Flower","Normal Flower")</f>
        <v>Normal Flower</v>
      </c>
      <c r="G4" s="3" t="str">
        <f t="shared" si="1"/>
        <v>Setosa</v>
      </c>
      <c r="H4" s="3" t="str">
        <f t="shared" si="2"/>
        <v>Small</v>
      </c>
      <c r="I4" s="3" t="str">
        <f>CHOOSE(MATCH(B4,{"setosa","versicolor","virginica"},0),"Setosa","Versicolor","Virginica")</f>
        <v>Setosa</v>
      </c>
      <c r="J4" s="3" t="str" cm="1">
        <f t="array" ref="J4">_xlfn.SWITCH(B4,"setosa","Setosa Flower","versicolor","Versicolor Flower","virginica","Virginica Flower","Unknown")</f>
        <v>Setosa Flower</v>
      </c>
      <c r="K4" s="3" t="str">
        <f t="shared" si="3"/>
        <v>Error</v>
      </c>
      <c r="L4" s="3" t="str">
        <f t="shared" si="4"/>
        <v>Available</v>
      </c>
      <c r="M4" s="3" t="str">
        <f t="shared" si="5"/>
        <v>Numeric</v>
      </c>
    </row>
    <row r="5" spans="1:13" x14ac:dyDescent="0.25">
      <c r="A5" s="3">
        <f>RAW_DATA!A5</f>
        <v>4.5999999999999996</v>
      </c>
      <c r="B5" s="3" t="str">
        <f>RAW_DATA!E5</f>
        <v>setosa</v>
      </c>
      <c r="C5" s="3" t="str">
        <f t="shared" si="0"/>
        <v>SHORT</v>
      </c>
      <c r="D5" s="3" t="str" cm="1">
        <f t="array" ref="D5">_xlfn.IFS(A5&lt;5,"Short",A5&lt;6,"Medium",A5&gt;=6,"Long")</f>
        <v>Short</v>
      </c>
      <c r="E5" s="3" t="str">
        <f>IF(AND(RAW_DATA!C5&gt;4,RAW_DATA!D5&gt;1.5),"Large Petals","Not Large")</f>
        <v>Not Large</v>
      </c>
      <c r="F5" s="3" t="str">
        <f>IF(OR(RAW_DATA!A5&gt;6,RAW_DATA!C5&gt;4),"Large Flower","Normal Flower")</f>
        <v>Normal Flower</v>
      </c>
      <c r="G5" s="3" t="str">
        <f t="shared" si="1"/>
        <v>Setosa</v>
      </c>
      <c r="H5" s="3" t="str">
        <f t="shared" si="2"/>
        <v>Small</v>
      </c>
      <c r="I5" s="3" t="str">
        <f>CHOOSE(MATCH(B5,{"setosa","versicolor","virginica"},0),"Setosa","Versicolor","Virginica")</f>
        <v>Setosa</v>
      </c>
      <c r="J5" s="3" t="str" cm="1">
        <f t="array" ref="J5">_xlfn.SWITCH(B5,"setosa","Setosa Flower","versicolor","Versicolor Flower","virginica","Virginica Flower","Unknown")</f>
        <v>Setosa Flower</v>
      </c>
      <c r="K5" s="3" t="str">
        <f t="shared" si="3"/>
        <v>Error</v>
      </c>
      <c r="L5" s="3" t="str">
        <f t="shared" si="4"/>
        <v>Available</v>
      </c>
      <c r="M5" s="3" t="str">
        <f t="shared" si="5"/>
        <v>Numeric</v>
      </c>
    </row>
    <row r="6" spans="1:13" x14ac:dyDescent="0.25">
      <c r="A6" s="3">
        <f>RAW_DATA!A6</f>
        <v>5</v>
      </c>
      <c r="B6" s="3" t="str">
        <f>RAW_DATA!E6</f>
        <v>setosa</v>
      </c>
      <c r="C6" s="3" t="str">
        <f t="shared" si="0"/>
        <v>LONG</v>
      </c>
      <c r="D6" s="3" t="str" cm="1">
        <f t="array" ref="D6">_xlfn.IFS(A6&lt;5,"Short",A6&lt;6,"Medium",A6&gt;=6,"Long")</f>
        <v>Medium</v>
      </c>
      <c r="E6" s="3" t="str">
        <f>IF(AND(RAW_DATA!C6&gt;4,RAW_DATA!D6&gt;1.5),"Large Petals","Not Large")</f>
        <v>Not Large</v>
      </c>
      <c r="F6" s="3" t="str">
        <f>IF(OR(RAW_DATA!A6&gt;6,RAW_DATA!C6&gt;4),"Large Flower","Normal Flower")</f>
        <v>Normal Flower</v>
      </c>
      <c r="G6" s="3" t="str">
        <f t="shared" si="1"/>
        <v>Setosa</v>
      </c>
      <c r="H6" s="3" t="str">
        <f t="shared" si="2"/>
        <v>Medium</v>
      </c>
      <c r="I6" s="3" t="str">
        <f>CHOOSE(MATCH(B6,{"setosa","versicolor","virginica"},0),"Setosa","Versicolor","Virginica")</f>
        <v>Setosa</v>
      </c>
      <c r="J6" s="3" t="str" cm="1">
        <f t="array" ref="J6">_xlfn.SWITCH(B6,"setosa","Setosa Flower","versicolor","Versicolor Flower","virginica","Virginica Flower","Unknown")</f>
        <v>Setosa Flower</v>
      </c>
      <c r="K6" s="3" t="str">
        <f t="shared" si="3"/>
        <v>Error</v>
      </c>
      <c r="L6" s="3" t="str">
        <f t="shared" si="4"/>
        <v>Available</v>
      </c>
      <c r="M6" s="3" t="str">
        <f t="shared" si="5"/>
        <v>Numeric</v>
      </c>
    </row>
    <row r="7" spans="1:13" x14ac:dyDescent="0.25">
      <c r="A7" s="3">
        <f>RAW_DATA!A7</f>
        <v>5.4</v>
      </c>
      <c r="B7" s="3" t="str">
        <f>RAW_DATA!E7</f>
        <v>setosa</v>
      </c>
      <c r="C7" s="3" t="str">
        <f t="shared" si="0"/>
        <v>LONG</v>
      </c>
      <c r="D7" s="3" t="str" cm="1">
        <f t="array" ref="D7">_xlfn.IFS(A7&lt;5,"Short",A7&lt;6,"Medium",A7&gt;=6,"Long")</f>
        <v>Medium</v>
      </c>
      <c r="E7" s="3" t="str">
        <f>IF(AND(RAW_DATA!C7&gt;4,RAW_DATA!D7&gt;1.5),"Large Petals","Not Large")</f>
        <v>Not Large</v>
      </c>
      <c r="F7" s="3" t="str">
        <f>IF(OR(RAW_DATA!A7&gt;6,RAW_DATA!C7&gt;4),"Large Flower","Normal Flower")</f>
        <v>Normal Flower</v>
      </c>
      <c r="G7" s="3" t="str">
        <f t="shared" si="1"/>
        <v>Setosa</v>
      </c>
      <c r="H7" s="3" t="str">
        <f t="shared" si="2"/>
        <v>Medium</v>
      </c>
      <c r="I7" s="3" t="str">
        <f>CHOOSE(MATCH(B7,{"setosa","versicolor","virginica"},0),"Setosa","Versicolor","Virginica")</f>
        <v>Setosa</v>
      </c>
      <c r="J7" s="3" t="str" cm="1">
        <f t="array" ref="J7">_xlfn.SWITCH(B7,"setosa","Setosa Flower","versicolor","Versicolor Flower","virginica","Virginica Flower","Unknown")</f>
        <v>Setosa Flower</v>
      </c>
      <c r="K7" s="3" t="str">
        <f t="shared" si="3"/>
        <v>Error</v>
      </c>
      <c r="L7" s="3" t="str">
        <f t="shared" si="4"/>
        <v>Available</v>
      </c>
      <c r="M7" s="3" t="str">
        <f t="shared" si="5"/>
        <v>Numeric</v>
      </c>
    </row>
    <row r="8" spans="1:13" x14ac:dyDescent="0.25">
      <c r="A8" s="3">
        <f>RAW_DATA!A8</f>
        <v>4.5999999999999996</v>
      </c>
      <c r="B8" s="3" t="str">
        <f>RAW_DATA!E8</f>
        <v>setosa</v>
      </c>
      <c r="C8" s="3" t="str">
        <f t="shared" si="0"/>
        <v>SHORT</v>
      </c>
      <c r="D8" s="3" t="str" cm="1">
        <f t="array" ref="D8">_xlfn.IFS(A8&lt;5,"Short",A8&lt;6,"Medium",A8&gt;=6,"Long")</f>
        <v>Short</v>
      </c>
      <c r="E8" s="3" t="str">
        <f>IF(AND(RAW_DATA!C8&gt;4,RAW_DATA!D8&gt;1.5),"Large Petals","Not Large")</f>
        <v>Not Large</v>
      </c>
      <c r="F8" s="3" t="str">
        <f>IF(OR(RAW_DATA!A8&gt;6,RAW_DATA!C8&gt;4),"Large Flower","Normal Flower")</f>
        <v>Normal Flower</v>
      </c>
      <c r="G8" s="3" t="str">
        <f t="shared" si="1"/>
        <v>Setosa</v>
      </c>
      <c r="H8" s="3" t="str">
        <f t="shared" si="2"/>
        <v>Small</v>
      </c>
      <c r="I8" s="3" t="str">
        <f>CHOOSE(MATCH(B8,{"setosa","versicolor","virginica"},0),"Setosa","Versicolor","Virginica")</f>
        <v>Setosa</v>
      </c>
      <c r="J8" s="3" t="str" cm="1">
        <f t="array" ref="J8">_xlfn.SWITCH(B8,"setosa","Setosa Flower","versicolor","Versicolor Flower","virginica","Virginica Flower","Unknown")</f>
        <v>Setosa Flower</v>
      </c>
      <c r="K8" s="3" t="str">
        <f t="shared" si="3"/>
        <v>Error</v>
      </c>
      <c r="L8" s="3" t="str">
        <f t="shared" si="4"/>
        <v>Available</v>
      </c>
      <c r="M8" s="3" t="str">
        <f t="shared" si="5"/>
        <v>Numeric</v>
      </c>
    </row>
    <row r="9" spans="1:13" x14ac:dyDescent="0.25">
      <c r="A9" s="3">
        <f>RAW_DATA!A9</f>
        <v>5</v>
      </c>
      <c r="B9" s="3" t="str">
        <f>RAW_DATA!E9</f>
        <v>setosa</v>
      </c>
      <c r="C9" s="3" t="str">
        <f t="shared" si="0"/>
        <v>LONG</v>
      </c>
      <c r="D9" s="3" t="str" cm="1">
        <f t="array" ref="D9">_xlfn.IFS(A9&lt;5,"Short",A9&lt;6,"Medium",A9&gt;=6,"Long")</f>
        <v>Medium</v>
      </c>
      <c r="E9" s="3" t="str">
        <f>IF(AND(RAW_DATA!C9&gt;4,RAW_DATA!D9&gt;1.5),"Large Petals","Not Large")</f>
        <v>Not Large</v>
      </c>
      <c r="F9" s="3" t="str">
        <f>IF(OR(RAW_DATA!A9&gt;6,RAW_DATA!C9&gt;4),"Large Flower","Normal Flower")</f>
        <v>Normal Flower</v>
      </c>
      <c r="G9" s="3" t="str">
        <f t="shared" si="1"/>
        <v>Setosa</v>
      </c>
      <c r="H9" s="3" t="str">
        <f t="shared" si="2"/>
        <v>Medium</v>
      </c>
      <c r="I9" s="3" t="str">
        <f>CHOOSE(MATCH(B9,{"setosa","versicolor","virginica"},0),"Setosa","Versicolor","Virginica")</f>
        <v>Setosa</v>
      </c>
      <c r="J9" s="3" t="str" cm="1">
        <f t="array" ref="J9">_xlfn.SWITCH(B9,"setosa","Setosa Flower","versicolor","Versicolor Flower","virginica","Virginica Flower","Unknown")</f>
        <v>Setosa Flower</v>
      </c>
      <c r="K9" s="3" t="str">
        <f t="shared" si="3"/>
        <v>Error</v>
      </c>
      <c r="L9" s="3" t="str">
        <f t="shared" si="4"/>
        <v>Available</v>
      </c>
      <c r="M9" s="3" t="str">
        <f t="shared" si="5"/>
        <v>Numeric</v>
      </c>
    </row>
    <row r="10" spans="1:13" x14ac:dyDescent="0.25">
      <c r="A10" s="3">
        <f>RAW_DATA!A10</f>
        <v>4.4000000000000004</v>
      </c>
      <c r="B10" s="3" t="str">
        <f>RAW_DATA!E10</f>
        <v>setosa</v>
      </c>
      <c r="C10" s="3" t="str">
        <f t="shared" si="0"/>
        <v>SHORT</v>
      </c>
      <c r="D10" s="3" t="str" cm="1">
        <f t="array" ref="D10">_xlfn.IFS(A10&lt;5,"Short",A10&lt;6,"Medium",A10&gt;=6,"Long")</f>
        <v>Short</v>
      </c>
      <c r="E10" s="3" t="str">
        <f>IF(AND(RAW_DATA!C10&gt;4,RAW_DATA!D10&gt;1.5),"Large Petals","Not Large")</f>
        <v>Not Large</v>
      </c>
      <c r="F10" s="3" t="str">
        <f>IF(OR(RAW_DATA!A10&gt;6,RAW_DATA!C10&gt;4),"Large Flower","Normal Flower")</f>
        <v>Normal Flower</v>
      </c>
      <c r="G10" s="3" t="str">
        <f t="shared" si="1"/>
        <v>Setosa</v>
      </c>
      <c r="H10" s="3" t="str">
        <f t="shared" si="2"/>
        <v>Small</v>
      </c>
      <c r="I10" s="3" t="str">
        <f>CHOOSE(MATCH(B10,{"setosa","versicolor","virginica"},0),"Setosa","Versicolor","Virginica")</f>
        <v>Setosa</v>
      </c>
      <c r="J10" s="3" t="str" cm="1">
        <f t="array" ref="J10">_xlfn.SWITCH(B10,"setosa","Setosa Flower","versicolor","Versicolor Flower","virginica","Virginica Flower","Unknown")</f>
        <v>Setosa Flower</v>
      </c>
      <c r="K10" s="3" t="str">
        <f t="shared" si="3"/>
        <v>Error</v>
      </c>
      <c r="L10" s="3" t="str">
        <f t="shared" si="4"/>
        <v>Available</v>
      </c>
      <c r="M10" s="3" t="str">
        <f t="shared" si="5"/>
        <v>Numeric</v>
      </c>
    </row>
    <row r="11" spans="1:13" x14ac:dyDescent="0.25">
      <c r="A11" s="3">
        <f>RAW_DATA!A11</f>
        <v>4.9000000000000004</v>
      </c>
      <c r="B11" s="3" t="str">
        <f>RAW_DATA!E11</f>
        <v>setosa</v>
      </c>
      <c r="C11" s="3" t="str">
        <f t="shared" si="0"/>
        <v>SHORT</v>
      </c>
      <c r="D11" s="3" t="str" cm="1">
        <f t="array" ref="D11">_xlfn.IFS(A11&lt;5,"Short",A11&lt;6,"Medium",A11&gt;=6,"Long")</f>
        <v>Short</v>
      </c>
      <c r="E11" s="3" t="str">
        <f>IF(AND(RAW_DATA!C11&gt;4,RAW_DATA!D11&gt;1.5),"Large Petals","Not Large")</f>
        <v>Not Large</v>
      </c>
      <c r="F11" s="3" t="str">
        <f>IF(OR(RAW_DATA!A11&gt;6,RAW_DATA!C11&gt;4),"Large Flower","Normal Flower")</f>
        <v>Normal Flower</v>
      </c>
      <c r="G11" s="3" t="str">
        <f t="shared" si="1"/>
        <v>Setosa</v>
      </c>
      <c r="H11" s="3" t="str">
        <f t="shared" si="2"/>
        <v>Small</v>
      </c>
      <c r="I11" s="3" t="str">
        <f>CHOOSE(MATCH(B11,{"setosa","versicolor","virginica"},0),"Setosa","Versicolor","Virginica")</f>
        <v>Setosa</v>
      </c>
      <c r="J11" s="3" t="str" cm="1">
        <f t="array" ref="J11">_xlfn.SWITCH(B11,"setosa","Setosa Flower","versicolor","Versicolor Flower","virginica","Virginica Flower","Unknown")</f>
        <v>Setosa Flower</v>
      </c>
      <c r="K11" s="3" t="str">
        <f t="shared" si="3"/>
        <v>Error</v>
      </c>
      <c r="L11" s="3" t="str">
        <f t="shared" si="4"/>
        <v>Available</v>
      </c>
      <c r="M11" s="3" t="str">
        <f t="shared" si="5"/>
        <v>Numeric</v>
      </c>
    </row>
    <row r="12" spans="1:13" x14ac:dyDescent="0.25">
      <c r="A12" s="3">
        <f>RAW_DATA!A12</f>
        <v>5.4</v>
      </c>
      <c r="B12" s="3" t="str">
        <f>RAW_DATA!E12</f>
        <v>setosa</v>
      </c>
      <c r="C12" s="3" t="str">
        <f t="shared" si="0"/>
        <v>LONG</v>
      </c>
      <c r="D12" s="3" t="str" cm="1">
        <f t="array" ref="D12">_xlfn.IFS(A12&lt;5,"Short",A12&lt;6,"Medium",A12&gt;=6,"Long")</f>
        <v>Medium</v>
      </c>
      <c r="E12" s="3" t="str">
        <f>IF(AND(RAW_DATA!C12&gt;4,RAW_DATA!D12&gt;1.5),"Large Petals","Not Large")</f>
        <v>Not Large</v>
      </c>
      <c r="F12" s="3" t="str">
        <f>IF(OR(RAW_DATA!A12&gt;6,RAW_DATA!C12&gt;4),"Large Flower","Normal Flower")</f>
        <v>Normal Flower</v>
      </c>
      <c r="G12" s="3" t="str">
        <f t="shared" si="1"/>
        <v>Setosa</v>
      </c>
      <c r="H12" s="3" t="str">
        <f t="shared" si="2"/>
        <v>Medium</v>
      </c>
      <c r="I12" s="3" t="str">
        <f>CHOOSE(MATCH(B12,{"setosa","versicolor","virginica"},0),"Setosa","Versicolor","Virginica")</f>
        <v>Setosa</v>
      </c>
      <c r="J12" s="3" t="str" cm="1">
        <f t="array" ref="J12">_xlfn.SWITCH(B12,"setosa","Setosa Flower","versicolor","Versicolor Flower","virginica","Virginica Flower","Unknown")</f>
        <v>Setosa Flower</v>
      </c>
      <c r="K12" s="3" t="str">
        <f t="shared" si="3"/>
        <v>Error</v>
      </c>
      <c r="L12" s="3" t="str">
        <f t="shared" si="4"/>
        <v>Available</v>
      </c>
      <c r="M12" s="3" t="str">
        <f t="shared" si="5"/>
        <v>Numeric</v>
      </c>
    </row>
    <row r="13" spans="1:13" x14ac:dyDescent="0.25">
      <c r="A13" s="3">
        <f>RAW_DATA!A13</f>
        <v>4.8</v>
      </c>
      <c r="B13" s="3" t="str">
        <f>RAW_DATA!E13</f>
        <v>setosa</v>
      </c>
      <c r="C13" s="3" t="str">
        <f t="shared" si="0"/>
        <v>SHORT</v>
      </c>
      <c r="D13" s="3" t="str" cm="1">
        <f t="array" ref="D13">_xlfn.IFS(A13&lt;5,"Short",A13&lt;6,"Medium",A13&gt;=6,"Long")</f>
        <v>Short</v>
      </c>
      <c r="E13" s="3" t="str">
        <f>IF(AND(RAW_DATA!C13&gt;4,RAW_DATA!D13&gt;1.5),"Large Petals","Not Large")</f>
        <v>Not Large</v>
      </c>
      <c r="F13" s="3" t="str">
        <f>IF(OR(RAW_DATA!A13&gt;6,RAW_DATA!C13&gt;4),"Large Flower","Normal Flower")</f>
        <v>Normal Flower</v>
      </c>
      <c r="G13" s="3" t="str">
        <f t="shared" si="1"/>
        <v>Setosa</v>
      </c>
      <c r="H13" s="3" t="str">
        <f t="shared" si="2"/>
        <v>Small</v>
      </c>
      <c r="I13" s="3" t="str">
        <f>CHOOSE(MATCH(B13,{"setosa","versicolor","virginica"},0),"Setosa","Versicolor","Virginica")</f>
        <v>Setosa</v>
      </c>
      <c r="J13" s="3" t="str" cm="1">
        <f t="array" ref="J13">_xlfn.SWITCH(B13,"setosa","Setosa Flower","versicolor","Versicolor Flower","virginica","Virginica Flower","Unknown")</f>
        <v>Setosa Flower</v>
      </c>
      <c r="K13" s="3" t="str">
        <f t="shared" si="3"/>
        <v>Error</v>
      </c>
      <c r="L13" s="3" t="str">
        <f t="shared" si="4"/>
        <v>Available</v>
      </c>
      <c r="M13" s="3" t="str">
        <f t="shared" si="5"/>
        <v>Numeric</v>
      </c>
    </row>
    <row r="14" spans="1:13" x14ac:dyDescent="0.25">
      <c r="A14" s="3">
        <f>RAW_DATA!A14</f>
        <v>4.8</v>
      </c>
      <c r="B14" s="3" t="str">
        <f>RAW_DATA!E14</f>
        <v>setosa</v>
      </c>
      <c r="C14" s="3" t="str">
        <f t="shared" si="0"/>
        <v>SHORT</v>
      </c>
      <c r="D14" s="3" t="str" cm="1">
        <f t="array" ref="D14">_xlfn.IFS(A14&lt;5,"Short",A14&lt;6,"Medium",A14&gt;=6,"Long")</f>
        <v>Short</v>
      </c>
      <c r="E14" s="3" t="str">
        <f>IF(AND(RAW_DATA!C14&gt;4,RAW_DATA!D14&gt;1.5),"Large Petals","Not Large")</f>
        <v>Not Large</v>
      </c>
      <c r="F14" s="3" t="str">
        <f>IF(OR(RAW_DATA!A14&gt;6,RAW_DATA!C14&gt;4),"Large Flower","Normal Flower")</f>
        <v>Normal Flower</v>
      </c>
      <c r="G14" s="3" t="str">
        <f t="shared" si="1"/>
        <v>Setosa</v>
      </c>
      <c r="H14" s="3" t="str">
        <f t="shared" si="2"/>
        <v>Small</v>
      </c>
      <c r="I14" s="3" t="str">
        <f>CHOOSE(MATCH(B14,{"setosa","versicolor","virginica"},0),"Setosa","Versicolor","Virginica")</f>
        <v>Setosa</v>
      </c>
      <c r="J14" s="3" t="str" cm="1">
        <f t="array" ref="J14">_xlfn.SWITCH(B14,"setosa","Setosa Flower","versicolor","Versicolor Flower","virginica","Virginica Flower","Unknown")</f>
        <v>Setosa Flower</v>
      </c>
      <c r="K14" s="3" t="str">
        <f t="shared" si="3"/>
        <v>Error</v>
      </c>
      <c r="L14" s="3" t="str">
        <f t="shared" si="4"/>
        <v>Available</v>
      </c>
      <c r="M14" s="3" t="str">
        <f t="shared" si="5"/>
        <v>Numeric</v>
      </c>
    </row>
    <row r="15" spans="1:13" x14ac:dyDescent="0.25">
      <c r="A15" s="3">
        <f>RAW_DATA!A15</f>
        <v>4.3</v>
      </c>
      <c r="B15" s="3" t="str">
        <f>RAW_DATA!E15</f>
        <v>setosa</v>
      </c>
      <c r="C15" s="3" t="str">
        <f t="shared" si="0"/>
        <v>SHORT</v>
      </c>
      <c r="D15" s="3" t="str" cm="1">
        <f t="array" ref="D15">_xlfn.IFS(A15&lt;5,"Short",A15&lt;6,"Medium",A15&gt;=6,"Long")</f>
        <v>Short</v>
      </c>
      <c r="E15" s="3" t="str">
        <f>IF(AND(RAW_DATA!C15&gt;4,RAW_DATA!D15&gt;1.5),"Large Petals","Not Large")</f>
        <v>Not Large</v>
      </c>
      <c r="F15" s="3" t="str">
        <f>IF(OR(RAW_DATA!A15&gt;6,RAW_DATA!C15&gt;4),"Large Flower","Normal Flower")</f>
        <v>Normal Flower</v>
      </c>
      <c r="G15" s="3" t="str">
        <f t="shared" si="1"/>
        <v>Setosa</v>
      </c>
      <c r="H15" s="3" t="str">
        <f t="shared" si="2"/>
        <v>Small</v>
      </c>
      <c r="I15" s="3" t="str">
        <f>CHOOSE(MATCH(B15,{"setosa","versicolor","virginica"},0),"Setosa","Versicolor","Virginica")</f>
        <v>Setosa</v>
      </c>
      <c r="J15" s="3" t="str" cm="1">
        <f t="array" ref="J15">_xlfn.SWITCH(B15,"setosa","Setosa Flower","versicolor","Versicolor Flower","virginica","Virginica Flower","Unknown")</f>
        <v>Setosa Flower</v>
      </c>
      <c r="K15" s="3" t="str">
        <f t="shared" si="3"/>
        <v>Error</v>
      </c>
      <c r="L15" s="3" t="str">
        <f t="shared" si="4"/>
        <v>Available</v>
      </c>
      <c r="M15" s="3" t="str">
        <f t="shared" si="5"/>
        <v>Numeric</v>
      </c>
    </row>
    <row r="16" spans="1:13" x14ac:dyDescent="0.25">
      <c r="A16" s="3">
        <f>RAW_DATA!A16</f>
        <v>5.8</v>
      </c>
      <c r="B16" s="3" t="str">
        <f>RAW_DATA!E16</f>
        <v>setosa</v>
      </c>
      <c r="C16" s="3" t="str">
        <f t="shared" si="0"/>
        <v>LONG</v>
      </c>
      <c r="D16" s="3" t="str" cm="1">
        <f t="array" ref="D16">_xlfn.IFS(A16&lt;5,"Short",A16&lt;6,"Medium",A16&gt;=6,"Long")</f>
        <v>Medium</v>
      </c>
      <c r="E16" s="3" t="str">
        <f>IF(AND(RAW_DATA!C16&gt;4,RAW_DATA!D16&gt;1.5),"Large Petals","Not Large")</f>
        <v>Not Large</v>
      </c>
      <c r="F16" s="3" t="str">
        <f>IF(OR(RAW_DATA!A16&gt;6,RAW_DATA!C16&gt;4),"Large Flower","Normal Flower")</f>
        <v>Normal Flower</v>
      </c>
      <c r="G16" s="3" t="str">
        <f t="shared" si="1"/>
        <v>Setosa</v>
      </c>
      <c r="H16" s="3" t="str">
        <f t="shared" si="2"/>
        <v>Medium</v>
      </c>
      <c r="I16" s="3" t="str">
        <f>CHOOSE(MATCH(B16,{"setosa","versicolor","virginica"},0),"Setosa","Versicolor","Virginica")</f>
        <v>Setosa</v>
      </c>
      <c r="J16" s="3" t="str" cm="1">
        <f t="array" ref="J16">_xlfn.SWITCH(B16,"setosa","Setosa Flower","versicolor","Versicolor Flower","virginica","Virginica Flower","Unknown")</f>
        <v>Setosa Flower</v>
      </c>
      <c r="K16" s="3" t="str">
        <f t="shared" si="3"/>
        <v>Error</v>
      </c>
      <c r="L16" s="3" t="str">
        <f t="shared" si="4"/>
        <v>Available</v>
      </c>
      <c r="M16" s="3" t="str">
        <f t="shared" si="5"/>
        <v>Numeric</v>
      </c>
    </row>
    <row r="17" spans="1:13" x14ac:dyDescent="0.25">
      <c r="A17" s="3">
        <f>RAW_DATA!A17</f>
        <v>5.7</v>
      </c>
      <c r="B17" s="3" t="str">
        <f>RAW_DATA!E17</f>
        <v>setosa</v>
      </c>
      <c r="C17" s="3" t="str">
        <f t="shared" si="0"/>
        <v>LONG</v>
      </c>
      <c r="D17" s="3" t="str" cm="1">
        <f t="array" ref="D17">_xlfn.IFS(A17&lt;5,"Short",A17&lt;6,"Medium",A17&gt;=6,"Long")</f>
        <v>Medium</v>
      </c>
      <c r="E17" s="3" t="str">
        <f>IF(AND(RAW_DATA!C17&gt;4,RAW_DATA!D17&gt;1.5),"Large Petals","Not Large")</f>
        <v>Not Large</v>
      </c>
      <c r="F17" s="3" t="str">
        <f>IF(OR(RAW_DATA!A17&gt;6,RAW_DATA!C17&gt;4),"Large Flower","Normal Flower")</f>
        <v>Normal Flower</v>
      </c>
      <c r="G17" s="3" t="str">
        <f t="shared" si="1"/>
        <v>Setosa</v>
      </c>
      <c r="H17" s="3" t="str">
        <f t="shared" si="2"/>
        <v>Medium</v>
      </c>
      <c r="I17" s="3" t="str">
        <f>CHOOSE(MATCH(B17,{"setosa","versicolor","virginica"},0),"Setosa","Versicolor","Virginica")</f>
        <v>Setosa</v>
      </c>
      <c r="J17" s="3" t="str" cm="1">
        <f t="array" ref="J17">_xlfn.SWITCH(B17,"setosa","Setosa Flower","versicolor","Versicolor Flower","virginica","Virginica Flower","Unknown")</f>
        <v>Setosa Flower</v>
      </c>
      <c r="K17" s="3" t="str">
        <f t="shared" si="3"/>
        <v>Error</v>
      </c>
      <c r="L17" s="3" t="str">
        <f t="shared" si="4"/>
        <v>Available</v>
      </c>
      <c r="M17" s="3" t="str">
        <f t="shared" si="5"/>
        <v>Numeric</v>
      </c>
    </row>
    <row r="18" spans="1:13" x14ac:dyDescent="0.25">
      <c r="A18" s="3">
        <f>RAW_DATA!A18</f>
        <v>5.4</v>
      </c>
      <c r="B18" s="3" t="str">
        <f>RAW_DATA!E18</f>
        <v>setosa</v>
      </c>
      <c r="C18" s="3" t="str">
        <f t="shared" si="0"/>
        <v>LONG</v>
      </c>
      <c r="D18" s="3" t="str" cm="1">
        <f t="array" ref="D18">_xlfn.IFS(A18&lt;5,"Short",A18&lt;6,"Medium",A18&gt;=6,"Long")</f>
        <v>Medium</v>
      </c>
      <c r="E18" s="3" t="str">
        <f>IF(AND(RAW_DATA!C18&gt;4,RAW_DATA!D18&gt;1.5),"Large Petals","Not Large")</f>
        <v>Not Large</v>
      </c>
      <c r="F18" s="3" t="str">
        <f>IF(OR(RAW_DATA!A18&gt;6,RAW_DATA!C18&gt;4),"Large Flower","Normal Flower")</f>
        <v>Normal Flower</v>
      </c>
      <c r="G18" s="3" t="str">
        <f t="shared" si="1"/>
        <v>Setosa</v>
      </c>
      <c r="H18" s="3" t="str">
        <f t="shared" si="2"/>
        <v>Medium</v>
      </c>
      <c r="I18" s="3" t="str">
        <f>CHOOSE(MATCH(B18,{"setosa","versicolor","virginica"},0),"Setosa","Versicolor","Virginica")</f>
        <v>Setosa</v>
      </c>
      <c r="J18" s="3" t="str" cm="1">
        <f t="array" ref="J18">_xlfn.SWITCH(B18,"setosa","Setosa Flower","versicolor","Versicolor Flower","virginica","Virginica Flower","Unknown")</f>
        <v>Setosa Flower</v>
      </c>
      <c r="K18" s="3" t="str">
        <f t="shared" si="3"/>
        <v>Error</v>
      </c>
      <c r="L18" s="3" t="str">
        <f t="shared" si="4"/>
        <v>Available</v>
      </c>
      <c r="M18" s="3" t="str">
        <f t="shared" si="5"/>
        <v>Numeric</v>
      </c>
    </row>
    <row r="19" spans="1:13" x14ac:dyDescent="0.25">
      <c r="A19" s="3">
        <f>RAW_DATA!A19</f>
        <v>5.0999999999999996</v>
      </c>
      <c r="B19" s="3" t="str">
        <f>RAW_DATA!E19</f>
        <v>setosa</v>
      </c>
      <c r="C19" s="3" t="str">
        <f t="shared" si="0"/>
        <v>LONG</v>
      </c>
      <c r="D19" s="3" t="str" cm="1">
        <f t="array" ref="D19">_xlfn.IFS(A19&lt;5,"Short",A19&lt;6,"Medium",A19&gt;=6,"Long")</f>
        <v>Medium</v>
      </c>
      <c r="E19" s="3" t="str">
        <f>IF(AND(RAW_DATA!C19&gt;4,RAW_DATA!D19&gt;1.5),"Large Petals","Not Large")</f>
        <v>Not Large</v>
      </c>
      <c r="F19" s="3" t="str">
        <f>IF(OR(RAW_DATA!A19&gt;6,RAW_DATA!C19&gt;4),"Large Flower","Normal Flower")</f>
        <v>Normal Flower</v>
      </c>
      <c r="G19" s="3" t="str">
        <f t="shared" si="1"/>
        <v>Setosa</v>
      </c>
      <c r="H19" s="3" t="str">
        <f t="shared" si="2"/>
        <v>Medium</v>
      </c>
      <c r="I19" s="3" t="str">
        <f>CHOOSE(MATCH(B19,{"setosa","versicolor","virginica"},0),"Setosa","Versicolor","Virginica")</f>
        <v>Setosa</v>
      </c>
      <c r="J19" s="3" t="str" cm="1">
        <f t="array" ref="J19">_xlfn.SWITCH(B19,"setosa","Setosa Flower","versicolor","Versicolor Flower","virginica","Virginica Flower","Unknown")</f>
        <v>Setosa Flower</v>
      </c>
      <c r="K19" s="3" t="str">
        <f t="shared" si="3"/>
        <v>Error</v>
      </c>
      <c r="L19" s="3" t="str">
        <f t="shared" si="4"/>
        <v>Available</v>
      </c>
      <c r="M19" s="3" t="str">
        <f t="shared" si="5"/>
        <v>Numeric</v>
      </c>
    </row>
    <row r="20" spans="1:13" x14ac:dyDescent="0.25">
      <c r="A20" s="3">
        <f>RAW_DATA!A20</f>
        <v>5.7</v>
      </c>
      <c r="B20" s="3" t="str">
        <f>RAW_DATA!E20</f>
        <v>setosa</v>
      </c>
      <c r="C20" s="3" t="str">
        <f t="shared" si="0"/>
        <v>LONG</v>
      </c>
      <c r="D20" s="3" t="str" cm="1">
        <f t="array" ref="D20">_xlfn.IFS(A20&lt;5,"Short",A20&lt;6,"Medium",A20&gt;=6,"Long")</f>
        <v>Medium</v>
      </c>
      <c r="E20" s="3" t="str">
        <f>IF(AND(RAW_DATA!C20&gt;4,RAW_DATA!D20&gt;1.5),"Large Petals","Not Large")</f>
        <v>Not Large</v>
      </c>
      <c r="F20" s="3" t="str">
        <f>IF(OR(RAW_DATA!A20&gt;6,RAW_DATA!C20&gt;4),"Large Flower","Normal Flower")</f>
        <v>Normal Flower</v>
      </c>
      <c r="G20" s="3" t="str">
        <f t="shared" si="1"/>
        <v>Setosa</v>
      </c>
      <c r="H20" s="3" t="str">
        <f t="shared" si="2"/>
        <v>Medium</v>
      </c>
      <c r="I20" s="3" t="str">
        <f>CHOOSE(MATCH(B20,{"setosa","versicolor","virginica"},0),"Setosa","Versicolor","Virginica")</f>
        <v>Setosa</v>
      </c>
      <c r="J20" s="3" t="str" cm="1">
        <f t="array" ref="J20">_xlfn.SWITCH(B20,"setosa","Setosa Flower","versicolor","Versicolor Flower","virginica","Virginica Flower","Unknown")</f>
        <v>Setosa Flower</v>
      </c>
      <c r="K20" s="3" t="str">
        <f t="shared" si="3"/>
        <v>Error</v>
      </c>
      <c r="L20" s="3" t="str">
        <f t="shared" si="4"/>
        <v>Available</v>
      </c>
      <c r="M20" s="3" t="str">
        <f t="shared" si="5"/>
        <v>Numeric</v>
      </c>
    </row>
    <row r="21" spans="1:13" x14ac:dyDescent="0.25">
      <c r="A21" s="3">
        <f>RAW_DATA!A21</f>
        <v>5.0999999999999996</v>
      </c>
      <c r="B21" s="3" t="str">
        <f>RAW_DATA!E21</f>
        <v>setosa</v>
      </c>
      <c r="C21" s="3" t="str">
        <f t="shared" si="0"/>
        <v>LONG</v>
      </c>
      <c r="D21" s="3" t="str" cm="1">
        <f t="array" ref="D21">_xlfn.IFS(A21&lt;5,"Short",A21&lt;6,"Medium",A21&gt;=6,"Long")</f>
        <v>Medium</v>
      </c>
      <c r="E21" s="3" t="str">
        <f>IF(AND(RAW_DATA!C21&gt;4,RAW_DATA!D21&gt;1.5),"Large Petals","Not Large")</f>
        <v>Not Large</v>
      </c>
      <c r="F21" s="3" t="str">
        <f>IF(OR(RAW_DATA!A21&gt;6,RAW_DATA!C21&gt;4),"Large Flower","Normal Flower")</f>
        <v>Normal Flower</v>
      </c>
      <c r="G21" s="3" t="str">
        <f t="shared" si="1"/>
        <v>Setosa</v>
      </c>
      <c r="H21" s="3" t="str">
        <f t="shared" si="2"/>
        <v>Medium</v>
      </c>
      <c r="I21" s="3" t="str">
        <f>CHOOSE(MATCH(B21,{"setosa","versicolor","virginica"},0),"Setosa","Versicolor","Virginica")</f>
        <v>Setosa</v>
      </c>
      <c r="J21" s="3" t="str" cm="1">
        <f t="array" ref="J21">_xlfn.SWITCH(B21,"setosa","Setosa Flower","versicolor","Versicolor Flower","virginica","Virginica Flower","Unknown")</f>
        <v>Setosa Flower</v>
      </c>
      <c r="K21" s="3" t="str">
        <f t="shared" si="3"/>
        <v>Error</v>
      </c>
      <c r="L21" s="3" t="str">
        <f t="shared" si="4"/>
        <v>Available</v>
      </c>
      <c r="M21" s="3" t="str">
        <f t="shared" si="5"/>
        <v>Numeric</v>
      </c>
    </row>
    <row r="22" spans="1:13" x14ac:dyDescent="0.25">
      <c r="A22" s="3">
        <f>RAW_DATA!A22</f>
        <v>5.4</v>
      </c>
      <c r="B22" s="3" t="str">
        <f>RAW_DATA!E22</f>
        <v>setosa</v>
      </c>
      <c r="C22" s="3" t="str">
        <f t="shared" si="0"/>
        <v>LONG</v>
      </c>
      <c r="D22" s="3" t="str" cm="1">
        <f t="array" ref="D22">_xlfn.IFS(A22&lt;5,"Short",A22&lt;6,"Medium",A22&gt;=6,"Long")</f>
        <v>Medium</v>
      </c>
      <c r="E22" s="3" t="str">
        <f>IF(AND(RAW_DATA!C22&gt;4,RAW_DATA!D22&gt;1.5),"Large Petals","Not Large")</f>
        <v>Not Large</v>
      </c>
      <c r="F22" s="3" t="str">
        <f>IF(OR(RAW_DATA!A22&gt;6,RAW_DATA!C22&gt;4),"Large Flower","Normal Flower")</f>
        <v>Normal Flower</v>
      </c>
      <c r="G22" s="3" t="str">
        <f t="shared" si="1"/>
        <v>Setosa</v>
      </c>
      <c r="H22" s="3" t="str">
        <f t="shared" si="2"/>
        <v>Medium</v>
      </c>
      <c r="I22" s="3" t="str">
        <f>CHOOSE(MATCH(B22,{"setosa","versicolor","virginica"},0),"Setosa","Versicolor","Virginica")</f>
        <v>Setosa</v>
      </c>
      <c r="J22" s="3" t="str" cm="1">
        <f t="array" ref="J22">_xlfn.SWITCH(B22,"setosa","Setosa Flower","versicolor","Versicolor Flower","virginica","Virginica Flower","Unknown")</f>
        <v>Setosa Flower</v>
      </c>
      <c r="K22" s="3" t="str">
        <f t="shared" si="3"/>
        <v>Error</v>
      </c>
      <c r="L22" s="3" t="str">
        <f t="shared" si="4"/>
        <v>Available</v>
      </c>
      <c r="M22" s="3" t="str">
        <f t="shared" si="5"/>
        <v>Numeric</v>
      </c>
    </row>
    <row r="23" spans="1:13" x14ac:dyDescent="0.25">
      <c r="A23" s="3">
        <f>RAW_DATA!A23</f>
        <v>5.0999999999999996</v>
      </c>
      <c r="B23" s="3" t="str">
        <f>RAW_DATA!E23</f>
        <v>setosa</v>
      </c>
      <c r="C23" s="3" t="str">
        <f t="shared" si="0"/>
        <v>LONG</v>
      </c>
      <c r="D23" s="3" t="str" cm="1">
        <f t="array" ref="D23">_xlfn.IFS(A23&lt;5,"Short",A23&lt;6,"Medium",A23&gt;=6,"Long")</f>
        <v>Medium</v>
      </c>
      <c r="E23" s="3" t="str">
        <f>IF(AND(RAW_DATA!C23&gt;4,RAW_DATA!D23&gt;1.5),"Large Petals","Not Large")</f>
        <v>Not Large</v>
      </c>
      <c r="F23" s="3" t="str">
        <f>IF(OR(RAW_DATA!A23&gt;6,RAW_DATA!C23&gt;4),"Large Flower","Normal Flower")</f>
        <v>Normal Flower</v>
      </c>
      <c r="G23" s="3" t="str">
        <f t="shared" si="1"/>
        <v>Setosa</v>
      </c>
      <c r="H23" s="3" t="str">
        <f t="shared" si="2"/>
        <v>Medium</v>
      </c>
      <c r="I23" s="3" t="str">
        <f>CHOOSE(MATCH(B23,{"setosa","versicolor","virginica"},0),"Setosa","Versicolor","Virginica")</f>
        <v>Setosa</v>
      </c>
      <c r="J23" s="3" t="str" cm="1">
        <f t="array" ref="J23">_xlfn.SWITCH(B23,"setosa","Setosa Flower","versicolor","Versicolor Flower","virginica","Virginica Flower","Unknown")</f>
        <v>Setosa Flower</v>
      </c>
      <c r="K23" s="3" t="str">
        <f t="shared" si="3"/>
        <v>Error</v>
      </c>
      <c r="L23" s="3" t="str">
        <f t="shared" si="4"/>
        <v>Available</v>
      </c>
      <c r="M23" s="3" t="str">
        <f t="shared" si="5"/>
        <v>Numeric</v>
      </c>
    </row>
    <row r="24" spans="1:13" x14ac:dyDescent="0.25">
      <c r="A24" s="3">
        <f>RAW_DATA!A24</f>
        <v>4.5999999999999996</v>
      </c>
      <c r="B24" s="3" t="str">
        <f>RAW_DATA!E24</f>
        <v>setosa</v>
      </c>
      <c r="C24" s="3" t="str">
        <f t="shared" si="0"/>
        <v>SHORT</v>
      </c>
      <c r="D24" s="3" t="str" cm="1">
        <f t="array" ref="D24">_xlfn.IFS(A24&lt;5,"Short",A24&lt;6,"Medium",A24&gt;=6,"Long")</f>
        <v>Short</v>
      </c>
      <c r="E24" s="3" t="str">
        <f>IF(AND(RAW_DATA!C24&gt;4,RAW_DATA!D24&gt;1.5),"Large Petals","Not Large")</f>
        <v>Not Large</v>
      </c>
      <c r="F24" s="3" t="str">
        <f>IF(OR(RAW_DATA!A24&gt;6,RAW_DATA!C24&gt;4),"Large Flower","Normal Flower")</f>
        <v>Normal Flower</v>
      </c>
      <c r="G24" s="3" t="str">
        <f t="shared" si="1"/>
        <v>Setosa</v>
      </c>
      <c r="H24" s="3" t="str">
        <f t="shared" si="2"/>
        <v>Small</v>
      </c>
      <c r="I24" s="3" t="str">
        <f>CHOOSE(MATCH(B24,{"setosa","versicolor","virginica"},0),"Setosa","Versicolor","Virginica")</f>
        <v>Setosa</v>
      </c>
      <c r="J24" s="3" t="str" cm="1">
        <f t="array" ref="J24">_xlfn.SWITCH(B24,"setosa","Setosa Flower","versicolor","Versicolor Flower","virginica","Virginica Flower","Unknown")</f>
        <v>Setosa Flower</v>
      </c>
      <c r="K24" s="3" t="str">
        <f t="shared" si="3"/>
        <v>Error</v>
      </c>
      <c r="L24" s="3" t="str">
        <f t="shared" si="4"/>
        <v>Available</v>
      </c>
      <c r="M24" s="3" t="str">
        <f t="shared" si="5"/>
        <v>Numeric</v>
      </c>
    </row>
    <row r="25" spans="1:13" x14ac:dyDescent="0.25">
      <c r="A25" s="3">
        <f>RAW_DATA!A25</f>
        <v>5.0999999999999996</v>
      </c>
      <c r="B25" s="3" t="str">
        <f>RAW_DATA!E25</f>
        <v>setosa</v>
      </c>
      <c r="C25" s="3" t="str">
        <f t="shared" si="0"/>
        <v>LONG</v>
      </c>
      <c r="D25" s="3" t="str" cm="1">
        <f t="array" ref="D25">_xlfn.IFS(A25&lt;5,"Short",A25&lt;6,"Medium",A25&gt;=6,"Long")</f>
        <v>Medium</v>
      </c>
      <c r="E25" s="3" t="str">
        <f>IF(AND(RAW_DATA!C25&gt;4,RAW_DATA!D25&gt;1.5),"Large Petals","Not Large")</f>
        <v>Not Large</v>
      </c>
      <c r="F25" s="3" t="str">
        <f>IF(OR(RAW_DATA!A25&gt;6,RAW_DATA!C25&gt;4),"Large Flower","Normal Flower")</f>
        <v>Normal Flower</v>
      </c>
      <c r="G25" s="3" t="str">
        <f t="shared" si="1"/>
        <v>Setosa</v>
      </c>
      <c r="H25" s="3" t="str">
        <f t="shared" si="2"/>
        <v>Medium</v>
      </c>
      <c r="I25" s="3" t="str">
        <f>CHOOSE(MATCH(B25,{"setosa","versicolor","virginica"},0),"Setosa","Versicolor","Virginica")</f>
        <v>Setosa</v>
      </c>
      <c r="J25" s="3" t="str" cm="1">
        <f t="array" ref="J25">_xlfn.SWITCH(B25,"setosa","Setosa Flower","versicolor","Versicolor Flower","virginica","Virginica Flower","Unknown")</f>
        <v>Setosa Flower</v>
      </c>
      <c r="K25" s="3" t="str">
        <f t="shared" si="3"/>
        <v>Error</v>
      </c>
      <c r="L25" s="3" t="str">
        <f t="shared" si="4"/>
        <v>Available</v>
      </c>
      <c r="M25" s="3" t="str">
        <f t="shared" si="5"/>
        <v>Numeric</v>
      </c>
    </row>
    <row r="26" spans="1:13" x14ac:dyDescent="0.25">
      <c r="A26" s="3">
        <f>RAW_DATA!A26</f>
        <v>4.8</v>
      </c>
      <c r="B26" s="3" t="str">
        <f>RAW_DATA!E26</f>
        <v>setosa</v>
      </c>
      <c r="C26" s="3" t="str">
        <f t="shared" si="0"/>
        <v>SHORT</v>
      </c>
      <c r="D26" s="3" t="str" cm="1">
        <f t="array" ref="D26">_xlfn.IFS(A26&lt;5,"Short",A26&lt;6,"Medium",A26&gt;=6,"Long")</f>
        <v>Short</v>
      </c>
      <c r="E26" s="3" t="str">
        <f>IF(AND(RAW_DATA!C26&gt;4,RAW_DATA!D26&gt;1.5),"Large Petals","Not Large")</f>
        <v>Not Large</v>
      </c>
      <c r="F26" s="3" t="str">
        <f>IF(OR(RAW_DATA!A26&gt;6,RAW_DATA!C26&gt;4),"Large Flower","Normal Flower")</f>
        <v>Normal Flower</v>
      </c>
      <c r="G26" s="3" t="str">
        <f t="shared" si="1"/>
        <v>Setosa</v>
      </c>
      <c r="H26" s="3" t="str">
        <f t="shared" si="2"/>
        <v>Small</v>
      </c>
      <c r="I26" s="3" t="str">
        <f>CHOOSE(MATCH(B26,{"setosa","versicolor","virginica"},0),"Setosa","Versicolor","Virginica")</f>
        <v>Setosa</v>
      </c>
      <c r="J26" s="3" t="str" cm="1">
        <f t="array" ref="J26">_xlfn.SWITCH(B26,"setosa","Setosa Flower","versicolor","Versicolor Flower","virginica","Virginica Flower","Unknown")</f>
        <v>Setosa Flower</v>
      </c>
      <c r="K26" s="3" t="str">
        <f t="shared" si="3"/>
        <v>Error</v>
      </c>
      <c r="L26" s="3" t="str">
        <f t="shared" si="4"/>
        <v>Available</v>
      </c>
      <c r="M26" s="3" t="str">
        <f t="shared" si="5"/>
        <v>Numeric</v>
      </c>
    </row>
    <row r="27" spans="1:13" x14ac:dyDescent="0.25">
      <c r="A27" s="3">
        <f>RAW_DATA!A27</f>
        <v>5</v>
      </c>
      <c r="B27" s="3" t="str">
        <f>RAW_DATA!E27</f>
        <v>setosa</v>
      </c>
      <c r="C27" s="3" t="str">
        <f t="shared" si="0"/>
        <v>LONG</v>
      </c>
      <c r="D27" s="3" t="str" cm="1">
        <f t="array" ref="D27">_xlfn.IFS(A27&lt;5,"Short",A27&lt;6,"Medium",A27&gt;=6,"Long")</f>
        <v>Medium</v>
      </c>
      <c r="E27" s="3" t="str">
        <f>IF(AND(RAW_DATA!C27&gt;4,RAW_DATA!D27&gt;1.5),"Large Petals","Not Large")</f>
        <v>Not Large</v>
      </c>
      <c r="F27" s="3" t="str">
        <f>IF(OR(RAW_DATA!A27&gt;6,RAW_DATA!C27&gt;4),"Large Flower","Normal Flower")</f>
        <v>Normal Flower</v>
      </c>
      <c r="G27" s="3" t="str">
        <f t="shared" si="1"/>
        <v>Setosa</v>
      </c>
      <c r="H27" s="3" t="str">
        <f t="shared" si="2"/>
        <v>Medium</v>
      </c>
      <c r="I27" s="3" t="str">
        <f>CHOOSE(MATCH(B27,{"setosa","versicolor","virginica"},0),"Setosa","Versicolor","Virginica")</f>
        <v>Setosa</v>
      </c>
      <c r="J27" s="3" t="str" cm="1">
        <f t="array" ref="J27">_xlfn.SWITCH(B27,"setosa","Setosa Flower","versicolor","Versicolor Flower","virginica","Virginica Flower","Unknown")</f>
        <v>Setosa Flower</v>
      </c>
      <c r="K27" s="3" t="str">
        <f t="shared" si="3"/>
        <v>Error</v>
      </c>
      <c r="L27" s="3" t="str">
        <f t="shared" si="4"/>
        <v>Available</v>
      </c>
      <c r="M27" s="3" t="str">
        <f t="shared" si="5"/>
        <v>Numeric</v>
      </c>
    </row>
    <row r="28" spans="1:13" x14ac:dyDescent="0.25">
      <c r="A28" s="3">
        <f>RAW_DATA!A28</f>
        <v>5</v>
      </c>
      <c r="B28" s="3" t="str">
        <f>RAW_DATA!E28</f>
        <v>setosa</v>
      </c>
      <c r="C28" s="3" t="str">
        <f t="shared" si="0"/>
        <v>LONG</v>
      </c>
      <c r="D28" s="3" t="str" cm="1">
        <f t="array" ref="D28">_xlfn.IFS(A28&lt;5,"Short",A28&lt;6,"Medium",A28&gt;=6,"Long")</f>
        <v>Medium</v>
      </c>
      <c r="E28" s="3" t="str">
        <f>IF(AND(RAW_DATA!C28&gt;4,RAW_DATA!D28&gt;1.5),"Large Petals","Not Large")</f>
        <v>Not Large</v>
      </c>
      <c r="F28" s="3" t="str">
        <f>IF(OR(RAW_DATA!A28&gt;6,RAW_DATA!C28&gt;4),"Large Flower","Normal Flower")</f>
        <v>Normal Flower</v>
      </c>
      <c r="G28" s="3" t="str">
        <f t="shared" si="1"/>
        <v>Setosa</v>
      </c>
      <c r="H28" s="3" t="str">
        <f t="shared" si="2"/>
        <v>Medium</v>
      </c>
      <c r="I28" s="3" t="str">
        <f>CHOOSE(MATCH(B28,{"setosa","versicolor","virginica"},0),"Setosa","Versicolor","Virginica")</f>
        <v>Setosa</v>
      </c>
      <c r="J28" s="3" t="str" cm="1">
        <f t="array" ref="J28">_xlfn.SWITCH(B28,"setosa","Setosa Flower","versicolor","Versicolor Flower","virginica","Virginica Flower","Unknown")</f>
        <v>Setosa Flower</v>
      </c>
      <c r="K28" s="3" t="str">
        <f t="shared" si="3"/>
        <v>Error</v>
      </c>
      <c r="L28" s="3" t="str">
        <f t="shared" si="4"/>
        <v>Available</v>
      </c>
      <c r="M28" s="3" t="str">
        <f t="shared" si="5"/>
        <v>Numeric</v>
      </c>
    </row>
    <row r="29" spans="1:13" x14ac:dyDescent="0.25">
      <c r="A29" s="3">
        <f>RAW_DATA!A29</f>
        <v>5.2</v>
      </c>
      <c r="B29" s="3" t="str">
        <f>RAW_DATA!E29</f>
        <v>setosa</v>
      </c>
      <c r="C29" s="3" t="str">
        <f t="shared" si="0"/>
        <v>LONG</v>
      </c>
      <c r="D29" s="3" t="str" cm="1">
        <f t="array" ref="D29">_xlfn.IFS(A29&lt;5,"Short",A29&lt;6,"Medium",A29&gt;=6,"Long")</f>
        <v>Medium</v>
      </c>
      <c r="E29" s="3" t="str">
        <f>IF(AND(RAW_DATA!C29&gt;4,RAW_DATA!D29&gt;1.5),"Large Petals","Not Large")</f>
        <v>Not Large</v>
      </c>
      <c r="F29" s="3" t="str">
        <f>IF(OR(RAW_DATA!A29&gt;6,RAW_DATA!C29&gt;4),"Large Flower","Normal Flower")</f>
        <v>Normal Flower</v>
      </c>
      <c r="G29" s="3" t="str">
        <f t="shared" si="1"/>
        <v>Setosa</v>
      </c>
      <c r="H29" s="3" t="str">
        <f t="shared" si="2"/>
        <v>Medium</v>
      </c>
      <c r="I29" s="3" t="str">
        <f>CHOOSE(MATCH(B29,{"setosa","versicolor","virginica"},0),"Setosa","Versicolor","Virginica")</f>
        <v>Setosa</v>
      </c>
      <c r="J29" s="3" t="str" cm="1">
        <f t="array" ref="J29">_xlfn.SWITCH(B29,"setosa","Setosa Flower","versicolor","Versicolor Flower","virginica","Virginica Flower","Unknown")</f>
        <v>Setosa Flower</v>
      </c>
      <c r="K29" s="3" t="str">
        <f t="shared" si="3"/>
        <v>Error</v>
      </c>
      <c r="L29" s="3" t="str">
        <f t="shared" si="4"/>
        <v>Available</v>
      </c>
      <c r="M29" s="3" t="str">
        <f t="shared" si="5"/>
        <v>Numeric</v>
      </c>
    </row>
    <row r="30" spans="1:13" x14ac:dyDescent="0.25">
      <c r="A30" s="3">
        <f>RAW_DATA!A30</f>
        <v>5.2</v>
      </c>
      <c r="B30" s="3" t="str">
        <f>RAW_DATA!E30</f>
        <v>setosa</v>
      </c>
      <c r="C30" s="3" t="str">
        <f t="shared" si="0"/>
        <v>LONG</v>
      </c>
      <c r="D30" s="3" t="str" cm="1">
        <f t="array" ref="D30">_xlfn.IFS(A30&lt;5,"Short",A30&lt;6,"Medium",A30&gt;=6,"Long")</f>
        <v>Medium</v>
      </c>
      <c r="E30" s="3" t="str">
        <f>IF(AND(RAW_DATA!C30&gt;4,RAW_DATA!D30&gt;1.5),"Large Petals","Not Large")</f>
        <v>Not Large</v>
      </c>
      <c r="F30" s="3" t="str">
        <f>IF(OR(RAW_DATA!A30&gt;6,RAW_DATA!C30&gt;4),"Large Flower","Normal Flower")</f>
        <v>Normal Flower</v>
      </c>
      <c r="G30" s="3" t="str">
        <f t="shared" si="1"/>
        <v>Setosa</v>
      </c>
      <c r="H30" s="3" t="str">
        <f t="shared" si="2"/>
        <v>Medium</v>
      </c>
      <c r="I30" s="3" t="str">
        <f>CHOOSE(MATCH(B30,{"setosa","versicolor","virginica"},0),"Setosa","Versicolor","Virginica")</f>
        <v>Setosa</v>
      </c>
      <c r="J30" s="3" t="str" cm="1">
        <f t="array" ref="J30">_xlfn.SWITCH(B30,"setosa","Setosa Flower","versicolor","Versicolor Flower","virginica","Virginica Flower","Unknown")</f>
        <v>Setosa Flower</v>
      </c>
      <c r="K30" s="3" t="str">
        <f t="shared" si="3"/>
        <v>Error</v>
      </c>
      <c r="L30" s="3" t="str">
        <f t="shared" si="4"/>
        <v>Available</v>
      </c>
      <c r="M30" s="3" t="str">
        <f t="shared" si="5"/>
        <v>Numeric</v>
      </c>
    </row>
    <row r="31" spans="1:13" x14ac:dyDescent="0.25">
      <c r="A31" s="3">
        <f>RAW_DATA!A31</f>
        <v>4.7</v>
      </c>
      <c r="B31" s="3" t="str">
        <f>RAW_DATA!E31</f>
        <v>setosa</v>
      </c>
      <c r="C31" s="3" t="str">
        <f t="shared" si="0"/>
        <v>SHORT</v>
      </c>
      <c r="D31" s="3" t="str" cm="1">
        <f t="array" ref="D31">_xlfn.IFS(A31&lt;5,"Short",A31&lt;6,"Medium",A31&gt;=6,"Long")</f>
        <v>Short</v>
      </c>
      <c r="E31" s="3" t="str">
        <f>IF(AND(RAW_DATA!C31&gt;4,RAW_DATA!D31&gt;1.5),"Large Petals","Not Large")</f>
        <v>Not Large</v>
      </c>
      <c r="F31" s="3" t="str">
        <f>IF(OR(RAW_DATA!A31&gt;6,RAW_DATA!C31&gt;4),"Large Flower","Normal Flower")</f>
        <v>Normal Flower</v>
      </c>
      <c r="G31" s="3" t="str">
        <f t="shared" si="1"/>
        <v>Setosa</v>
      </c>
      <c r="H31" s="3" t="str">
        <f t="shared" si="2"/>
        <v>Small</v>
      </c>
      <c r="I31" s="3" t="str">
        <f>CHOOSE(MATCH(B31,{"setosa","versicolor","virginica"},0),"Setosa","Versicolor","Virginica")</f>
        <v>Setosa</v>
      </c>
      <c r="J31" s="3" t="str" cm="1">
        <f t="array" ref="J31">_xlfn.SWITCH(B31,"setosa","Setosa Flower","versicolor","Versicolor Flower","virginica","Virginica Flower","Unknown")</f>
        <v>Setosa Flower</v>
      </c>
      <c r="K31" s="3" t="str">
        <f t="shared" si="3"/>
        <v>Error</v>
      </c>
      <c r="L31" s="3" t="str">
        <f t="shared" si="4"/>
        <v>Available</v>
      </c>
      <c r="M31" s="3" t="str">
        <f t="shared" si="5"/>
        <v>Numeric</v>
      </c>
    </row>
    <row r="32" spans="1:13" x14ac:dyDescent="0.25">
      <c r="A32" s="3">
        <f>RAW_DATA!A32</f>
        <v>4.8</v>
      </c>
      <c r="B32" s="3" t="str">
        <f>RAW_DATA!E32</f>
        <v>setosa</v>
      </c>
      <c r="C32" s="3" t="str">
        <f t="shared" si="0"/>
        <v>SHORT</v>
      </c>
      <c r="D32" s="3" t="str" cm="1">
        <f t="array" ref="D32">_xlfn.IFS(A32&lt;5,"Short",A32&lt;6,"Medium",A32&gt;=6,"Long")</f>
        <v>Short</v>
      </c>
      <c r="E32" s="3" t="str">
        <f>IF(AND(RAW_DATA!C32&gt;4,RAW_DATA!D32&gt;1.5),"Large Petals","Not Large")</f>
        <v>Not Large</v>
      </c>
      <c r="F32" s="3" t="str">
        <f>IF(OR(RAW_DATA!A32&gt;6,RAW_DATA!C32&gt;4),"Large Flower","Normal Flower")</f>
        <v>Normal Flower</v>
      </c>
      <c r="G32" s="3" t="str">
        <f t="shared" si="1"/>
        <v>Setosa</v>
      </c>
      <c r="H32" s="3" t="str">
        <f t="shared" si="2"/>
        <v>Small</v>
      </c>
      <c r="I32" s="3" t="str">
        <f>CHOOSE(MATCH(B32,{"setosa","versicolor","virginica"},0),"Setosa","Versicolor","Virginica")</f>
        <v>Setosa</v>
      </c>
      <c r="J32" s="3" t="str" cm="1">
        <f t="array" ref="J32">_xlfn.SWITCH(B32,"setosa","Setosa Flower","versicolor","Versicolor Flower","virginica","Virginica Flower","Unknown")</f>
        <v>Setosa Flower</v>
      </c>
      <c r="K32" s="3" t="str">
        <f t="shared" si="3"/>
        <v>Error</v>
      </c>
      <c r="L32" s="3" t="str">
        <f t="shared" si="4"/>
        <v>Available</v>
      </c>
      <c r="M32" s="3" t="str">
        <f t="shared" si="5"/>
        <v>Numeric</v>
      </c>
    </row>
    <row r="33" spans="1:13" x14ac:dyDescent="0.25">
      <c r="A33" s="3">
        <f>RAW_DATA!A33</f>
        <v>5.4</v>
      </c>
      <c r="B33" s="3" t="str">
        <f>RAW_DATA!E33</f>
        <v>setosa</v>
      </c>
      <c r="C33" s="3" t="str">
        <f t="shared" si="0"/>
        <v>LONG</v>
      </c>
      <c r="D33" s="3" t="str" cm="1">
        <f t="array" ref="D33">_xlfn.IFS(A33&lt;5,"Short",A33&lt;6,"Medium",A33&gt;=6,"Long")</f>
        <v>Medium</v>
      </c>
      <c r="E33" s="3" t="str">
        <f>IF(AND(RAW_DATA!C33&gt;4,RAW_DATA!D33&gt;1.5),"Large Petals","Not Large")</f>
        <v>Not Large</v>
      </c>
      <c r="F33" s="3" t="str">
        <f>IF(OR(RAW_DATA!A33&gt;6,RAW_DATA!C33&gt;4),"Large Flower","Normal Flower")</f>
        <v>Normal Flower</v>
      </c>
      <c r="G33" s="3" t="str">
        <f t="shared" si="1"/>
        <v>Setosa</v>
      </c>
      <c r="H33" s="3" t="str">
        <f t="shared" si="2"/>
        <v>Medium</v>
      </c>
      <c r="I33" s="3" t="str">
        <f>CHOOSE(MATCH(B33,{"setosa","versicolor","virginica"},0),"Setosa","Versicolor","Virginica")</f>
        <v>Setosa</v>
      </c>
      <c r="J33" s="3" t="str" cm="1">
        <f t="array" ref="J33">_xlfn.SWITCH(B33,"setosa","Setosa Flower","versicolor","Versicolor Flower","virginica","Virginica Flower","Unknown")</f>
        <v>Setosa Flower</v>
      </c>
      <c r="K33" s="3" t="str">
        <f t="shared" si="3"/>
        <v>Error</v>
      </c>
      <c r="L33" s="3" t="str">
        <f t="shared" si="4"/>
        <v>Available</v>
      </c>
      <c r="M33" s="3" t="str">
        <f t="shared" si="5"/>
        <v>Numeric</v>
      </c>
    </row>
    <row r="34" spans="1:13" x14ac:dyDescent="0.25">
      <c r="A34" s="3">
        <f>RAW_DATA!A34</f>
        <v>5.2</v>
      </c>
      <c r="B34" s="3" t="str">
        <f>RAW_DATA!E34</f>
        <v>setosa</v>
      </c>
      <c r="C34" s="3" t="str">
        <f t="shared" si="0"/>
        <v>LONG</v>
      </c>
      <c r="D34" s="3" t="str" cm="1">
        <f t="array" ref="D34">_xlfn.IFS(A34&lt;5,"Short",A34&lt;6,"Medium",A34&gt;=6,"Long")</f>
        <v>Medium</v>
      </c>
      <c r="E34" s="3" t="str">
        <f>IF(AND(RAW_DATA!C34&gt;4,RAW_DATA!D34&gt;1.5),"Large Petals","Not Large")</f>
        <v>Not Large</v>
      </c>
      <c r="F34" s="3" t="str">
        <f>IF(OR(RAW_DATA!A34&gt;6,RAW_DATA!C34&gt;4),"Large Flower","Normal Flower")</f>
        <v>Normal Flower</v>
      </c>
      <c r="G34" s="3" t="str">
        <f t="shared" si="1"/>
        <v>Setosa</v>
      </c>
      <c r="H34" s="3" t="str">
        <f t="shared" si="2"/>
        <v>Medium</v>
      </c>
      <c r="I34" s="3" t="str">
        <f>CHOOSE(MATCH(B34,{"setosa","versicolor","virginica"},0),"Setosa","Versicolor","Virginica")</f>
        <v>Setosa</v>
      </c>
      <c r="J34" s="3" t="str" cm="1">
        <f t="array" ref="J34">_xlfn.SWITCH(B34,"setosa","Setosa Flower","versicolor","Versicolor Flower","virginica","Virginica Flower","Unknown")</f>
        <v>Setosa Flower</v>
      </c>
      <c r="K34" s="3" t="str">
        <f t="shared" si="3"/>
        <v>Error</v>
      </c>
      <c r="L34" s="3" t="str">
        <f t="shared" si="4"/>
        <v>Available</v>
      </c>
      <c r="M34" s="3" t="str">
        <f t="shared" si="5"/>
        <v>Numeric</v>
      </c>
    </row>
    <row r="35" spans="1:13" x14ac:dyDescent="0.25">
      <c r="A35" s="3">
        <f>RAW_DATA!A35</f>
        <v>5.5</v>
      </c>
      <c r="B35" s="3" t="str">
        <f>RAW_DATA!E35</f>
        <v>setosa</v>
      </c>
      <c r="C35" s="3" t="str">
        <f t="shared" si="0"/>
        <v>LONG</v>
      </c>
      <c r="D35" s="3" t="str" cm="1">
        <f t="array" ref="D35">_xlfn.IFS(A35&lt;5,"Short",A35&lt;6,"Medium",A35&gt;=6,"Long")</f>
        <v>Medium</v>
      </c>
      <c r="E35" s="3" t="str">
        <f>IF(AND(RAW_DATA!C35&gt;4,RAW_DATA!D35&gt;1.5),"Large Petals","Not Large")</f>
        <v>Not Large</v>
      </c>
      <c r="F35" s="3" t="str">
        <f>IF(OR(RAW_DATA!A35&gt;6,RAW_DATA!C35&gt;4),"Large Flower","Normal Flower")</f>
        <v>Normal Flower</v>
      </c>
      <c r="G35" s="3" t="str">
        <f t="shared" si="1"/>
        <v>Setosa</v>
      </c>
      <c r="H35" s="3" t="str">
        <f t="shared" si="2"/>
        <v>Medium</v>
      </c>
      <c r="I35" s="3" t="str">
        <f>CHOOSE(MATCH(B35,{"setosa","versicolor","virginica"},0),"Setosa","Versicolor","Virginica")</f>
        <v>Setosa</v>
      </c>
      <c r="J35" s="3" t="str" cm="1">
        <f t="array" ref="J35">_xlfn.SWITCH(B35,"setosa","Setosa Flower","versicolor","Versicolor Flower","virginica","Virginica Flower","Unknown")</f>
        <v>Setosa Flower</v>
      </c>
      <c r="K35" s="3" t="str">
        <f t="shared" si="3"/>
        <v>Error</v>
      </c>
      <c r="L35" s="3" t="str">
        <f t="shared" si="4"/>
        <v>Available</v>
      </c>
      <c r="M35" s="3" t="str">
        <f t="shared" si="5"/>
        <v>Numeric</v>
      </c>
    </row>
    <row r="36" spans="1:13" x14ac:dyDescent="0.25">
      <c r="A36" s="3">
        <f>RAW_DATA!A36</f>
        <v>4.9000000000000004</v>
      </c>
      <c r="B36" s="3" t="str">
        <f>RAW_DATA!E36</f>
        <v>setosa</v>
      </c>
      <c r="C36" s="3" t="str">
        <f t="shared" si="0"/>
        <v>SHORT</v>
      </c>
      <c r="D36" s="3" t="str" cm="1">
        <f t="array" ref="D36">_xlfn.IFS(A36&lt;5,"Short",A36&lt;6,"Medium",A36&gt;=6,"Long")</f>
        <v>Short</v>
      </c>
      <c r="E36" s="3" t="str">
        <f>IF(AND(RAW_DATA!C36&gt;4,RAW_DATA!D36&gt;1.5),"Large Petals","Not Large")</f>
        <v>Not Large</v>
      </c>
      <c r="F36" s="3" t="str">
        <f>IF(OR(RAW_DATA!A36&gt;6,RAW_DATA!C36&gt;4),"Large Flower","Normal Flower")</f>
        <v>Normal Flower</v>
      </c>
      <c r="G36" s="3" t="str">
        <f t="shared" si="1"/>
        <v>Setosa</v>
      </c>
      <c r="H36" s="3" t="str">
        <f t="shared" si="2"/>
        <v>Small</v>
      </c>
      <c r="I36" s="3" t="str">
        <f>CHOOSE(MATCH(B36,{"setosa","versicolor","virginica"},0),"Setosa","Versicolor","Virginica")</f>
        <v>Setosa</v>
      </c>
      <c r="J36" s="3" t="str" cm="1">
        <f t="array" ref="J36">_xlfn.SWITCH(B36,"setosa","Setosa Flower","versicolor","Versicolor Flower","virginica","Virginica Flower","Unknown")</f>
        <v>Setosa Flower</v>
      </c>
      <c r="K36" s="3" t="str">
        <f t="shared" si="3"/>
        <v>Error</v>
      </c>
      <c r="L36" s="3" t="str">
        <f t="shared" si="4"/>
        <v>Available</v>
      </c>
      <c r="M36" s="3" t="str">
        <f t="shared" si="5"/>
        <v>Numeric</v>
      </c>
    </row>
    <row r="37" spans="1:13" x14ac:dyDescent="0.25">
      <c r="A37" s="3">
        <f>RAW_DATA!A37</f>
        <v>5</v>
      </c>
      <c r="B37" s="3" t="str">
        <f>RAW_DATA!E37</f>
        <v>setosa</v>
      </c>
      <c r="C37" s="3" t="str">
        <f t="shared" si="0"/>
        <v>LONG</v>
      </c>
      <c r="D37" s="3" t="str" cm="1">
        <f t="array" ref="D37">_xlfn.IFS(A37&lt;5,"Short",A37&lt;6,"Medium",A37&gt;=6,"Long")</f>
        <v>Medium</v>
      </c>
      <c r="E37" s="3" t="str">
        <f>IF(AND(RAW_DATA!C37&gt;4,RAW_DATA!D37&gt;1.5),"Large Petals","Not Large")</f>
        <v>Not Large</v>
      </c>
      <c r="F37" s="3" t="str">
        <f>IF(OR(RAW_DATA!A37&gt;6,RAW_DATA!C37&gt;4),"Large Flower","Normal Flower")</f>
        <v>Normal Flower</v>
      </c>
      <c r="G37" s="3" t="str">
        <f t="shared" si="1"/>
        <v>Setosa</v>
      </c>
      <c r="H37" s="3" t="str">
        <f t="shared" si="2"/>
        <v>Medium</v>
      </c>
      <c r="I37" s="3" t="str">
        <f>CHOOSE(MATCH(B37,{"setosa","versicolor","virginica"},0),"Setosa","Versicolor","Virginica")</f>
        <v>Setosa</v>
      </c>
      <c r="J37" s="3" t="str" cm="1">
        <f t="array" ref="J37">_xlfn.SWITCH(B37,"setosa","Setosa Flower","versicolor","Versicolor Flower","virginica","Virginica Flower","Unknown")</f>
        <v>Setosa Flower</v>
      </c>
      <c r="K37" s="3" t="str">
        <f t="shared" si="3"/>
        <v>Error</v>
      </c>
      <c r="L37" s="3" t="str">
        <f t="shared" si="4"/>
        <v>Available</v>
      </c>
      <c r="M37" s="3" t="str">
        <f t="shared" si="5"/>
        <v>Numeric</v>
      </c>
    </row>
    <row r="38" spans="1:13" x14ac:dyDescent="0.25">
      <c r="A38" s="3">
        <f>RAW_DATA!A38</f>
        <v>5.5</v>
      </c>
      <c r="B38" s="3" t="str">
        <f>RAW_DATA!E38</f>
        <v>setosa</v>
      </c>
      <c r="C38" s="3" t="str">
        <f t="shared" si="0"/>
        <v>LONG</v>
      </c>
      <c r="D38" s="3" t="str" cm="1">
        <f t="array" ref="D38">_xlfn.IFS(A38&lt;5,"Short",A38&lt;6,"Medium",A38&gt;=6,"Long")</f>
        <v>Medium</v>
      </c>
      <c r="E38" s="3" t="str">
        <f>IF(AND(RAW_DATA!C38&gt;4,RAW_DATA!D38&gt;1.5),"Large Petals","Not Large")</f>
        <v>Not Large</v>
      </c>
      <c r="F38" s="3" t="str">
        <f>IF(OR(RAW_DATA!A38&gt;6,RAW_DATA!C38&gt;4),"Large Flower","Normal Flower")</f>
        <v>Normal Flower</v>
      </c>
      <c r="G38" s="3" t="str">
        <f t="shared" si="1"/>
        <v>Setosa</v>
      </c>
      <c r="H38" s="3" t="str">
        <f t="shared" si="2"/>
        <v>Medium</v>
      </c>
      <c r="I38" s="3" t="str">
        <f>CHOOSE(MATCH(B38,{"setosa","versicolor","virginica"},0),"Setosa","Versicolor","Virginica")</f>
        <v>Setosa</v>
      </c>
      <c r="J38" s="3" t="str" cm="1">
        <f t="array" ref="J38">_xlfn.SWITCH(B38,"setosa","Setosa Flower","versicolor","Versicolor Flower","virginica","Virginica Flower","Unknown")</f>
        <v>Setosa Flower</v>
      </c>
      <c r="K38" s="3" t="str">
        <f t="shared" si="3"/>
        <v>Error</v>
      </c>
      <c r="L38" s="3" t="str">
        <f t="shared" si="4"/>
        <v>Available</v>
      </c>
      <c r="M38" s="3" t="str">
        <f t="shared" si="5"/>
        <v>Numeric</v>
      </c>
    </row>
    <row r="39" spans="1:13" x14ac:dyDescent="0.25">
      <c r="A39" s="3">
        <f>RAW_DATA!A39</f>
        <v>4.9000000000000004</v>
      </c>
      <c r="B39" s="3" t="str">
        <f>RAW_DATA!E39</f>
        <v>setosa</v>
      </c>
      <c r="C39" s="3" t="str">
        <f t="shared" si="0"/>
        <v>SHORT</v>
      </c>
      <c r="D39" s="3" t="str" cm="1">
        <f t="array" ref="D39">_xlfn.IFS(A39&lt;5,"Short",A39&lt;6,"Medium",A39&gt;=6,"Long")</f>
        <v>Short</v>
      </c>
      <c r="E39" s="3" t="str">
        <f>IF(AND(RAW_DATA!C39&gt;4,RAW_DATA!D39&gt;1.5),"Large Petals","Not Large")</f>
        <v>Not Large</v>
      </c>
      <c r="F39" s="3" t="str">
        <f>IF(OR(RAW_DATA!A39&gt;6,RAW_DATA!C39&gt;4),"Large Flower","Normal Flower")</f>
        <v>Normal Flower</v>
      </c>
      <c r="G39" s="3" t="str">
        <f t="shared" si="1"/>
        <v>Setosa</v>
      </c>
      <c r="H39" s="3" t="str">
        <f t="shared" si="2"/>
        <v>Small</v>
      </c>
      <c r="I39" s="3" t="str">
        <f>CHOOSE(MATCH(B39,{"setosa","versicolor","virginica"},0),"Setosa","Versicolor","Virginica")</f>
        <v>Setosa</v>
      </c>
      <c r="J39" s="3" t="str" cm="1">
        <f t="array" ref="J39">_xlfn.SWITCH(B39,"setosa","Setosa Flower","versicolor","Versicolor Flower","virginica","Virginica Flower","Unknown")</f>
        <v>Setosa Flower</v>
      </c>
      <c r="K39" s="3" t="str">
        <f t="shared" si="3"/>
        <v>Error</v>
      </c>
      <c r="L39" s="3" t="str">
        <f t="shared" si="4"/>
        <v>Available</v>
      </c>
      <c r="M39" s="3" t="str">
        <f t="shared" si="5"/>
        <v>Numeric</v>
      </c>
    </row>
    <row r="40" spans="1:13" x14ac:dyDescent="0.25">
      <c r="A40" s="3">
        <f>RAW_DATA!A40</f>
        <v>4.4000000000000004</v>
      </c>
      <c r="B40" s="3" t="str">
        <f>RAW_DATA!E40</f>
        <v>setosa</v>
      </c>
      <c r="C40" s="3" t="str">
        <f t="shared" si="0"/>
        <v>SHORT</v>
      </c>
      <c r="D40" s="3" t="str" cm="1">
        <f t="array" ref="D40">_xlfn.IFS(A40&lt;5,"Short",A40&lt;6,"Medium",A40&gt;=6,"Long")</f>
        <v>Short</v>
      </c>
      <c r="E40" s="3" t="str">
        <f>IF(AND(RAW_DATA!C40&gt;4,RAW_DATA!D40&gt;1.5),"Large Petals","Not Large")</f>
        <v>Not Large</v>
      </c>
      <c r="F40" s="3" t="str">
        <f>IF(OR(RAW_DATA!A40&gt;6,RAW_DATA!C40&gt;4),"Large Flower","Normal Flower")</f>
        <v>Normal Flower</v>
      </c>
      <c r="G40" s="3" t="str">
        <f t="shared" si="1"/>
        <v>Setosa</v>
      </c>
      <c r="H40" s="3" t="str">
        <f t="shared" si="2"/>
        <v>Small</v>
      </c>
      <c r="I40" s="3" t="str">
        <f>CHOOSE(MATCH(B40,{"setosa","versicolor","virginica"},0),"Setosa","Versicolor","Virginica")</f>
        <v>Setosa</v>
      </c>
      <c r="J40" s="3" t="str" cm="1">
        <f t="array" ref="J40">_xlfn.SWITCH(B40,"setosa","Setosa Flower","versicolor","Versicolor Flower","virginica","Virginica Flower","Unknown")</f>
        <v>Setosa Flower</v>
      </c>
      <c r="K40" s="3" t="str">
        <f t="shared" si="3"/>
        <v>Error</v>
      </c>
      <c r="L40" s="3" t="str">
        <f t="shared" si="4"/>
        <v>Available</v>
      </c>
      <c r="M40" s="3" t="str">
        <f t="shared" si="5"/>
        <v>Numeric</v>
      </c>
    </row>
    <row r="41" spans="1:13" x14ac:dyDescent="0.25">
      <c r="A41" s="3">
        <f>RAW_DATA!A41</f>
        <v>5.0999999999999996</v>
      </c>
      <c r="B41" s="3" t="str">
        <f>RAW_DATA!E41</f>
        <v>setosa</v>
      </c>
      <c r="C41" s="3" t="str">
        <f t="shared" si="0"/>
        <v>LONG</v>
      </c>
      <c r="D41" s="3" t="str" cm="1">
        <f t="array" ref="D41">_xlfn.IFS(A41&lt;5,"Short",A41&lt;6,"Medium",A41&gt;=6,"Long")</f>
        <v>Medium</v>
      </c>
      <c r="E41" s="3" t="str">
        <f>IF(AND(RAW_DATA!C41&gt;4,RAW_DATA!D41&gt;1.5),"Large Petals","Not Large")</f>
        <v>Not Large</v>
      </c>
      <c r="F41" s="3" t="str">
        <f>IF(OR(RAW_DATA!A41&gt;6,RAW_DATA!C41&gt;4),"Large Flower","Normal Flower")</f>
        <v>Normal Flower</v>
      </c>
      <c r="G41" s="3" t="str">
        <f t="shared" si="1"/>
        <v>Setosa</v>
      </c>
      <c r="H41" s="3" t="str">
        <f t="shared" si="2"/>
        <v>Medium</v>
      </c>
      <c r="I41" s="3" t="str">
        <f>CHOOSE(MATCH(B41,{"setosa","versicolor","virginica"},0),"Setosa","Versicolor","Virginica")</f>
        <v>Setosa</v>
      </c>
      <c r="J41" s="3" t="str" cm="1">
        <f t="array" ref="J41">_xlfn.SWITCH(B41,"setosa","Setosa Flower","versicolor","Versicolor Flower","virginica","Virginica Flower","Unknown")</f>
        <v>Setosa Flower</v>
      </c>
      <c r="K41" s="3" t="str">
        <f t="shared" si="3"/>
        <v>Error</v>
      </c>
      <c r="L41" s="3" t="str">
        <f t="shared" si="4"/>
        <v>Available</v>
      </c>
      <c r="M41" s="3" t="str">
        <f t="shared" si="5"/>
        <v>Numeric</v>
      </c>
    </row>
    <row r="42" spans="1:13" x14ac:dyDescent="0.25">
      <c r="A42" s="3">
        <f>RAW_DATA!A42</f>
        <v>5</v>
      </c>
      <c r="B42" s="3" t="str">
        <f>RAW_DATA!E42</f>
        <v>setosa</v>
      </c>
      <c r="C42" s="3" t="str">
        <f t="shared" si="0"/>
        <v>LONG</v>
      </c>
      <c r="D42" s="3" t="str" cm="1">
        <f t="array" ref="D42">_xlfn.IFS(A42&lt;5,"Short",A42&lt;6,"Medium",A42&gt;=6,"Long")</f>
        <v>Medium</v>
      </c>
      <c r="E42" s="3" t="str">
        <f>IF(AND(RAW_DATA!C42&gt;4,RAW_DATA!D42&gt;1.5),"Large Petals","Not Large")</f>
        <v>Not Large</v>
      </c>
      <c r="F42" s="3" t="str">
        <f>IF(OR(RAW_DATA!A42&gt;6,RAW_DATA!C42&gt;4),"Large Flower","Normal Flower")</f>
        <v>Normal Flower</v>
      </c>
      <c r="G42" s="3" t="str">
        <f t="shared" si="1"/>
        <v>Setosa</v>
      </c>
      <c r="H42" s="3" t="str">
        <f t="shared" si="2"/>
        <v>Medium</v>
      </c>
      <c r="I42" s="3" t="str">
        <f>CHOOSE(MATCH(B42,{"setosa","versicolor","virginica"},0),"Setosa","Versicolor","Virginica")</f>
        <v>Setosa</v>
      </c>
      <c r="J42" s="3" t="str" cm="1">
        <f t="array" ref="J42">_xlfn.SWITCH(B42,"setosa","Setosa Flower","versicolor","Versicolor Flower","virginica","Virginica Flower","Unknown")</f>
        <v>Setosa Flower</v>
      </c>
      <c r="K42" s="3" t="str">
        <f t="shared" si="3"/>
        <v>Error</v>
      </c>
      <c r="L42" s="3" t="str">
        <f t="shared" si="4"/>
        <v>Available</v>
      </c>
      <c r="M42" s="3" t="str">
        <f t="shared" si="5"/>
        <v>Numeric</v>
      </c>
    </row>
    <row r="43" spans="1:13" x14ac:dyDescent="0.25">
      <c r="A43" s="3">
        <f>RAW_DATA!A43</f>
        <v>4.5</v>
      </c>
      <c r="B43" s="3" t="str">
        <f>RAW_DATA!E43</f>
        <v>setosa</v>
      </c>
      <c r="C43" s="3" t="str">
        <f t="shared" si="0"/>
        <v>SHORT</v>
      </c>
      <c r="D43" s="3" t="str" cm="1">
        <f t="array" ref="D43">_xlfn.IFS(A43&lt;5,"Short",A43&lt;6,"Medium",A43&gt;=6,"Long")</f>
        <v>Short</v>
      </c>
      <c r="E43" s="3" t="str">
        <f>IF(AND(RAW_DATA!C43&gt;4,RAW_DATA!D43&gt;1.5),"Large Petals","Not Large")</f>
        <v>Not Large</v>
      </c>
      <c r="F43" s="3" t="str">
        <f>IF(OR(RAW_DATA!A43&gt;6,RAW_DATA!C43&gt;4),"Large Flower","Normal Flower")</f>
        <v>Normal Flower</v>
      </c>
      <c r="G43" s="3" t="str">
        <f t="shared" si="1"/>
        <v>Setosa</v>
      </c>
      <c r="H43" s="3" t="str">
        <f t="shared" si="2"/>
        <v>Small</v>
      </c>
      <c r="I43" s="3" t="str">
        <f>CHOOSE(MATCH(B43,{"setosa","versicolor","virginica"},0),"Setosa","Versicolor","Virginica")</f>
        <v>Setosa</v>
      </c>
      <c r="J43" s="3" t="str" cm="1">
        <f t="array" ref="J43">_xlfn.SWITCH(B43,"setosa","Setosa Flower","versicolor","Versicolor Flower","virginica","Virginica Flower","Unknown")</f>
        <v>Setosa Flower</v>
      </c>
      <c r="K43" s="3" t="str">
        <f t="shared" si="3"/>
        <v>Error</v>
      </c>
      <c r="L43" s="3" t="str">
        <f t="shared" si="4"/>
        <v>Available</v>
      </c>
      <c r="M43" s="3" t="str">
        <f t="shared" si="5"/>
        <v>Numeric</v>
      </c>
    </row>
    <row r="44" spans="1:13" x14ac:dyDescent="0.25">
      <c r="A44" s="3">
        <f>RAW_DATA!A44</f>
        <v>4.4000000000000004</v>
      </c>
      <c r="B44" s="3" t="str">
        <f>RAW_DATA!E44</f>
        <v>setosa</v>
      </c>
      <c r="C44" s="3" t="str">
        <f t="shared" si="0"/>
        <v>SHORT</v>
      </c>
      <c r="D44" s="3" t="str" cm="1">
        <f t="array" ref="D44">_xlfn.IFS(A44&lt;5,"Short",A44&lt;6,"Medium",A44&gt;=6,"Long")</f>
        <v>Short</v>
      </c>
      <c r="E44" s="3" t="str">
        <f>IF(AND(RAW_DATA!C44&gt;4,RAW_DATA!D44&gt;1.5),"Large Petals","Not Large")</f>
        <v>Not Large</v>
      </c>
      <c r="F44" s="3" t="str">
        <f>IF(OR(RAW_DATA!A44&gt;6,RAW_DATA!C44&gt;4),"Large Flower","Normal Flower")</f>
        <v>Normal Flower</v>
      </c>
      <c r="G44" s="3" t="str">
        <f t="shared" si="1"/>
        <v>Setosa</v>
      </c>
      <c r="H44" s="3" t="str">
        <f t="shared" si="2"/>
        <v>Small</v>
      </c>
      <c r="I44" s="3" t="str">
        <f>CHOOSE(MATCH(B44,{"setosa","versicolor","virginica"},0),"Setosa","Versicolor","Virginica")</f>
        <v>Setosa</v>
      </c>
      <c r="J44" s="3" t="str" cm="1">
        <f t="array" ref="J44">_xlfn.SWITCH(B44,"setosa","Setosa Flower","versicolor","Versicolor Flower","virginica","Virginica Flower","Unknown")</f>
        <v>Setosa Flower</v>
      </c>
      <c r="K44" s="3" t="str">
        <f t="shared" si="3"/>
        <v>Error</v>
      </c>
      <c r="L44" s="3" t="str">
        <f t="shared" si="4"/>
        <v>Available</v>
      </c>
      <c r="M44" s="3" t="str">
        <f t="shared" si="5"/>
        <v>Numeric</v>
      </c>
    </row>
    <row r="45" spans="1:13" x14ac:dyDescent="0.25">
      <c r="A45" s="3">
        <f>RAW_DATA!A45</f>
        <v>5</v>
      </c>
      <c r="B45" s="3" t="str">
        <f>RAW_DATA!E45</f>
        <v>setosa</v>
      </c>
      <c r="C45" s="3" t="str">
        <f t="shared" si="0"/>
        <v>LONG</v>
      </c>
      <c r="D45" s="3" t="str" cm="1">
        <f t="array" ref="D45">_xlfn.IFS(A45&lt;5,"Short",A45&lt;6,"Medium",A45&gt;=6,"Long")</f>
        <v>Medium</v>
      </c>
      <c r="E45" s="3" t="str">
        <f>IF(AND(RAW_DATA!C45&gt;4,RAW_DATA!D45&gt;1.5),"Large Petals","Not Large")</f>
        <v>Not Large</v>
      </c>
      <c r="F45" s="3" t="str">
        <f>IF(OR(RAW_DATA!A45&gt;6,RAW_DATA!C45&gt;4),"Large Flower","Normal Flower")</f>
        <v>Normal Flower</v>
      </c>
      <c r="G45" s="3" t="str">
        <f t="shared" si="1"/>
        <v>Setosa</v>
      </c>
      <c r="H45" s="3" t="str">
        <f t="shared" si="2"/>
        <v>Medium</v>
      </c>
      <c r="I45" s="3" t="str">
        <f>CHOOSE(MATCH(B45,{"setosa","versicolor","virginica"},0),"Setosa","Versicolor","Virginica")</f>
        <v>Setosa</v>
      </c>
      <c r="J45" s="3" t="str" cm="1">
        <f t="array" ref="J45">_xlfn.SWITCH(B45,"setosa","Setosa Flower","versicolor","Versicolor Flower","virginica","Virginica Flower","Unknown")</f>
        <v>Setosa Flower</v>
      </c>
      <c r="K45" s="3" t="str">
        <f t="shared" si="3"/>
        <v>Error</v>
      </c>
      <c r="L45" s="3" t="str">
        <f t="shared" si="4"/>
        <v>Available</v>
      </c>
      <c r="M45" s="3" t="str">
        <f t="shared" si="5"/>
        <v>Numeric</v>
      </c>
    </row>
    <row r="46" spans="1:13" x14ac:dyDescent="0.25">
      <c r="A46" s="3">
        <f>RAW_DATA!A46</f>
        <v>5.0999999999999996</v>
      </c>
      <c r="B46" s="3" t="str">
        <f>RAW_DATA!E46</f>
        <v>setosa</v>
      </c>
      <c r="C46" s="3" t="str">
        <f t="shared" si="0"/>
        <v>LONG</v>
      </c>
      <c r="D46" s="3" t="str" cm="1">
        <f t="array" ref="D46">_xlfn.IFS(A46&lt;5,"Short",A46&lt;6,"Medium",A46&gt;=6,"Long")</f>
        <v>Medium</v>
      </c>
      <c r="E46" s="3" t="str">
        <f>IF(AND(RAW_DATA!C46&gt;4,RAW_DATA!D46&gt;1.5),"Large Petals","Not Large")</f>
        <v>Not Large</v>
      </c>
      <c r="F46" s="3" t="str">
        <f>IF(OR(RAW_DATA!A46&gt;6,RAW_DATA!C46&gt;4),"Large Flower","Normal Flower")</f>
        <v>Normal Flower</v>
      </c>
      <c r="G46" s="3" t="str">
        <f t="shared" si="1"/>
        <v>Setosa</v>
      </c>
      <c r="H46" s="3" t="str">
        <f t="shared" si="2"/>
        <v>Medium</v>
      </c>
      <c r="I46" s="3" t="str">
        <f>CHOOSE(MATCH(B46,{"setosa","versicolor","virginica"},0),"Setosa","Versicolor","Virginica")</f>
        <v>Setosa</v>
      </c>
      <c r="J46" s="3" t="str" cm="1">
        <f t="array" ref="J46">_xlfn.SWITCH(B46,"setosa","Setosa Flower","versicolor","Versicolor Flower","virginica","Virginica Flower","Unknown")</f>
        <v>Setosa Flower</v>
      </c>
      <c r="K46" s="3" t="str">
        <f t="shared" si="3"/>
        <v>Error</v>
      </c>
      <c r="L46" s="3" t="str">
        <f t="shared" si="4"/>
        <v>Available</v>
      </c>
      <c r="M46" s="3" t="str">
        <f t="shared" si="5"/>
        <v>Numeric</v>
      </c>
    </row>
    <row r="47" spans="1:13" x14ac:dyDescent="0.25">
      <c r="A47" s="3">
        <f>RAW_DATA!A47</f>
        <v>4.8</v>
      </c>
      <c r="B47" s="3" t="str">
        <f>RAW_DATA!E47</f>
        <v>setosa</v>
      </c>
      <c r="C47" s="3" t="str">
        <f t="shared" si="0"/>
        <v>SHORT</v>
      </c>
      <c r="D47" s="3" t="str" cm="1">
        <f t="array" ref="D47">_xlfn.IFS(A47&lt;5,"Short",A47&lt;6,"Medium",A47&gt;=6,"Long")</f>
        <v>Short</v>
      </c>
      <c r="E47" s="3" t="str">
        <f>IF(AND(RAW_DATA!C47&gt;4,RAW_DATA!D47&gt;1.5),"Large Petals","Not Large")</f>
        <v>Not Large</v>
      </c>
      <c r="F47" s="3" t="str">
        <f>IF(OR(RAW_DATA!A47&gt;6,RAW_DATA!C47&gt;4),"Large Flower","Normal Flower")</f>
        <v>Normal Flower</v>
      </c>
      <c r="G47" s="3" t="str">
        <f t="shared" si="1"/>
        <v>Setosa</v>
      </c>
      <c r="H47" s="3" t="str">
        <f t="shared" si="2"/>
        <v>Small</v>
      </c>
      <c r="I47" s="3" t="str">
        <f>CHOOSE(MATCH(B47,{"setosa","versicolor","virginica"},0),"Setosa","Versicolor","Virginica")</f>
        <v>Setosa</v>
      </c>
      <c r="J47" s="3" t="str" cm="1">
        <f t="array" ref="J47">_xlfn.SWITCH(B47,"setosa","Setosa Flower","versicolor","Versicolor Flower","virginica","Virginica Flower","Unknown")</f>
        <v>Setosa Flower</v>
      </c>
      <c r="K47" s="3" t="str">
        <f t="shared" si="3"/>
        <v>Error</v>
      </c>
      <c r="L47" s="3" t="str">
        <f t="shared" si="4"/>
        <v>Available</v>
      </c>
      <c r="M47" s="3" t="str">
        <f t="shared" si="5"/>
        <v>Numeric</v>
      </c>
    </row>
    <row r="48" spans="1:13" x14ac:dyDescent="0.25">
      <c r="A48" s="3">
        <f>RAW_DATA!A48</f>
        <v>5.0999999999999996</v>
      </c>
      <c r="B48" s="3" t="str">
        <f>RAW_DATA!E48</f>
        <v>setosa</v>
      </c>
      <c r="C48" s="3" t="str">
        <f t="shared" si="0"/>
        <v>LONG</v>
      </c>
      <c r="D48" s="3" t="str" cm="1">
        <f t="array" ref="D48">_xlfn.IFS(A48&lt;5,"Short",A48&lt;6,"Medium",A48&gt;=6,"Long")</f>
        <v>Medium</v>
      </c>
      <c r="E48" s="3" t="str">
        <f>IF(AND(RAW_DATA!C48&gt;4,RAW_DATA!D48&gt;1.5),"Large Petals","Not Large")</f>
        <v>Not Large</v>
      </c>
      <c r="F48" s="3" t="str">
        <f>IF(OR(RAW_DATA!A48&gt;6,RAW_DATA!C48&gt;4),"Large Flower","Normal Flower")</f>
        <v>Normal Flower</v>
      </c>
      <c r="G48" s="3" t="str">
        <f t="shared" si="1"/>
        <v>Setosa</v>
      </c>
      <c r="H48" s="3" t="str">
        <f t="shared" si="2"/>
        <v>Medium</v>
      </c>
      <c r="I48" s="3" t="str">
        <f>CHOOSE(MATCH(B48,{"setosa","versicolor","virginica"},0),"Setosa","Versicolor","Virginica")</f>
        <v>Setosa</v>
      </c>
      <c r="J48" s="3" t="str" cm="1">
        <f t="array" ref="J48">_xlfn.SWITCH(B48,"setosa","Setosa Flower","versicolor","Versicolor Flower","virginica","Virginica Flower","Unknown")</f>
        <v>Setosa Flower</v>
      </c>
      <c r="K48" s="3" t="str">
        <f t="shared" si="3"/>
        <v>Error</v>
      </c>
      <c r="L48" s="3" t="str">
        <f t="shared" si="4"/>
        <v>Available</v>
      </c>
      <c r="M48" s="3" t="str">
        <f t="shared" si="5"/>
        <v>Numeric</v>
      </c>
    </row>
    <row r="49" spans="1:13" x14ac:dyDescent="0.25">
      <c r="A49" s="3">
        <f>RAW_DATA!A49</f>
        <v>4.5999999999999996</v>
      </c>
      <c r="B49" s="3" t="str">
        <f>RAW_DATA!E49</f>
        <v>setosa</v>
      </c>
      <c r="C49" s="3" t="str">
        <f t="shared" si="0"/>
        <v>SHORT</v>
      </c>
      <c r="D49" s="3" t="str" cm="1">
        <f t="array" ref="D49">_xlfn.IFS(A49&lt;5,"Short",A49&lt;6,"Medium",A49&gt;=6,"Long")</f>
        <v>Short</v>
      </c>
      <c r="E49" s="3" t="str">
        <f>IF(AND(RAW_DATA!C49&gt;4,RAW_DATA!D49&gt;1.5),"Large Petals","Not Large")</f>
        <v>Not Large</v>
      </c>
      <c r="F49" s="3" t="str">
        <f>IF(OR(RAW_DATA!A49&gt;6,RAW_DATA!C49&gt;4),"Large Flower","Normal Flower")</f>
        <v>Normal Flower</v>
      </c>
      <c r="G49" s="3" t="str">
        <f t="shared" si="1"/>
        <v>Setosa</v>
      </c>
      <c r="H49" s="3" t="str">
        <f t="shared" si="2"/>
        <v>Small</v>
      </c>
      <c r="I49" s="3" t="str">
        <f>CHOOSE(MATCH(B49,{"setosa","versicolor","virginica"},0),"Setosa","Versicolor","Virginica")</f>
        <v>Setosa</v>
      </c>
      <c r="J49" s="3" t="str" cm="1">
        <f t="array" ref="J49">_xlfn.SWITCH(B49,"setosa","Setosa Flower","versicolor","Versicolor Flower","virginica","Virginica Flower","Unknown")</f>
        <v>Setosa Flower</v>
      </c>
      <c r="K49" s="3" t="str">
        <f t="shared" si="3"/>
        <v>Error</v>
      </c>
      <c r="L49" s="3" t="str">
        <f t="shared" si="4"/>
        <v>Available</v>
      </c>
      <c r="M49" s="3" t="str">
        <f t="shared" si="5"/>
        <v>Numeric</v>
      </c>
    </row>
    <row r="50" spans="1:13" x14ac:dyDescent="0.25">
      <c r="A50" s="3">
        <f>RAW_DATA!A50</f>
        <v>5.3</v>
      </c>
      <c r="B50" s="3" t="str">
        <f>RAW_DATA!E50</f>
        <v>setosa</v>
      </c>
      <c r="C50" s="3" t="str">
        <f t="shared" si="0"/>
        <v>LONG</v>
      </c>
      <c r="D50" s="3" t="str" cm="1">
        <f t="array" ref="D50">_xlfn.IFS(A50&lt;5,"Short",A50&lt;6,"Medium",A50&gt;=6,"Long")</f>
        <v>Medium</v>
      </c>
      <c r="E50" s="3" t="str">
        <f>IF(AND(RAW_DATA!C50&gt;4,RAW_DATA!D50&gt;1.5),"Large Petals","Not Large")</f>
        <v>Not Large</v>
      </c>
      <c r="F50" s="3" t="str">
        <f>IF(OR(RAW_DATA!A50&gt;6,RAW_DATA!C50&gt;4),"Large Flower","Normal Flower")</f>
        <v>Normal Flower</v>
      </c>
      <c r="G50" s="3" t="str">
        <f t="shared" si="1"/>
        <v>Setosa</v>
      </c>
      <c r="H50" s="3" t="str">
        <f t="shared" si="2"/>
        <v>Medium</v>
      </c>
      <c r="I50" s="3" t="str">
        <f>CHOOSE(MATCH(B50,{"setosa","versicolor","virginica"},0),"Setosa","Versicolor","Virginica")</f>
        <v>Setosa</v>
      </c>
      <c r="J50" s="3" t="str" cm="1">
        <f t="array" ref="J50">_xlfn.SWITCH(B50,"setosa","Setosa Flower","versicolor","Versicolor Flower","virginica","Virginica Flower","Unknown")</f>
        <v>Setosa Flower</v>
      </c>
      <c r="K50" s="3" t="str">
        <f t="shared" si="3"/>
        <v>Error</v>
      </c>
      <c r="L50" s="3" t="str">
        <f t="shared" si="4"/>
        <v>Available</v>
      </c>
      <c r="M50" s="3" t="str">
        <f t="shared" si="5"/>
        <v>Numeric</v>
      </c>
    </row>
    <row r="51" spans="1:13" x14ac:dyDescent="0.25">
      <c r="A51" s="3">
        <f>RAW_DATA!A51</f>
        <v>5</v>
      </c>
      <c r="B51" s="3" t="str">
        <f>RAW_DATA!E51</f>
        <v>setosa</v>
      </c>
      <c r="C51" s="3" t="str">
        <f t="shared" si="0"/>
        <v>LONG</v>
      </c>
      <c r="D51" s="3" t="str" cm="1">
        <f t="array" ref="D51">_xlfn.IFS(A51&lt;5,"Short",A51&lt;6,"Medium",A51&gt;=6,"Long")</f>
        <v>Medium</v>
      </c>
      <c r="E51" s="3" t="str">
        <f>IF(AND(RAW_DATA!C51&gt;4,RAW_DATA!D51&gt;1.5),"Large Petals","Not Large")</f>
        <v>Not Large</v>
      </c>
      <c r="F51" s="3" t="str">
        <f>IF(OR(RAW_DATA!A51&gt;6,RAW_DATA!C51&gt;4),"Large Flower","Normal Flower")</f>
        <v>Normal Flower</v>
      </c>
      <c r="G51" s="3" t="str">
        <f t="shared" si="1"/>
        <v>Setosa</v>
      </c>
      <c r="H51" s="3" t="str">
        <f t="shared" si="2"/>
        <v>Medium</v>
      </c>
      <c r="I51" s="3" t="str">
        <f>CHOOSE(MATCH(B51,{"setosa","versicolor","virginica"},0),"Setosa","Versicolor","Virginica")</f>
        <v>Setosa</v>
      </c>
      <c r="J51" s="3" t="str" cm="1">
        <f t="array" ref="J51">_xlfn.SWITCH(B51,"setosa","Setosa Flower","versicolor","Versicolor Flower","virginica","Virginica Flower","Unknown")</f>
        <v>Setosa Flower</v>
      </c>
      <c r="K51" s="3" t="str">
        <f t="shared" si="3"/>
        <v>Error</v>
      </c>
      <c r="L51" s="3" t="str">
        <f t="shared" si="4"/>
        <v>Available</v>
      </c>
      <c r="M51" s="3" t="str">
        <f t="shared" si="5"/>
        <v>Numeric</v>
      </c>
    </row>
    <row r="52" spans="1:13" x14ac:dyDescent="0.25">
      <c r="A52" s="3">
        <f>RAW_DATA!A52</f>
        <v>7</v>
      </c>
      <c r="B52" s="3" t="str">
        <f>RAW_DATA!E52</f>
        <v>versicolor</v>
      </c>
      <c r="C52" s="3" t="str">
        <f t="shared" si="0"/>
        <v>LONG</v>
      </c>
      <c r="D52" s="3" t="str" cm="1">
        <f t="array" ref="D52">_xlfn.IFS(A52&lt;5,"Short",A52&lt;6,"Medium",A52&gt;=6,"Long")</f>
        <v>Long</v>
      </c>
      <c r="E52" s="3" t="str">
        <f>IF(AND(RAW_DATA!C52&gt;4,RAW_DATA!D52&gt;1.5),"Large Petals","Not Large")</f>
        <v>Not Large</v>
      </c>
      <c r="F52" s="3" t="str">
        <f>IF(OR(RAW_DATA!A52&gt;6,RAW_DATA!C52&gt;4),"Large Flower","Normal Flower")</f>
        <v>Large Flower</v>
      </c>
      <c r="G52" s="3" t="str">
        <f t="shared" si="1"/>
        <v>Not Setosa</v>
      </c>
      <c r="H52" s="3" t="str">
        <f t="shared" si="2"/>
        <v>Large</v>
      </c>
      <c r="I52" s="3" t="str">
        <f>CHOOSE(MATCH(B52,{"setosa","versicolor","virginica"},0),"Setosa","Versicolor","Virginica")</f>
        <v>Versicolor</v>
      </c>
      <c r="J52" s="3" t="str" cm="1">
        <f t="array" ref="J52">_xlfn.SWITCH(B52,"setosa","Setosa Flower","versicolor","Versicolor Flower","virginica","Virginica Flower","Unknown")</f>
        <v>Versicolor Flower</v>
      </c>
      <c r="K52" s="3" t="str">
        <f t="shared" si="3"/>
        <v>Error</v>
      </c>
      <c r="L52" s="3" t="str">
        <f t="shared" si="4"/>
        <v>Available</v>
      </c>
      <c r="M52" s="3" t="str">
        <f t="shared" si="5"/>
        <v>Numeric</v>
      </c>
    </row>
    <row r="53" spans="1:13" x14ac:dyDescent="0.25">
      <c r="A53" s="3">
        <f>RAW_DATA!A53</f>
        <v>6.4</v>
      </c>
      <c r="B53" s="3" t="str">
        <f>RAW_DATA!E53</f>
        <v>versicolor</v>
      </c>
      <c r="C53" s="3" t="str">
        <f t="shared" si="0"/>
        <v>LONG</v>
      </c>
      <c r="D53" s="3" t="str" cm="1">
        <f t="array" ref="D53">_xlfn.IFS(A53&lt;5,"Short",A53&lt;6,"Medium",A53&gt;=6,"Long")</f>
        <v>Long</v>
      </c>
      <c r="E53" s="3" t="str">
        <f>IF(AND(RAW_DATA!C53&gt;4,RAW_DATA!D53&gt;1.5),"Large Petals","Not Large")</f>
        <v>Not Large</v>
      </c>
      <c r="F53" s="3" t="str">
        <f>IF(OR(RAW_DATA!A53&gt;6,RAW_DATA!C53&gt;4),"Large Flower","Normal Flower")</f>
        <v>Large Flower</v>
      </c>
      <c r="G53" s="3" t="str">
        <f t="shared" si="1"/>
        <v>Not Setosa</v>
      </c>
      <c r="H53" s="3" t="str">
        <f t="shared" si="2"/>
        <v>Large</v>
      </c>
      <c r="I53" s="3" t="str">
        <f>CHOOSE(MATCH(B53,{"setosa","versicolor","virginica"},0),"Setosa","Versicolor","Virginica")</f>
        <v>Versicolor</v>
      </c>
      <c r="J53" s="3" t="str" cm="1">
        <f t="array" ref="J53">_xlfn.SWITCH(B53,"setosa","Setosa Flower","versicolor","Versicolor Flower","virginica","Virginica Flower","Unknown")</f>
        <v>Versicolor Flower</v>
      </c>
      <c r="K53" s="3" t="str">
        <f t="shared" si="3"/>
        <v>Error</v>
      </c>
      <c r="L53" s="3" t="str">
        <f t="shared" si="4"/>
        <v>Available</v>
      </c>
      <c r="M53" s="3" t="str">
        <f t="shared" si="5"/>
        <v>Numeric</v>
      </c>
    </row>
    <row r="54" spans="1:13" x14ac:dyDescent="0.25">
      <c r="A54" s="3">
        <f>RAW_DATA!A54</f>
        <v>6.9</v>
      </c>
      <c r="B54" s="3" t="str">
        <f>RAW_DATA!E54</f>
        <v>versicolor</v>
      </c>
      <c r="C54" s="3" t="str">
        <f t="shared" si="0"/>
        <v>LONG</v>
      </c>
      <c r="D54" s="3" t="str" cm="1">
        <f t="array" ref="D54">_xlfn.IFS(A54&lt;5,"Short",A54&lt;6,"Medium",A54&gt;=6,"Long")</f>
        <v>Long</v>
      </c>
      <c r="E54" s="3" t="str">
        <f>IF(AND(RAW_DATA!C54&gt;4,RAW_DATA!D54&gt;1.5),"Large Petals","Not Large")</f>
        <v>Not Large</v>
      </c>
      <c r="F54" s="3" t="str">
        <f>IF(OR(RAW_DATA!A54&gt;6,RAW_DATA!C54&gt;4),"Large Flower","Normal Flower")</f>
        <v>Large Flower</v>
      </c>
      <c r="G54" s="3" t="str">
        <f t="shared" si="1"/>
        <v>Not Setosa</v>
      </c>
      <c r="H54" s="3" t="str">
        <f t="shared" si="2"/>
        <v>Large</v>
      </c>
      <c r="I54" s="3" t="str">
        <f>CHOOSE(MATCH(B54,{"setosa","versicolor","virginica"},0),"Setosa","Versicolor","Virginica")</f>
        <v>Versicolor</v>
      </c>
      <c r="J54" s="3" t="str" cm="1">
        <f t="array" ref="J54">_xlfn.SWITCH(B54,"setosa","Setosa Flower","versicolor","Versicolor Flower","virginica","Virginica Flower","Unknown")</f>
        <v>Versicolor Flower</v>
      </c>
      <c r="K54" s="3" t="str">
        <f t="shared" si="3"/>
        <v>Error</v>
      </c>
      <c r="L54" s="3" t="str">
        <f t="shared" si="4"/>
        <v>Available</v>
      </c>
      <c r="M54" s="3" t="str">
        <f t="shared" si="5"/>
        <v>Numeric</v>
      </c>
    </row>
    <row r="55" spans="1:13" x14ac:dyDescent="0.25">
      <c r="A55" s="3">
        <f>RAW_DATA!A55</f>
        <v>5.5</v>
      </c>
      <c r="B55" s="3" t="str">
        <f>RAW_DATA!E55</f>
        <v>versicolor</v>
      </c>
      <c r="C55" s="3" t="str">
        <f t="shared" si="0"/>
        <v>LONG</v>
      </c>
      <c r="D55" s="3" t="str" cm="1">
        <f t="array" ref="D55">_xlfn.IFS(A55&lt;5,"Short",A55&lt;6,"Medium",A55&gt;=6,"Long")</f>
        <v>Medium</v>
      </c>
      <c r="E55" s="3" t="str">
        <f>IF(AND(RAW_DATA!C55&gt;4,RAW_DATA!D55&gt;1.5),"Large Petals","Not Large")</f>
        <v>Not Large</v>
      </c>
      <c r="F55" s="3" t="str">
        <f>IF(OR(RAW_DATA!A55&gt;6,RAW_DATA!C55&gt;4),"Large Flower","Normal Flower")</f>
        <v>Normal Flower</v>
      </c>
      <c r="G55" s="3" t="str">
        <f t="shared" si="1"/>
        <v>Not Setosa</v>
      </c>
      <c r="H55" s="3" t="str">
        <f t="shared" si="2"/>
        <v>Medium</v>
      </c>
      <c r="I55" s="3" t="str">
        <f>CHOOSE(MATCH(B55,{"setosa","versicolor","virginica"},0),"Setosa","Versicolor","Virginica")</f>
        <v>Versicolor</v>
      </c>
      <c r="J55" s="3" t="str" cm="1">
        <f t="array" ref="J55">_xlfn.SWITCH(B55,"setosa","Setosa Flower","versicolor","Versicolor Flower","virginica","Virginica Flower","Unknown")</f>
        <v>Versicolor Flower</v>
      </c>
      <c r="K55" s="3" t="str">
        <f t="shared" si="3"/>
        <v>Error</v>
      </c>
      <c r="L55" s="3" t="str">
        <f t="shared" si="4"/>
        <v>Available</v>
      </c>
      <c r="M55" s="3" t="str">
        <f t="shared" si="5"/>
        <v>Numeric</v>
      </c>
    </row>
    <row r="56" spans="1:13" x14ac:dyDescent="0.25">
      <c r="A56" s="3">
        <f>RAW_DATA!A56</f>
        <v>6.5</v>
      </c>
      <c r="B56" s="3" t="str">
        <f>RAW_DATA!E56</f>
        <v>versicolor</v>
      </c>
      <c r="C56" s="3" t="str">
        <f t="shared" si="0"/>
        <v>LONG</v>
      </c>
      <c r="D56" s="3" t="str" cm="1">
        <f t="array" ref="D56">_xlfn.IFS(A56&lt;5,"Short",A56&lt;6,"Medium",A56&gt;=6,"Long")</f>
        <v>Long</v>
      </c>
      <c r="E56" s="3" t="str">
        <f>IF(AND(RAW_DATA!C56&gt;4,RAW_DATA!D56&gt;1.5),"Large Petals","Not Large")</f>
        <v>Not Large</v>
      </c>
      <c r="F56" s="3" t="str">
        <f>IF(OR(RAW_DATA!A56&gt;6,RAW_DATA!C56&gt;4),"Large Flower","Normal Flower")</f>
        <v>Large Flower</v>
      </c>
      <c r="G56" s="3" t="str">
        <f t="shared" si="1"/>
        <v>Not Setosa</v>
      </c>
      <c r="H56" s="3" t="str">
        <f t="shared" si="2"/>
        <v>Large</v>
      </c>
      <c r="I56" s="3" t="str">
        <f>CHOOSE(MATCH(B56,{"setosa","versicolor","virginica"},0),"Setosa","Versicolor","Virginica")</f>
        <v>Versicolor</v>
      </c>
      <c r="J56" s="3" t="str" cm="1">
        <f t="array" ref="J56">_xlfn.SWITCH(B56,"setosa","Setosa Flower","versicolor","Versicolor Flower","virginica","Virginica Flower","Unknown")</f>
        <v>Versicolor Flower</v>
      </c>
      <c r="K56" s="3" t="str">
        <f t="shared" si="3"/>
        <v>Error</v>
      </c>
      <c r="L56" s="3" t="str">
        <f t="shared" si="4"/>
        <v>Available</v>
      </c>
      <c r="M56" s="3" t="str">
        <f t="shared" si="5"/>
        <v>Numeric</v>
      </c>
    </row>
    <row r="57" spans="1:13" x14ac:dyDescent="0.25">
      <c r="A57" s="3">
        <f>RAW_DATA!A57</f>
        <v>5.7</v>
      </c>
      <c r="B57" s="3" t="str">
        <f>RAW_DATA!E57</f>
        <v>versicolor</v>
      </c>
      <c r="C57" s="3" t="str">
        <f t="shared" si="0"/>
        <v>LONG</v>
      </c>
      <c r="D57" s="3" t="str" cm="1">
        <f t="array" ref="D57">_xlfn.IFS(A57&lt;5,"Short",A57&lt;6,"Medium",A57&gt;=6,"Long")</f>
        <v>Medium</v>
      </c>
      <c r="E57" s="3" t="str">
        <f>IF(AND(RAW_DATA!C57&gt;4,RAW_DATA!D57&gt;1.5),"Large Petals","Not Large")</f>
        <v>Not Large</v>
      </c>
      <c r="F57" s="3" t="str">
        <f>IF(OR(RAW_DATA!A57&gt;6,RAW_DATA!C57&gt;4),"Large Flower","Normal Flower")</f>
        <v>Large Flower</v>
      </c>
      <c r="G57" s="3" t="str">
        <f t="shared" si="1"/>
        <v>Not Setosa</v>
      </c>
      <c r="H57" s="3" t="str">
        <f t="shared" si="2"/>
        <v>Medium</v>
      </c>
      <c r="I57" s="3" t="str">
        <f>CHOOSE(MATCH(B57,{"setosa","versicolor","virginica"},0),"Setosa","Versicolor","Virginica")</f>
        <v>Versicolor</v>
      </c>
      <c r="J57" s="3" t="str" cm="1">
        <f t="array" ref="J57">_xlfn.SWITCH(B57,"setosa","Setosa Flower","versicolor","Versicolor Flower","virginica","Virginica Flower","Unknown")</f>
        <v>Versicolor Flower</v>
      </c>
      <c r="K57" s="3" t="str">
        <f t="shared" si="3"/>
        <v>Error</v>
      </c>
      <c r="L57" s="3" t="str">
        <f t="shared" si="4"/>
        <v>Available</v>
      </c>
      <c r="M57" s="3" t="str">
        <f t="shared" si="5"/>
        <v>Numeric</v>
      </c>
    </row>
    <row r="58" spans="1:13" x14ac:dyDescent="0.25">
      <c r="A58" s="3">
        <f>RAW_DATA!A58</f>
        <v>6.3</v>
      </c>
      <c r="B58" s="3" t="str">
        <f>RAW_DATA!E58</f>
        <v>versicolor</v>
      </c>
      <c r="C58" s="3" t="str">
        <f t="shared" si="0"/>
        <v>LONG</v>
      </c>
      <c r="D58" s="3" t="str" cm="1">
        <f t="array" ref="D58">_xlfn.IFS(A58&lt;5,"Short",A58&lt;6,"Medium",A58&gt;=6,"Long")</f>
        <v>Long</v>
      </c>
      <c r="E58" s="3" t="str">
        <f>IF(AND(RAW_DATA!C58&gt;4,RAW_DATA!D58&gt;1.5),"Large Petals","Not Large")</f>
        <v>Large Petals</v>
      </c>
      <c r="F58" s="3" t="str">
        <f>IF(OR(RAW_DATA!A58&gt;6,RAW_DATA!C58&gt;4),"Large Flower","Normal Flower")</f>
        <v>Large Flower</v>
      </c>
      <c r="G58" s="3" t="str">
        <f t="shared" si="1"/>
        <v>Not Setosa</v>
      </c>
      <c r="H58" s="3" t="str">
        <f t="shared" si="2"/>
        <v>Large</v>
      </c>
      <c r="I58" s="3" t="str">
        <f>CHOOSE(MATCH(B58,{"setosa","versicolor","virginica"},0),"Setosa","Versicolor","Virginica")</f>
        <v>Versicolor</v>
      </c>
      <c r="J58" s="3" t="str" cm="1">
        <f t="array" ref="J58">_xlfn.SWITCH(B58,"setosa","Setosa Flower","versicolor","Versicolor Flower","virginica","Virginica Flower","Unknown")</f>
        <v>Versicolor Flower</v>
      </c>
      <c r="K58" s="3" t="str">
        <f t="shared" si="3"/>
        <v>Error</v>
      </c>
      <c r="L58" s="3" t="str">
        <f t="shared" si="4"/>
        <v>Available</v>
      </c>
      <c r="M58" s="3" t="str">
        <f t="shared" si="5"/>
        <v>Numeric</v>
      </c>
    </row>
    <row r="59" spans="1:13" x14ac:dyDescent="0.25">
      <c r="A59" s="3">
        <f>RAW_DATA!A59</f>
        <v>4.9000000000000004</v>
      </c>
      <c r="B59" s="3" t="str">
        <f>RAW_DATA!E59</f>
        <v>versicolor</v>
      </c>
      <c r="C59" s="3" t="str">
        <f t="shared" si="0"/>
        <v>SHORT</v>
      </c>
      <c r="D59" s="3" t="str" cm="1">
        <f t="array" ref="D59">_xlfn.IFS(A59&lt;5,"Short",A59&lt;6,"Medium",A59&gt;=6,"Long")</f>
        <v>Short</v>
      </c>
      <c r="E59" s="3" t="str">
        <f>IF(AND(RAW_DATA!C59&gt;4,RAW_DATA!D59&gt;1.5),"Large Petals","Not Large")</f>
        <v>Not Large</v>
      </c>
      <c r="F59" s="3" t="str">
        <f>IF(OR(RAW_DATA!A59&gt;6,RAW_DATA!C59&gt;4),"Large Flower","Normal Flower")</f>
        <v>Normal Flower</v>
      </c>
      <c r="G59" s="3" t="str">
        <f t="shared" si="1"/>
        <v>Not Setosa</v>
      </c>
      <c r="H59" s="3" t="str">
        <f t="shared" si="2"/>
        <v>Small</v>
      </c>
      <c r="I59" s="3" t="str">
        <f>CHOOSE(MATCH(B59,{"setosa","versicolor","virginica"},0),"Setosa","Versicolor","Virginica")</f>
        <v>Versicolor</v>
      </c>
      <c r="J59" s="3" t="str" cm="1">
        <f t="array" ref="J59">_xlfn.SWITCH(B59,"setosa","Setosa Flower","versicolor","Versicolor Flower","virginica","Virginica Flower","Unknown")</f>
        <v>Versicolor Flower</v>
      </c>
      <c r="K59" s="3" t="str">
        <f t="shared" si="3"/>
        <v>Error</v>
      </c>
      <c r="L59" s="3" t="str">
        <f t="shared" si="4"/>
        <v>Available</v>
      </c>
      <c r="M59" s="3" t="str">
        <f t="shared" si="5"/>
        <v>Numeric</v>
      </c>
    </row>
    <row r="60" spans="1:13" x14ac:dyDescent="0.25">
      <c r="A60" s="3">
        <f>RAW_DATA!A60</f>
        <v>6.6</v>
      </c>
      <c r="B60" s="3" t="str">
        <f>RAW_DATA!E60</f>
        <v>versicolor</v>
      </c>
      <c r="C60" s="3" t="str">
        <f t="shared" si="0"/>
        <v>LONG</v>
      </c>
      <c r="D60" s="3" t="str" cm="1">
        <f t="array" ref="D60">_xlfn.IFS(A60&lt;5,"Short",A60&lt;6,"Medium",A60&gt;=6,"Long")</f>
        <v>Long</v>
      </c>
      <c r="E60" s="3" t="str">
        <f>IF(AND(RAW_DATA!C60&gt;4,RAW_DATA!D60&gt;1.5),"Large Petals","Not Large")</f>
        <v>Not Large</v>
      </c>
      <c r="F60" s="3" t="str">
        <f>IF(OR(RAW_DATA!A60&gt;6,RAW_DATA!C60&gt;4),"Large Flower","Normal Flower")</f>
        <v>Large Flower</v>
      </c>
      <c r="G60" s="3" t="str">
        <f t="shared" si="1"/>
        <v>Not Setosa</v>
      </c>
      <c r="H60" s="3" t="str">
        <f t="shared" si="2"/>
        <v>Large</v>
      </c>
      <c r="I60" s="3" t="str">
        <f>CHOOSE(MATCH(B60,{"setosa","versicolor","virginica"},0),"Setosa","Versicolor","Virginica")</f>
        <v>Versicolor</v>
      </c>
      <c r="J60" s="3" t="str" cm="1">
        <f t="array" ref="J60">_xlfn.SWITCH(B60,"setosa","Setosa Flower","versicolor","Versicolor Flower","virginica","Virginica Flower","Unknown")</f>
        <v>Versicolor Flower</v>
      </c>
      <c r="K60" s="3" t="str">
        <f t="shared" si="3"/>
        <v>Error</v>
      </c>
      <c r="L60" s="3" t="str">
        <f t="shared" si="4"/>
        <v>Available</v>
      </c>
      <c r="M60" s="3" t="str">
        <f t="shared" si="5"/>
        <v>Numeric</v>
      </c>
    </row>
    <row r="61" spans="1:13" x14ac:dyDescent="0.25">
      <c r="A61" s="3">
        <f>RAW_DATA!A61</f>
        <v>5.2</v>
      </c>
      <c r="B61" s="3" t="str">
        <f>RAW_DATA!E61</f>
        <v>versicolor</v>
      </c>
      <c r="C61" s="3" t="str">
        <f t="shared" si="0"/>
        <v>LONG</v>
      </c>
      <c r="D61" s="3" t="str" cm="1">
        <f t="array" ref="D61">_xlfn.IFS(A61&lt;5,"Short",A61&lt;6,"Medium",A61&gt;=6,"Long")</f>
        <v>Medium</v>
      </c>
      <c r="E61" s="3" t="str">
        <f>IF(AND(RAW_DATA!C61&gt;4,RAW_DATA!D61&gt;1.5),"Large Petals","Not Large")</f>
        <v>Not Large</v>
      </c>
      <c r="F61" s="3" t="str">
        <f>IF(OR(RAW_DATA!A61&gt;6,RAW_DATA!C61&gt;4),"Large Flower","Normal Flower")</f>
        <v>Normal Flower</v>
      </c>
      <c r="G61" s="3" t="str">
        <f t="shared" si="1"/>
        <v>Not Setosa</v>
      </c>
      <c r="H61" s="3" t="str">
        <f t="shared" si="2"/>
        <v>Medium</v>
      </c>
      <c r="I61" s="3" t="str">
        <f>CHOOSE(MATCH(B61,{"setosa","versicolor","virginica"},0),"Setosa","Versicolor","Virginica")</f>
        <v>Versicolor</v>
      </c>
      <c r="J61" s="3" t="str" cm="1">
        <f t="array" ref="J61">_xlfn.SWITCH(B61,"setosa","Setosa Flower","versicolor","Versicolor Flower","virginica","Virginica Flower","Unknown")</f>
        <v>Versicolor Flower</v>
      </c>
      <c r="K61" s="3" t="str">
        <f t="shared" si="3"/>
        <v>Error</v>
      </c>
      <c r="L61" s="3" t="str">
        <f t="shared" si="4"/>
        <v>Available</v>
      </c>
      <c r="M61" s="3" t="str">
        <f t="shared" si="5"/>
        <v>Numeric</v>
      </c>
    </row>
    <row r="62" spans="1:13" x14ac:dyDescent="0.25">
      <c r="A62" s="3">
        <f>RAW_DATA!A62</f>
        <v>5</v>
      </c>
      <c r="B62" s="3" t="str">
        <f>RAW_DATA!E62</f>
        <v>versicolor</v>
      </c>
      <c r="C62" s="3" t="str">
        <f t="shared" si="0"/>
        <v>LONG</v>
      </c>
      <c r="D62" s="3" t="str" cm="1">
        <f t="array" ref="D62">_xlfn.IFS(A62&lt;5,"Short",A62&lt;6,"Medium",A62&gt;=6,"Long")</f>
        <v>Medium</v>
      </c>
      <c r="E62" s="3" t="str">
        <f>IF(AND(RAW_DATA!C62&gt;4,RAW_DATA!D62&gt;1.5),"Large Petals","Not Large")</f>
        <v>Not Large</v>
      </c>
      <c r="F62" s="3" t="str">
        <f>IF(OR(RAW_DATA!A62&gt;6,RAW_DATA!C62&gt;4),"Large Flower","Normal Flower")</f>
        <v>Normal Flower</v>
      </c>
      <c r="G62" s="3" t="str">
        <f t="shared" si="1"/>
        <v>Not Setosa</v>
      </c>
      <c r="H62" s="3" t="str">
        <f t="shared" si="2"/>
        <v>Medium</v>
      </c>
      <c r="I62" s="3" t="str">
        <f>CHOOSE(MATCH(B62,{"setosa","versicolor","virginica"},0),"Setosa","Versicolor","Virginica")</f>
        <v>Versicolor</v>
      </c>
      <c r="J62" s="3" t="str" cm="1">
        <f t="array" ref="J62">_xlfn.SWITCH(B62,"setosa","Setosa Flower","versicolor","Versicolor Flower","virginica","Virginica Flower","Unknown")</f>
        <v>Versicolor Flower</v>
      </c>
      <c r="K62" s="3" t="str">
        <f t="shared" si="3"/>
        <v>Error</v>
      </c>
      <c r="L62" s="3" t="str">
        <f t="shared" si="4"/>
        <v>Available</v>
      </c>
      <c r="M62" s="3" t="str">
        <f t="shared" si="5"/>
        <v>Numeric</v>
      </c>
    </row>
    <row r="63" spans="1:13" x14ac:dyDescent="0.25">
      <c r="A63" s="3">
        <f>RAW_DATA!A63</f>
        <v>5.9</v>
      </c>
      <c r="B63" s="3" t="str">
        <f>RAW_DATA!E63</f>
        <v>versicolor</v>
      </c>
      <c r="C63" s="3" t="str">
        <f t="shared" si="0"/>
        <v>LONG</v>
      </c>
      <c r="D63" s="3" t="str" cm="1">
        <f t="array" ref="D63">_xlfn.IFS(A63&lt;5,"Short",A63&lt;6,"Medium",A63&gt;=6,"Long")</f>
        <v>Medium</v>
      </c>
      <c r="E63" s="3" t="str">
        <f>IF(AND(RAW_DATA!C63&gt;4,RAW_DATA!D63&gt;1.5),"Large Petals","Not Large")</f>
        <v>Not Large</v>
      </c>
      <c r="F63" s="3" t="str">
        <f>IF(OR(RAW_DATA!A63&gt;6,RAW_DATA!C63&gt;4),"Large Flower","Normal Flower")</f>
        <v>Large Flower</v>
      </c>
      <c r="G63" s="3" t="str">
        <f t="shared" si="1"/>
        <v>Not Setosa</v>
      </c>
      <c r="H63" s="3" t="str">
        <f t="shared" si="2"/>
        <v>Medium</v>
      </c>
      <c r="I63" s="3" t="str">
        <f>CHOOSE(MATCH(B63,{"setosa","versicolor","virginica"},0),"Setosa","Versicolor","Virginica")</f>
        <v>Versicolor</v>
      </c>
      <c r="J63" s="3" t="str" cm="1">
        <f t="array" ref="J63">_xlfn.SWITCH(B63,"setosa","Setosa Flower","versicolor","Versicolor Flower","virginica","Virginica Flower","Unknown")</f>
        <v>Versicolor Flower</v>
      </c>
      <c r="K63" s="3" t="str">
        <f t="shared" si="3"/>
        <v>Error</v>
      </c>
      <c r="L63" s="3" t="str">
        <f t="shared" si="4"/>
        <v>Available</v>
      </c>
      <c r="M63" s="3" t="str">
        <f t="shared" si="5"/>
        <v>Numeric</v>
      </c>
    </row>
    <row r="64" spans="1:13" x14ac:dyDescent="0.25">
      <c r="A64" s="3">
        <f>RAW_DATA!A64</f>
        <v>6</v>
      </c>
      <c r="B64" s="3" t="str">
        <f>RAW_DATA!E64</f>
        <v>versicolor</v>
      </c>
      <c r="C64" s="3" t="str">
        <f t="shared" si="0"/>
        <v>LONG</v>
      </c>
      <c r="D64" s="3" t="str" cm="1">
        <f t="array" ref="D64">_xlfn.IFS(A64&lt;5,"Short",A64&lt;6,"Medium",A64&gt;=6,"Long")</f>
        <v>Long</v>
      </c>
      <c r="E64" s="3" t="str">
        <f>IF(AND(RAW_DATA!C64&gt;4,RAW_DATA!D64&gt;1.5),"Large Petals","Not Large")</f>
        <v>Not Large</v>
      </c>
      <c r="F64" s="3" t="str">
        <f>IF(OR(RAW_DATA!A64&gt;6,RAW_DATA!C64&gt;4),"Large Flower","Normal Flower")</f>
        <v>Normal Flower</v>
      </c>
      <c r="G64" s="3" t="str">
        <f t="shared" si="1"/>
        <v>Not Setosa</v>
      </c>
      <c r="H64" s="3" t="str">
        <f t="shared" si="2"/>
        <v>Large</v>
      </c>
      <c r="I64" s="3" t="str">
        <f>CHOOSE(MATCH(B64,{"setosa","versicolor","virginica"},0),"Setosa","Versicolor","Virginica")</f>
        <v>Versicolor</v>
      </c>
      <c r="J64" s="3" t="str" cm="1">
        <f t="array" ref="J64">_xlfn.SWITCH(B64,"setosa","Setosa Flower","versicolor","Versicolor Flower","virginica","Virginica Flower","Unknown")</f>
        <v>Versicolor Flower</v>
      </c>
      <c r="K64" s="3" t="str">
        <f t="shared" si="3"/>
        <v>Error</v>
      </c>
      <c r="L64" s="3" t="str">
        <f t="shared" si="4"/>
        <v>Available</v>
      </c>
      <c r="M64" s="3" t="str">
        <f t="shared" si="5"/>
        <v>Numeric</v>
      </c>
    </row>
    <row r="65" spans="1:13" x14ac:dyDescent="0.25">
      <c r="A65" s="3">
        <f>RAW_DATA!A65</f>
        <v>6.1</v>
      </c>
      <c r="B65" s="3" t="str">
        <f>RAW_DATA!E65</f>
        <v>versicolor</v>
      </c>
      <c r="C65" s="3" t="str">
        <f t="shared" si="0"/>
        <v>LONG</v>
      </c>
      <c r="D65" s="3" t="str" cm="1">
        <f t="array" ref="D65">_xlfn.IFS(A65&lt;5,"Short",A65&lt;6,"Medium",A65&gt;=6,"Long")</f>
        <v>Long</v>
      </c>
      <c r="E65" s="3" t="str">
        <f>IF(AND(RAW_DATA!C65&gt;4,RAW_DATA!D65&gt;1.5),"Large Petals","Not Large")</f>
        <v>Not Large</v>
      </c>
      <c r="F65" s="3" t="str">
        <f>IF(OR(RAW_DATA!A65&gt;6,RAW_DATA!C65&gt;4),"Large Flower","Normal Flower")</f>
        <v>Large Flower</v>
      </c>
      <c r="G65" s="3" t="str">
        <f t="shared" si="1"/>
        <v>Not Setosa</v>
      </c>
      <c r="H65" s="3" t="str">
        <f t="shared" si="2"/>
        <v>Large</v>
      </c>
      <c r="I65" s="3" t="str">
        <f>CHOOSE(MATCH(B65,{"setosa","versicolor","virginica"},0),"Setosa","Versicolor","Virginica")</f>
        <v>Versicolor</v>
      </c>
      <c r="J65" s="3" t="str" cm="1">
        <f t="array" ref="J65">_xlfn.SWITCH(B65,"setosa","Setosa Flower","versicolor","Versicolor Flower","virginica","Virginica Flower","Unknown")</f>
        <v>Versicolor Flower</v>
      </c>
      <c r="K65" s="3" t="str">
        <f t="shared" si="3"/>
        <v>Error</v>
      </c>
      <c r="L65" s="3" t="str">
        <f t="shared" si="4"/>
        <v>Available</v>
      </c>
      <c r="M65" s="3" t="str">
        <f t="shared" si="5"/>
        <v>Numeric</v>
      </c>
    </row>
    <row r="66" spans="1:13" x14ac:dyDescent="0.25">
      <c r="A66" s="3">
        <f>RAW_DATA!A66</f>
        <v>5.6</v>
      </c>
      <c r="B66" s="3" t="str">
        <f>RAW_DATA!E66</f>
        <v>versicolor</v>
      </c>
      <c r="C66" s="3" t="str">
        <f t="shared" si="0"/>
        <v>LONG</v>
      </c>
      <c r="D66" s="3" t="str" cm="1">
        <f t="array" ref="D66">_xlfn.IFS(A66&lt;5,"Short",A66&lt;6,"Medium",A66&gt;=6,"Long")</f>
        <v>Medium</v>
      </c>
      <c r="E66" s="3" t="str">
        <f>IF(AND(RAW_DATA!C66&gt;4,RAW_DATA!D66&gt;1.5),"Large Petals","Not Large")</f>
        <v>Not Large</v>
      </c>
      <c r="F66" s="3" t="str">
        <f>IF(OR(RAW_DATA!A66&gt;6,RAW_DATA!C66&gt;4),"Large Flower","Normal Flower")</f>
        <v>Normal Flower</v>
      </c>
      <c r="G66" s="3" t="str">
        <f t="shared" si="1"/>
        <v>Not Setosa</v>
      </c>
      <c r="H66" s="3" t="str">
        <f t="shared" si="2"/>
        <v>Medium</v>
      </c>
      <c r="I66" s="3" t="str">
        <f>CHOOSE(MATCH(B66,{"setosa","versicolor","virginica"},0),"Setosa","Versicolor","Virginica")</f>
        <v>Versicolor</v>
      </c>
      <c r="J66" s="3" t="str" cm="1">
        <f t="array" ref="J66">_xlfn.SWITCH(B66,"setosa","Setosa Flower","versicolor","Versicolor Flower","virginica","Virginica Flower","Unknown")</f>
        <v>Versicolor Flower</v>
      </c>
      <c r="K66" s="3" t="str">
        <f t="shared" si="3"/>
        <v>Error</v>
      </c>
      <c r="L66" s="3" t="str">
        <f t="shared" si="4"/>
        <v>Available</v>
      </c>
      <c r="M66" s="3" t="str">
        <f t="shared" si="5"/>
        <v>Numeric</v>
      </c>
    </row>
    <row r="67" spans="1:13" x14ac:dyDescent="0.25">
      <c r="A67" s="3">
        <f>RAW_DATA!A67</f>
        <v>6.7</v>
      </c>
      <c r="B67" s="3" t="str">
        <f>RAW_DATA!E67</f>
        <v>versicolor</v>
      </c>
      <c r="C67" s="3" t="str">
        <f t="shared" ref="C67:C130" si="6">IF(A67&gt;=5,"LONG","SHORT")</f>
        <v>LONG</v>
      </c>
      <c r="D67" s="3" t="str" cm="1">
        <f t="array" ref="D67">_xlfn.IFS(A67&lt;5,"Short",A67&lt;6,"Medium",A67&gt;=6,"Long")</f>
        <v>Long</v>
      </c>
      <c r="E67" s="3" t="str">
        <f>IF(AND(RAW_DATA!C67&gt;4,RAW_DATA!D67&gt;1.5),"Large Petals","Not Large")</f>
        <v>Not Large</v>
      </c>
      <c r="F67" s="3" t="str">
        <f>IF(OR(RAW_DATA!A67&gt;6,RAW_DATA!C67&gt;4),"Large Flower","Normal Flower")</f>
        <v>Large Flower</v>
      </c>
      <c r="G67" s="3" t="str">
        <f t="shared" ref="G67:G130" si="7">IF(NOT(B67="setosa"),"Not Setosa","Setosa")</f>
        <v>Not Setosa</v>
      </c>
      <c r="H67" s="3" t="str">
        <f t="shared" ref="H67:H130" si="8">IF(A67&lt;5,"Small",IF(A67&lt;6,"Medium","Large"))</f>
        <v>Large</v>
      </c>
      <c r="I67" s="3" t="str">
        <f>CHOOSE(MATCH(B67,{"setosa","versicolor","virginica"},0),"Setosa","Versicolor","Virginica")</f>
        <v>Versicolor</v>
      </c>
      <c r="J67" s="3" t="str" cm="1">
        <f t="array" ref="J67">_xlfn.SWITCH(B67,"setosa","Setosa Flower","versicolor","Versicolor Flower","virginica","Virginica Flower","Unknown")</f>
        <v>Versicolor Flower</v>
      </c>
      <c r="K67" s="3" t="str">
        <f t="shared" ref="K67:K130" si="9">IF(ISERROR(A67/0),"Error","Valid")</f>
        <v>Error</v>
      </c>
      <c r="L67" s="3" t="str">
        <f t="shared" ref="L67:L130" si="10">IF(ISBLANK(A67),"Missing","Available")</f>
        <v>Available</v>
      </c>
      <c r="M67" s="3" t="str">
        <f t="shared" ref="M67:M130" si="11">IF(ISNUMBER(A67),"Numeric","Not Numeric")</f>
        <v>Numeric</v>
      </c>
    </row>
    <row r="68" spans="1:13" x14ac:dyDescent="0.25">
      <c r="A68" s="3">
        <f>RAW_DATA!A68</f>
        <v>5.6</v>
      </c>
      <c r="B68" s="3" t="str">
        <f>RAW_DATA!E68</f>
        <v>versicolor</v>
      </c>
      <c r="C68" s="3" t="str">
        <f t="shared" si="6"/>
        <v>LONG</v>
      </c>
      <c r="D68" s="3" t="str" cm="1">
        <f t="array" ref="D68">_xlfn.IFS(A68&lt;5,"Short",A68&lt;6,"Medium",A68&gt;=6,"Long")</f>
        <v>Medium</v>
      </c>
      <c r="E68" s="3" t="str">
        <f>IF(AND(RAW_DATA!C68&gt;4,RAW_DATA!D68&gt;1.5),"Large Petals","Not Large")</f>
        <v>Not Large</v>
      </c>
      <c r="F68" s="3" t="str">
        <f>IF(OR(RAW_DATA!A68&gt;6,RAW_DATA!C68&gt;4),"Large Flower","Normal Flower")</f>
        <v>Large Flower</v>
      </c>
      <c r="G68" s="3" t="str">
        <f t="shared" si="7"/>
        <v>Not Setosa</v>
      </c>
      <c r="H68" s="3" t="str">
        <f t="shared" si="8"/>
        <v>Medium</v>
      </c>
      <c r="I68" s="3" t="str">
        <f>CHOOSE(MATCH(B68,{"setosa","versicolor","virginica"},0),"Setosa","Versicolor","Virginica")</f>
        <v>Versicolor</v>
      </c>
      <c r="J68" s="3" t="str" cm="1">
        <f t="array" ref="J68">_xlfn.SWITCH(B68,"setosa","Setosa Flower","versicolor","Versicolor Flower","virginica","Virginica Flower","Unknown")</f>
        <v>Versicolor Flower</v>
      </c>
      <c r="K68" s="3" t="str">
        <f t="shared" si="9"/>
        <v>Error</v>
      </c>
      <c r="L68" s="3" t="str">
        <f t="shared" si="10"/>
        <v>Available</v>
      </c>
      <c r="M68" s="3" t="str">
        <f t="shared" si="11"/>
        <v>Numeric</v>
      </c>
    </row>
    <row r="69" spans="1:13" x14ac:dyDescent="0.25">
      <c r="A69" s="3">
        <f>RAW_DATA!A69</f>
        <v>5.8</v>
      </c>
      <c r="B69" s="3" t="str">
        <f>RAW_DATA!E69</f>
        <v>versicolor</v>
      </c>
      <c r="C69" s="3" t="str">
        <f t="shared" si="6"/>
        <v>LONG</v>
      </c>
      <c r="D69" s="3" t="str" cm="1">
        <f t="array" ref="D69">_xlfn.IFS(A69&lt;5,"Short",A69&lt;6,"Medium",A69&gt;=6,"Long")</f>
        <v>Medium</v>
      </c>
      <c r="E69" s="3" t="str">
        <f>IF(AND(RAW_DATA!C69&gt;4,RAW_DATA!D69&gt;1.5),"Large Petals","Not Large")</f>
        <v>Not Large</v>
      </c>
      <c r="F69" s="3" t="str">
        <f>IF(OR(RAW_DATA!A69&gt;6,RAW_DATA!C69&gt;4),"Large Flower","Normal Flower")</f>
        <v>Large Flower</v>
      </c>
      <c r="G69" s="3" t="str">
        <f t="shared" si="7"/>
        <v>Not Setosa</v>
      </c>
      <c r="H69" s="3" t="str">
        <f t="shared" si="8"/>
        <v>Medium</v>
      </c>
      <c r="I69" s="3" t="str">
        <f>CHOOSE(MATCH(B69,{"setosa","versicolor","virginica"},0),"Setosa","Versicolor","Virginica")</f>
        <v>Versicolor</v>
      </c>
      <c r="J69" s="3" t="str" cm="1">
        <f t="array" ref="J69">_xlfn.SWITCH(B69,"setosa","Setosa Flower","versicolor","Versicolor Flower","virginica","Virginica Flower","Unknown")</f>
        <v>Versicolor Flower</v>
      </c>
      <c r="K69" s="3" t="str">
        <f t="shared" si="9"/>
        <v>Error</v>
      </c>
      <c r="L69" s="3" t="str">
        <f t="shared" si="10"/>
        <v>Available</v>
      </c>
      <c r="M69" s="3" t="str">
        <f t="shared" si="11"/>
        <v>Numeric</v>
      </c>
    </row>
    <row r="70" spans="1:13" x14ac:dyDescent="0.25">
      <c r="A70" s="3">
        <f>RAW_DATA!A70</f>
        <v>6.2</v>
      </c>
      <c r="B70" s="3" t="str">
        <f>RAW_DATA!E70</f>
        <v>versicolor</v>
      </c>
      <c r="C70" s="3" t="str">
        <f t="shared" si="6"/>
        <v>LONG</v>
      </c>
      <c r="D70" s="3" t="str" cm="1">
        <f t="array" ref="D70">_xlfn.IFS(A70&lt;5,"Short",A70&lt;6,"Medium",A70&gt;=6,"Long")</f>
        <v>Long</v>
      </c>
      <c r="E70" s="3" t="str">
        <f>IF(AND(RAW_DATA!C70&gt;4,RAW_DATA!D70&gt;1.5),"Large Petals","Not Large")</f>
        <v>Not Large</v>
      </c>
      <c r="F70" s="3" t="str">
        <f>IF(OR(RAW_DATA!A70&gt;6,RAW_DATA!C70&gt;4),"Large Flower","Normal Flower")</f>
        <v>Large Flower</v>
      </c>
      <c r="G70" s="3" t="str">
        <f t="shared" si="7"/>
        <v>Not Setosa</v>
      </c>
      <c r="H70" s="3" t="str">
        <f t="shared" si="8"/>
        <v>Large</v>
      </c>
      <c r="I70" s="3" t="str">
        <f>CHOOSE(MATCH(B70,{"setosa","versicolor","virginica"},0),"Setosa","Versicolor","Virginica")</f>
        <v>Versicolor</v>
      </c>
      <c r="J70" s="3" t="str" cm="1">
        <f t="array" ref="J70">_xlfn.SWITCH(B70,"setosa","Setosa Flower","versicolor","Versicolor Flower","virginica","Virginica Flower","Unknown")</f>
        <v>Versicolor Flower</v>
      </c>
      <c r="K70" s="3" t="str">
        <f t="shared" si="9"/>
        <v>Error</v>
      </c>
      <c r="L70" s="3" t="str">
        <f t="shared" si="10"/>
        <v>Available</v>
      </c>
      <c r="M70" s="3" t="str">
        <f t="shared" si="11"/>
        <v>Numeric</v>
      </c>
    </row>
    <row r="71" spans="1:13" x14ac:dyDescent="0.25">
      <c r="A71" s="3">
        <f>RAW_DATA!A71</f>
        <v>5.6</v>
      </c>
      <c r="B71" s="3" t="str">
        <f>RAW_DATA!E71</f>
        <v>versicolor</v>
      </c>
      <c r="C71" s="3" t="str">
        <f t="shared" si="6"/>
        <v>LONG</v>
      </c>
      <c r="D71" s="3" t="str" cm="1">
        <f t="array" ref="D71">_xlfn.IFS(A71&lt;5,"Short",A71&lt;6,"Medium",A71&gt;=6,"Long")</f>
        <v>Medium</v>
      </c>
      <c r="E71" s="3" t="str">
        <f>IF(AND(RAW_DATA!C71&gt;4,RAW_DATA!D71&gt;1.5),"Large Petals","Not Large")</f>
        <v>Not Large</v>
      </c>
      <c r="F71" s="3" t="str">
        <f>IF(OR(RAW_DATA!A71&gt;6,RAW_DATA!C71&gt;4),"Large Flower","Normal Flower")</f>
        <v>Normal Flower</v>
      </c>
      <c r="G71" s="3" t="str">
        <f t="shared" si="7"/>
        <v>Not Setosa</v>
      </c>
      <c r="H71" s="3" t="str">
        <f t="shared" si="8"/>
        <v>Medium</v>
      </c>
      <c r="I71" s="3" t="str">
        <f>CHOOSE(MATCH(B71,{"setosa","versicolor","virginica"},0),"Setosa","Versicolor","Virginica")</f>
        <v>Versicolor</v>
      </c>
      <c r="J71" s="3" t="str" cm="1">
        <f t="array" ref="J71">_xlfn.SWITCH(B71,"setosa","Setosa Flower","versicolor","Versicolor Flower","virginica","Virginica Flower","Unknown")</f>
        <v>Versicolor Flower</v>
      </c>
      <c r="K71" s="3" t="str">
        <f t="shared" si="9"/>
        <v>Error</v>
      </c>
      <c r="L71" s="3" t="str">
        <f t="shared" si="10"/>
        <v>Available</v>
      </c>
      <c r="M71" s="3" t="str">
        <f t="shared" si="11"/>
        <v>Numeric</v>
      </c>
    </row>
    <row r="72" spans="1:13" x14ac:dyDescent="0.25">
      <c r="A72" s="3">
        <f>RAW_DATA!A72</f>
        <v>5.9</v>
      </c>
      <c r="B72" s="3" t="str">
        <f>RAW_DATA!E72</f>
        <v>versicolor</v>
      </c>
      <c r="C72" s="3" t="str">
        <f t="shared" si="6"/>
        <v>LONG</v>
      </c>
      <c r="D72" s="3" t="str" cm="1">
        <f t="array" ref="D72">_xlfn.IFS(A72&lt;5,"Short",A72&lt;6,"Medium",A72&gt;=6,"Long")</f>
        <v>Medium</v>
      </c>
      <c r="E72" s="3" t="str">
        <f>IF(AND(RAW_DATA!C72&gt;4,RAW_DATA!D72&gt;1.5),"Large Petals","Not Large")</f>
        <v>Large Petals</v>
      </c>
      <c r="F72" s="3" t="str">
        <f>IF(OR(RAW_DATA!A72&gt;6,RAW_DATA!C72&gt;4),"Large Flower","Normal Flower")</f>
        <v>Large Flower</v>
      </c>
      <c r="G72" s="3" t="str">
        <f t="shared" si="7"/>
        <v>Not Setosa</v>
      </c>
      <c r="H72" s="3" t="str">
        <f t="shared" si="8"/>
        <v>Medium</v>
      </c>
      <c r="I72" s="3" t="str">
        <f>CHOOSE(MATCH(B72,{"setosa","versicolor","virginica"},0),"Setosa","Versicolor","Virginica")</f>
        <v>Versicolor</v>
      </c>
      <c r="J72" s="3" t="str" cm="1">
        <f t="array" ref="J72">_xlfn.SWITCH(B72,"setosa","Setosa Flower","versicolor","Versicolor Flower","virginica","Virginica Flower","Unknown")</f>
        <v>Versicolor Flower</v>
      </c>
      <c r="K72" s="3" t="str">
        <f t="shared" si="9"/>
        <v>Error</v>
      </c>
      <c r="L72" s="3" t="str">
        <f t="shared" si="10"/>
        <v>Available</v>
      </c>
      <c r="M72" s="3" t="str">
        <f t="shared" si="11"/>
        <v>Numeric</v>
      </c>
    </row>
    <row r="73" spans="1:13" x14ac:dyDescent="0.25">
      <c r="A73" s="3">
        <f>RAW_DATA!A73</f>
        <v>6.1</v>
      </c>
      <c r="B73" s="3" t="str">
        <f>RAW_DATA!E73</f>
        <v>versicolor</v>
      </c>
      <c r="C73" s="3" t="str">
        <f t="shared" si="6"/>
        <v>LONG</v>
      </c>
      <c r="D73" s="3" t="str" cm="1">
        <f t="array" ref="D73">_xlfn.IFS(A73&lt;5,"Short",A73&lt;6,"Medium",A73&gt;=6,"Long")</f>
        <v>Long</v>
      </c>
      <c r="E73" s="3" t="str">
        <f>IF(AND(RAW_DATA!C73&gt;4,RAW_DATA!D73&gt;1.5),"Large Petals","Not Large")</f>
        <v>Not Large</v>
      </c>
      <c r="F73" s="3" t="str">
        <f>IF(OR(RAW_DATA!A73&gt;6,RAW_DATA!C73&gt;4),"Large Flower","Normal Flower")</f>
        <v>Large Flower</v>
      </c>
      <c r="G73" s="3" t="str">
        <f t="shared" si="7"/>
        <v>Not Setosa</v>
      </c>
      <c r="H73" s="3" t="str">
        <f t="shared" si="8"/>
        <v>Large</v>
      </c>
      <c r="I73" s="3" t="str">
        <f>CHOOSE(MATCH(B73,{"setosa","versicolor","virginica"},0),"Setosa","Versicolor","Virginica")</f>
        <v>Versicolor</v>
      </c>
      <c r="J73" s="3" t="str" cm="1">
        <f t="array" ref="J73">_xlfn.SWITCH(B73,"setosa","Setosa Flower","versicolor","Versicolor Flower","virginica","Virginica Flower","Unknown")</f>
        <v>Versicolor Flower</v>
      </c>
      <c r="K73" s="3" t="str">
        <f t="shared" si="9"/>
        <v>Error</v>
      </c>
      <c r="L73" s="3" t="str">
        <f t="shared" si="10"/>
        <v>Available</v>
      </c>
      <c r="M73" s="3" t="str">
        <f t="shared" si="11"/>
        <v>Numeric</v>
      </c>
    </row>
    <row r="74" spans="1:13" x14ac:dyDescent="0.25">
      <c r="A74" s="3">
        <f>RAW_DATA!A74</f>
        <v>6.3</v>
      </c>
      <c r="B74" s="3" t="str">
        <f>RAW_DATA!E74</f>
        <v>versicolor</v>
      </c>
      <c r="C74" s="3" t="str">
        <f t="shared" si="6"/>
        <v>LONG</v>
      </c>
      <c r="D74" s="3" t="str" cm="1">
        <f t="array" ref="D74">_xlfn.IFS(A74&lt;5,"Short",A74&lt;6,"Medium",A74&gt;=6,"Long")</f>
        <v>Long</v>
      </c>
      <c r="E74" s="3" t="str">
        <f>IF(AND(RAW_DATA!C74&gt;4,RAW_DATA!D74&gt;1.5),"Large Petals","Not Large")</f>
        <v>Not Large</v>
      </c>
      <c r="F74" s="3" t="str">
        <f>IF(OR(RAW_DATA!A74&gt;6,RAW_DATA!C74&gt;4),"Large Flower","Normal Flower")</f>
        <v>Large Flower</v>
      </c>
      <c r="G74" s="3" t="str">
        <f t="shared" si="7"/>
        <v>Not Setosa</v>
      </c>
      <c r="H74" s="3" t="str">
        <f t="shared" si="8"/>
        <v>Large</v>
      </c>
      <c r="I74" s="3" t="str">
        <f>CHOOSE(MATCH(B74,{"setosa","versicolor","virginica"},0),"Setosa","Versicolor","Virginica")</f>
        <v>Versicolor</v>
      </c>
      <c r="J74" s="3" t="str" cm="1">
        <f t="array" ref="J74">_xlfn.SWITCH(B74,"setosa","Setosa Flower","versicolor","Versicolor Flower","virginica","Virginica Flower","Unknown")</f>
        <v>Versicolor Flower</v>
      </c>
      <c r="K74" s="3" t="str">
        <f t="shared" si="9"/>
        <v>Error</v>
      </c>
      <c r="L74" s="3" t="str">
        <f t="shared" si="10"/>
        <v>Available</v>
      </c>
      <c r="M74" s="3" t="str">
        <f t="shared" si="11"/>
        <v>Numeric</v>
      </c>
    </row>
    <row r="75" spans="1:13" x14ac:dyDescent="0.25">
      <c r="A75" s="3">
        <f>RAW_DATA!A75</f>
        <v>6.1</v>
      </c>
      <c r="B75" s="3" t="str">
        <f>RAW_DATA!E75</f>
        <v>versicolor</v>
      </c>
      <c r="C75" s="3" t="str">
        <f t="shared" si="6"/>
        <v>LONG</v>
      </c>
      <c r="D75" s="3" t="str" cm="1">
        <f t="array" ref="D75">_xlfn.IFS(A75&lt;5,"Short",A75&lt;6,"Medium",A75&gt;=6,"Long")</f>
        <v>Long</v>
      </c>
      <c r="E75" s="3" t="str">
        <f>IF(AND(RAW_DATA!C75&gt;4,RAW_DATA!D75&gt;1.5),"Large Petals","Not Large")</f>
        <v>Not Large</v>
      </c>
      <c r="F75" s="3" t="str">
        <f>IF(OR(RAW_DATA!A75&gt;6,RAW_DATA!C75&gt;4),"Large Flower","Normal Flower")</f>
        <v>Large Flower</v>
      </c>
      <c r="G75" s="3" t="str">
        <f t="shared" si="7"/>
        <v>Not Setosa</v>
      </c>
      <c r="H75" s="3" t="str">
        <f t="shared" si="8"/>
        <v>Large</v>
      </c>
      <c r="I75" s="3" t="str">
        <f>CHOOSE(MATCH(B75,{"setosa","versicolor","virginica"},0),"Setosa","Versicolor","Virginica")</f>
        <v>Versicolor</v>
      </c>
      <c r="J75" s="3" t="str" cm="1">
        <f t="array" ref="J75">_xlfn.SWITCH(B75,"setosa","Setosa Flower","versicolor","Versicolor Flower","virginica","Virginica Flower","Unknown")</f>
        <v>Versicolor Flower</v>
      </c>
      <c r="K75" s="3" t="str">
        <f t="shared" si="9"/>
        <v>Error</v>
      </c>
      <c r="L75" s="3" t="str">
        <f t="shared" si="10"/>
        <v>Available</v>
      </c>
      <c r="M75" s="3" t="str">
        <f t="shared" si="11"/>
        <v>Numeric</v>
      </c>
    </row>
    <row r="76" spans="1:13" x14ac:dyDescent="0.25">
      <c r="A76" s="3">
        <f>RAW_DATA!A76</f>
        <v>6.4</v>
      </c>
      <c r="B76" s="3" t="str">
        <f>RAW_DATA!E76</f>
        <v>versicolor</v>
      </c>
      <c r="C76" s="3" t="str">
        <f t="shared" si="6"/>
        <v>LONG</v>
      </c>
      <c r="D76" s="3" t="str" cm="1">
        <f t="array" ref="D76">_xlfn.IFS(A76&lt;5,"Short",A76&lt;6,"Medium",A76&gt;=6,"Long")</f>
        <v>Long</v>
      </c>
      <c r="E76" s="3" t="str">
        <f>IF(AND(RAW_DATA!C76&gt;4,RAW_DATA!D76&gt;1.5),"Large Petals","Not Large")</f>
        <v>Not Large</v>
      </c>
      <c r="F76" s="3" t="str">
        <f>IF(OR(RAW_DATA!A76&gt;6,RAW_DATA!C76&gt;4),"Large Flower","Normal Flower")</f>
        <v>Large Flower</v>
      </c>
      <c r="G76" s="3" t="str">
        <f t="shared" si="7"/>
        <v>Not Setosa</v>
      </c>
      <c r="H76" s="3" t="str">
        <f t="shared" si="8"/>
        <v>Large</v>
      </c>
      <c r="I76" s="3" t="str">
        <f>CHOOSE(MATCH(B76,{"setosa","versicolor","virginica"},0),"Setosa","Versicolor","Virginica")</f>
        <v>Versicolor</v>
      </c>
      <c r="J76" s="3" t="str" cm="1">
        <f t="array" ref="J76">_xlfn.SWITCH(B76,"setosa","Setosa Flower","versicolor","Versicolor Flower","virginica","Virginica Flower","Unknown")</f>
        <v>Versicolor Flower</v>
      </c>
      <c r="K76" s="3" t="str">
        <f t="shared" si="9"/>
        <v>Error</v>
      </c>
      <c r="L76" s="3" t="str">
        <f t="shared" si="10"/>
        <v>Available</v>
      </c>
      <c r="M76" s="3" t="str">
        <f t="shared" si="11"/>
        <v>Numeric</v>
      </c>
    </row>
    <row r="77" spans="1:13" x14ac:dyDescent="0.25">
      <c r="A77" s="3">
        <f>RAW_DATA!A77</f>
        <v>6.6</v>
      </c>
      <c r="B77" s="3" t="str">
        <f>RAW_DATA!E77</f>
        <v>versicolor</v>
      </c>
      <c r="C77" s="3" t="str">
        <f t="shared" si="6"/>
        <v>LONG</v>
      </c>
      <c r="D77" s="3" t="str" cm="1">
        <f t="array" ref="D77">_xlfn.IFS(A77&lt;5,"Short",A77&lt;6,"Medium",A77&gt;=6,"Long")</f>
        <v>Long</v>
      </c>
      <c r="E77" s="3" t="str">
        <f>IF(AND(RAW_DATA!C77&gt;4,RAW_DATA!D77&gt;1.5),"Large Petals","Not Large")</f>
        <v>Not Large</v>
      </c>
      <c r="F77" s="3" t="str">
        <f>IF(OR(RAW_DATA!A77&gt;6,RAW_DATA!C77&gt;4),"Large Flower","Normal Flower")</f>
        <v>Large Flower</v>
      </c>
      <c r="G77" s="3" t="str">
        <f t="shared" si="7"/>
        <v>Not Setosa</v>
      </c>
      <c r="H77" s="3" t="str">
        <f t="shared" si="8"/>
        <v>Large</v>
      </c>
      <c r="I77" s="3" t="str">
        <f>CHOOSE(MATCH(B77,{"setosa","versicolor","virginica"},0),"Setosa","Versicolor","Virginica")</f>
        <v>Versicolor</v>
      </c>
      <c r="J77" s="3" t="str" cm="1">
        <f t="array" ref="J77">_xlfn.SWITCH(B77,"setosa","Setosa Flower","versicolor","Versicolor Flower","virginica","Virginica Flower","Unknown")</f>
        <v>Versicolor Flower</v>
      </c>
      <c r="K77" s="3" t="str">
        <f t="shared" si="9"/>
        <v>Error</v>
      </c>
      <c r="L77" s="3" t="str">
        <f t="shared" si="10"/>
        <v>Available</v>
      </c>
      <c r="M77" s="3" t="str">
        <f t="shared" si="11"/>
        <v>Numeric</v>
      </c>
    </row>
    <row r="78" spans="1:13" x14ac:dyDescent="0.25">
      <c r="A78" s="3">
        <f>RAW_DATA!A78</f>
        <v>6.8</v>
      </c>
      <c r="B78" s="3" t="str">
        <f>RAW_DATA!E78</f>
        <v>versicolor</v>
      </c>
      <c r="C78" s="3" t="str">
        <f t="shared" si="6"/>
        <v>LONG</v>
      </c>
      <c r="D78" s="3" t="str" cm="1">
        <f t="array" ref="D78">_xlfn.IFS(A78&lt;5,"Short",A78&lt;6,"Medium",A78&gt;=6,"Long")</f>
        <v>Long</v>
      </c>
      <c r="E78" s="3" t="str">
        <f>IF(AND(RAW_DATA!C78&gt;4,RAW_DATA!D78&gt;1.5),"Large Petals","Not Large")</f>
        <v>Not Large</v>
      </c>
      <c r="F78" s="3" t="str">
        <f>IF(OR(RAW_DATA!A78&gt;6,RAW_DATA!C78&gt;4),"Large Flower","Normal Flower")</f>
        <v>Large Flower</v>
      </c>
      <c r="G78" s="3" t="str">
        <f t="shared" si="7"/>
        <v>Not Setosa</v>
      </c>
      <c r="H78" s="3" t="str">
        <f t="shared" si="8"/>
        <v>Large</v>
      </c>
      <c r="I78" s="3" t="str">
        <f>CHOOSE(MATCH(B78,{"setosa","versicolor","virginica"},0),"Setosa","Versicolor","Virginica")</f>
        <v>Versicolor</v>
      </c>
      <c r="J78" s="3" t="str" cm="1">
        <f t="array" ref="J78">_xlfn.SWITCH(B78,"setosa","Setosa Flower","versicolor","Versicolor Flower","virginica","Virginica Flower","Unknown")</f>
        <v>Versicolor Flower</v>
      </c>
      <c r="K78" s="3" t="str">
        <f t="shared" si="9"/>
        <v>Error</v>
      </c>
      <c r="L78" s="3" t="str">
        <f t="shared" si="10"/>
        <v>Available</v>
      </c>
      <c r="M78" s="3" t="str">
        <f t="shared" si="11"/>
        <v>Numeric</v>
      </c>
    </row>
    <row r="79" spans="1:13" x14ac:dyDescent="0.25">
      <c r="A79" s="3">
        <f>RAW_DATA!A79</f>
        <v>6.7</v>
      </c>
      <c r="B79" s="3" t="str">
        <f>RAW_DATA!E79</f>
        <v>versicolor</v>
      </c>
      <c r="C79" s="3" t="str">
        <f t="shared" si="6"/>
        <v>LONG</v>
      </c>
      <c r="D79" s="3" t="str" cm="1">
        <f t="array" ref="D79">_xlfn.IFS(A79&lt;5,"Short",A79&lt;6,"Medium",A79&gt;=6,"Long")</f>
        <v>Long</v>
      </c>
      <c r="E79" s="3" t="str">
        <f>IF(AND(RAW_DATA!C79&gt;4,RAW_DATA!D79&gt;1.5),"Large Petals","Not Large")</f>
        <v>Large Petals</v>
      </c>
      <c r="F79" s="3" t="str">
        <f>IF(OR(RAW_DATA!A79&gt;6,RAW_DATA!C79&gt;4),"Large Flower","Normal Flower")</f>
        <v>Large Flower</v>
      </c>
      <c r="G79" s="3" t="str">
        <f t="shared" si="7"/>
        <v>Not Setosa</v>
      </c>
      <c r="H79" s="3" t="str">
        <f t="shared" si="8"/>
        <v>Large</v>
      </c>
      <c r="I79" s="3" t="str">
        <f>CHOOSE(MATCH(B79,{"setosa","versicolor","virginica"},0),"Setosa","Versicolor","Virginica")</f>
        <v>Versicolor</v>
      </c>
      <c r="J79" s="3" t="str" cm="1">
        <f t="array" ref="J79">_xlfn.SWITCH(B79,"setosa","Setosa Flower","versicolor","Versicolor Flower","virginica","Virginica Flower","Unknown")</f>
        <v>Versicolor Flower</v>
      </c>
      <c r="K79" s="3" t="str">
        <f t="shared" si="9"/>
        <v>Error</v>
      </c>
      <c r="L79" s="3" t="str">
        <f t="shared" si="10"/>
        <v>Available</v>
      </c>
      <c r="M79" s="3" t="str">
        <f t="shared" si="11"/>
        <v>Numeric</v>
      </c>
    </row>
    <row r="80" spans="1:13" x14ac:dyDescent="0.25">
      <c r="A80" s="3">
        <f>RAW_DATA!A80</f>
        <v>6</v>
      </c>
      <c r="B80" s="3" t="str">
        <f>RAW_DATA!E80</f>
        <v>versicolor</v>
      </c>
      <c r="C80" s="3" t="str">
        <f t="shared" si="6"/>
        <v>LONG</v>
      </c>
      <c r="D80" s="3" t="str" cm="1">
        <f t="array" ref="D80">_xlfn.IFS(A80&lt;5,"Short",A80&lt;6,"Medium",A80&gt;=6,"Long")</f>
        <v>Long</v>
      </c>
      <c r="E80" s="3" t="str">
        <f>IF(AND(RAW_DATA!C80&gt;4,RAW_DATA!D80&gt;1.5),"Large Petals","Not Large")</f>
        <v>Not Large</v>
      </c>
      <c r="F80" s="3" t="str">
        <f>IF(OR(RAW_DATA!A80&gt;6,RAW_DATA!C80&gt;4),"Large Flower","Normal Flower")</f>
        <v>Large Flower</v>
      </c>
      <c r="G80" s="3" t="str">
        <f t="shared" si="7"/>
        <v>Not Setosa</v>
      </c>
      <c r="H80" s="3" t="str">
        <f t="shared" si="8"/>
        <v>Large</v>
      </c>
      <c r="I80" s="3" t="str">
        <f>CHOOSE(MATCH(B80,{"setosa","versicolor","virginica"},0),"Setosa","Versicolor","Virginica")</f>
        <v>Versicolor</v>
      </c>
      <c r="J80" s="3" t="str" cm="1">
        <f t="array" ref="J80">_xlfn.SWITCH(B80,"setosa","Setosa Flower","versicolor","Versicolor Flower","virginica","Virginica Flower","Unknown")</f>
        <v>Versicolor Flower</v>
      </c>
      <c r="K80" s="3" t="str">
        <f t="shared" si="9"/>
        <v>Error</v>
      </c>
      <c r="L80" s="3" t="str">
        <f t="shared" si="10"/>
        <v>Available</v>
      </c>
      <c r="M80" s="3" t="str">
        <f t="shared" si="11"/>
        <v>Numeric</v>
      </c>
    </row>
    <row r="81" spans="1:13" x14ac:dyDescent="0.25">
      <c r="A81" s="3">
        <f>RAW_DATA!A81</f>
        <v>5.7</v>
      </c>
      <c r="B81" s="3" t="str">
        <f>RAW_DATA!E81</f>
        <v>versicolor</v>
      </c>
      <c r="C81" s="3" t="str">
        <f t="shared" si="6"/>
        <v>LONG</v>
      </c>
      <c r="D81" s="3" t="str" cm="1">
        <f t="array" ref="D81">_xlfn.IFS(A81&lt;5,"Short",A81&lt;6,"Medium",A81&gt;=6,"Long")</f>
        <v>Medium</v>
      </c>
      <c r="E81" s="3" t="str">
        <f>IF(AND(RAW_DATA!C81&gt;4,RAW_DATA!D81&gt;1.5),"Large Petals","Not Large")</f>
        <v>Not Large</v>
      </c>
      <c r="F81" s="3" t="str">
        <f>IF(OR(RAW_DATA!A81&gt;6,RAW_DATA!C81&gt;4),"Large Flower","Normal Flower")</f>
        <v>Normal Flower</v>
      </c>
      <c r="G81" s="3" t="str">
        <f t="shared" si="7"/>
        <v>Not Setosa</v>
      </c>
      <c r="H81" s="3" t="str">
        <f t="shared" si="8"/>
        <v>Medium</v>
      </c>
      <c r="I81" s="3" t="str">
        <f>CHOOSE(MATCH(B81,{"setosa","versicolor","virginica"},0),"Setosa","Versicolor","Virginica")</f>
        <v>Versicolor</v>
      </c>
      <c r="J81" s="3" t="str" cm="1">
        <f t="array" ref="J81">_xlfn.SWITCH(B81,"setosa","Setosa Flower","versicolor","Versicolor Flower","virginica","Virginica Flower","Unknown")</f>
        <v>Versicolor Flower</v>
      </c>
      <c r="K81" s="3" t="str">
        <f t="shared" si="9"/>
        <v>Error</v>
      </c>
      <c r="L81" s="3" t="str">
        <f t="shared" si="10"/>
        <v>Available</v>
      </c>
      <c r="M81" s="3" t="str">
        <f t="shared" si="11"/>
        <v>Numeric</v>
      </c>
    </row>
    <row r="82" spans="1:13" x14ac:dyDescent="0.25">
      <c r="A82" s="3">
        <f>RAW_DATA!A82</f>
        <v>5.5</v>
      </c>
      <c r="B82" s="3" t="str">
        <f>RAW_DATA!E82</f>
        <v>versicolor</v>
      </c>
      <c r="C82" s="3" t="str">
        <f t="shared" si="6"/>
        <v>LONG</v>
      </c>
      <c r="D82" s="3" t="str" cm="1">
        <f t="array" ref="D82">_xlfn.IFS(A82&lt;5,"Short",A82&lt;6,"Medium",A82&gt;=6,"Long")</f>
        <v>Medium</v>
      </c>
      <c r="E82" s="3" t="str">
        <f>IF(AND(RAW_DATA!C82&gt;4,RAW_DATA!D82&gt;1.5),"Large Petals","Not Large")</f>
        <v>Not Large</v>
      </c>
      <c r="F82" s="3" t="str">
        <f>IF(OR(RAW_DATA!A82&gt;6,RAW_DATA!C82&gt;4),"Large Flower","Normal Flower")</f>
        <v>Normal Flower</v>
      </c>
      <c r="G82" s="3" t="str">
        <f t="shared" si="7"/>
        <v>Not Setosa</v>
      </c>
      <c r="H82" s="3" t="str">
        <f t="shared" si="8"/>
        <v>Medium</v>
      </c>
      <c r="I82" s="3" t="str">
        <f>CHOOSE(MATCH(B82,{"setosa","versicolor","virginica"},0),"Setosa","Versicolor","Virginica")</f>
        <v>Versicolor</v>
      </c>
      <c r="J82" s="3" t="str" cm="1">
        <f t="array" ref="J82">_xlfn.SWITCH(B82,"setosa","Setosa Flower","versicolor","Versicolor Flower","virginica","Virginica Flower","Unknown")</f>
        <v>Versicolor Flower</v>
      </c>
      <c r="K82" s="3" t="str">
        <f t="shared" si="9"/>
        <v>Error</v>
      </c>
      <c r="L82" s="3" t="str">
        <f t="shared" si="10"/>
        <v>Available</v>
      </c>
      <c r="M82" s="3" t="str">
        <f t="shared" si="11"/>
        <v>Numeric</v>
      </c>
    </row>
    <row r="83" spans="1:13" x14ac:dyDescent="0.25">
      <c r="A83" s="3">
        <f>RAW_DATA!A83</f>
        <v>5.5</v>
      </c>
      <c r="B83" s="3" t="str">
        <f>RAW_DATA!E83</f>
        <v>versicolor</v>
      </c>
      <c r="C83" s="3" t="str">
        <f t="shared" si="6"/>
        <v>LONG</v>
      </c>
      <c r="D83" s="3" t="str" cm="1">
        <f t="array" ref="D83">_xlfn.IFS(A83&lt;5,"Short",A83&lt;6,"Medium",A83&gt;=6,"Long")</f>
        <v>Medium</v>
      </c>
      <c r="E83" s="3" t="str">
        <f>IF(AND(RAW_DATA!C83&gt;4,RAW_DATA!D83&gt;1.5),"Large Petals","Not Large")</f>
        <v>Not Large</v>
      </c>
      <c r="F83" s="3" t="str">
        <f>IF(OR(RAW_DATA!A83&gt;6,RAW_DATA!C83&gt;4),"Large Flower","Normal Flower")</f>
        <v>Normal Flower</v>
      </c>
      <c r="G83" s="3" t="str">
        <f t="shared" si="7"/>
        <v>Not Setosa</v>
      </c>
      <c r="H83" s="3" t="str">
        <f t="shared" si="8"/>
        <v>Medium</v>
      </c>
      <c r="I83" s="3" t="str">
        <f>CHOOSE(MATCH(B83,{"setosa","versicolor","virginica"},0),"Setosa","Versicolor","Virginica")</f>
        <v>Versicolor</v>
      </c>
      <c r="J83" s="3" t="str" cm="1">
        <f t="array" ref="J83">_xlfn.SWITCH(B83,"setosa","Setosa Flower","versicolor","Versicolor Flower","virginica","Virginica Flower","Unknown")</f>
        <v>Versicolor Flower</v>
      </c>
      <c r="K83" s="3" t="str">
        <f t="shared" si="9"/>
        <v>Error</v>
      </c>
      <c r="L83" s="3" t="str">
        <f t="shared" si="10"/>
        <v>Available</v>
      </c>
      <c r="M83" s="3" t="str">
        <f t="shared" si="11"/>
        <v>Numeric</v>
      </c>
    </row>
    <row r="84" spans="1:13" x14ac:dyDescent="0.25">
      <c r="A84" s="3">
        <f>RAW_DATA!A84</f>
        <v>5.8</v>
      </c>
      <c r="B84" s="3" t="str">
        <f>RAW_DATA!E84</f>
        <v>versicolor</v>
      </c>
      <c r="C84" s="3" t="str">
        <f t="shared" si="6"/>
        <v>LONG</v>
      </c>
      <c r="D84" s="3" t="str" cm="1">
        <f t="array" ref="D84">_xlfn.IFS(A84&lt;5,"Short",A84&lt;6,"Medium",A84&gt;=6,"Long")</f>
        <v>Medium</v>
      </c>
      <c r="E84" s="3" t="str">
        <f>IF(AND(RAW_DATA!C84&gt;4,RAW_DATA!D84&gt;1.5),"Large Petals","Not Large")</f>
        <v>Not Large</v>
      </c>
      <c r="F84" s="3" t="str">
        <f>IF(OR(RAW_DATA!A84&gt;6,RAW_DATA!C84&gt;4),"Large Flower","Normal Flower")</f>
        <v>Normal Flower</v>
      </c>
      <c r="G84" s="3" t="str">
        <f t="shared" si="7"/>
        <v>Not Setosa</v>
      </c>
      <c r="H84" s="3" t="str">
        <f t="shared" si="8"/>
        <v>Medium</v>
      </c>
      <c r="I84" s="3" t="str">
        <f>CHOOSE(MATCH(B84,{"setosa","versicolor","virginica"},0),"Setosa","Versicolor","Virginica")</f>
        <v>Versicolor</v>
      </c>
      <c r="J84" s="3" t="str" cm="1">
        <f t="array" ref="J84">_xlfn.SWITCH(B84,"setosa","Setosa Flower","versicolor","Versicolor Flower","virginica","Virginica Flower","Unknown")</f>
        <v>Versicolor Flower</v>
      </c>
      <c r="K84" s="3" t="str">
        <f t="shared" si="9"/>
        <v>Error</v>
      </c>
      <c r="L84" s="3" t="str">
        <f t="shared" si="10"/>
        <v>Available</v>
      </c>
      <c r="M84" s="3" t="str">
        <f t="shared" si="11"/>
        <v>Numeric</v>
      </c>
    </row>
    <row r="85" spans="1:13" x14ac:dyDescent="0.25">
      <c r="A85" s="3">
        <f>RAW_DATA!A85</f>
        <v>6</v>
      </c>
      <c r="B85" s="3" t="str">
        <f>RAW_DATA!E85</f>
        <v>versicolor</v>
      </c>
      <c r="C85" s="3" t="str">
        <f t="shared" si="6"/>
        <v>LONG</v>
      </c>
      <c r="D85" s="3" t="str" cm="1">
        <f t="array" ref="D85">_xlfn.IFS(A85&lt;5,"Short",A85&lt;6,"Medium",A85&gt;=6,"Long")</f>
        <v>Long</v>
      </c>
      <c r="E85" s="3" t="str">
        <f>IF(AND(RAW_DATA!C85&gt;4,RAW_DATA!D85&gt;1.5),"Large Petals","Not Large")</f>
        <v>Large Petals</v>
      </c>
      <c r="F85" s="3" t="str">
        <f>IF(OR(RAW_DATA!A85&gt;6,RAW_DATA!C85&gt;4),"Large Flower","Normal Flower")</f>
        <v>Large Flower</v>
      </c>
      <c r="G85" s="3" t="str">
        <f t="shared" si="7"/>
        <v>Not Setosa</v>
      </c>
      <c r="H85" s="3" t="str">
        <f t="shared" si="8"/>
        <v>Large</v>
      </c>
      <c r="I85" s="3" t="str">
        <f>CHOOSE(MATCH(B85,{"setosa","versicolor","virginica"},0),"Setosa","Versicolor","Virginica")</f>
        <v>Versicolor</v>
      </c>
      <c r="J85" s="3" t="str" cm="1">
        <f t="array" ref="J85">_xlfn.SWITCH(B85,"setosa","Setosa Flower","versicolor","Versicolor Flower","virginica","Virginica Flower","Unknown")</f>
        <v>Versicolor Flower</v>
      </c>
      <c r="K85" s="3" t="str">
        <f t="shared" si="9"/>
        <v>Error</v>
      </c>
      <c r="L85" s="3" t="str">
        <f t="shared" si="10"/>
        <v>Available</v>
      </c>
      <c r="M85" s="3" t="str">
        <f t="shared" si="11"/>
        <v>Numeric</v>
      </c>
    </row>
    <row r="86" spans="1:13" x14ac:dyDescent="0.25">
      <c r="A86" s="3">
        <f>RAW_DATA!A86</f>
        <v>5.4</v>
      </c>
      <c r="B86" s="3" t="str">
        <f>RAW_DATA!E86</f>
        <v>versicolor</v>
      </c>
      <c r="C86" s="3" t="str">
        <f t="shared" si="6"/>
        <v>LONG</v>
      </c>
      <c r="D86" s="3" t="str" cm="1">
        <f t="array" ref="D86">_xlfn.IFS(A86&lt;5,"Short",A86&lt;6,"Medium",A86&gt;=6,"Long")</f>
        <v>Medium</v>
      </c>
      <c r="E86" s="3" t="str">
        <f>IF(AND(RAW_DATA!C86&gt;4,RAW_DATA!D86&gt;1.5),"Large Petals","Not Large")</f>
        <v>Not Large</v>
      </c>
      <c r="F86" s="3" t="str">
        <f>IF(OR(RAW_DATA!A86&gt;6,RAW_DATA!C86&gt;4),"Large Flower","Normal Flower")</f>
        <v>Large Flower</v>
      </c>
      <c r="G86" s="3" t="str">
        <f t="shared" si="7"/>
        <v>Not Setosa</v>
      </c>
      <c r="H86" s="3" t="str">
        <f t="shared" si="8"/>
        <v>Medium</v>
      </c>
      <c r="I86" s="3" t="str">
        <f>CHOOSE(MATCH(B86,{"setosa","versicolor","virginica"},0),"Setosa","Versicolor","Virginica")</f>
        <v>Versicolor</v>
      </c>
      <c r="J86" s="3" t="str" cm="1">
        <f t="array" ref="J86">_xlfn.SWITCH(B86,"setosa","Setosa Flower","versicolor","Versicolor Flower","virginica","Virginica Flower","Unknown")</f>
        <v>Versicolor Flower</v>
      </c>
      <c r="K86" s="3" t="str">
        <f t="shared" si="9"/>
        <v>Error</v>
      </c>
      <c r="L86" s="3" t="str">
        <f t="shared" si="10"/>
        <v>Available</v>
      </c>
      <c r="M86" s="3" t="str">
        <f t="shared" si="11"/>
        <v>Numeric</v>
      </c>
    </row>
    <row r="87" spans="1:13" x14ac:dyDescent="0.25">
      <c r="A87" s="3">
        <f>RAW_DATA!A87</f>
        <v>6</v>
      </c>
      <c r="B87" s="3" t="str">
        <f>RAW_DATA!E87</f>
        <v>versicolor</v>
      </c>
      <c r="C87" s="3" t="str">
        <f t="shared" si="6"/>
        <v>LONG</v>
      </c>
      <c r="D87" s="3" t="str" cm="1">
        <f t="array" ref="D87">_xlfn.IFS(A87&lt;5,"Short",A87&lt;6,"Medium",A87&gt;=6,"Long")</f>
        <v>Long</v>
      </c>
      <c r="E87" s="3" t="str">
        <f>IF(AND(RAW_DATA!C87&gt;4,RAW_DATA!D87&gt;1.5),"Large Petals","Not Large")</f>
        <v>Large Petals</v>
      </c>
      <c r="F87" s="3" t="str">
        <f>IF(OR(RAW_DATA!A87&gt;6,RAW_DATA!C87&gt;4),"Large Flower","Normal Flower")</f>
        <v>Large Flower</v>
      </c>
      <c r="G87" s="3" t="str">
        <f t="shared" si="7"/>
        <v>Not Setosa</v>
      </c>
      <c r="H87" s="3" t="str">
        <f t="shared" si="8"/>
        <v>Large</v>
      </c>
      <c r="I87" s="3" t="str">
        <f>CHOOSE(MATCH(B87,{"setosa","versicolor","virginica"},0),"Setosa","Versicolor","Virginica")</f>
        <v>Versicolor</v>
      </c>
      <c r="J87" s="3" t="str" cm="1">
        <f t="array" ref="J87">_xlfn.SWITCH(B87,"setosa","Setosa Flower","versicolor","Versicolor Flower","virginica","Virginica Flower","Unknown")</f>
        <v>Versicolor Flower</v>
      </c>
      <c r="K87" s="3" t="str">
        <f t="shared" si="9"/>
        <v>Error</v>
      </c>
      <c r="L87" s="3" t="str">
        <f t="shared" si="10"/>
        <v>Available</v>
      </c>
      <c r="M87" s="3" t="str">
        <f t="shared" si="11"/>
        <v>Numeric</v>
      </c>
    </row>
    <row r="88" spans="1:13" x14ac:dyDescent="0.25">
      <c r="A88" s="3">
        <f>RAW_DATA!A88</f>
        <v>6.7</v>
      </c>
      <c r="B88" s="3" t="str">
        <f>RAW_DATA!E88</f>
        <v>versicolor</v>
      </c>
      <c r="C88" s="3" t="str">
        <f t="shared" si="6"/>
        <v>LONG</v>
      </c>
      <c r="D88" s="3" t="str" cm="1">
        <f t="array" ref="D88">_xlfn.IFS(A88&lt;5,"Short",A88&lt;6,"Medium",A88&gt;=6,"Long")</f>
        <v>Long</v>
      </c>
      <c r="E88" s="3" t="str">
        <f>IF(AND(RAW_DATA!C88&gt;4,RAW_DATA!D88&gt;1.5),"Large Petals","Not Large")</f>
        <v>Not Large</v>
      </c>
      <c r="F88" s="3" t="str">
        <f>IF(OR(RAW_DATA!A88&gt;6,RAW_DATA!C88&gt;4),"Large Flower","Normal Flower")</f>
        <v>Large Flower</v>
      </c>
      <c r="G88" s="3" t="str">
        <f t="shared" si="7"/>
        <v>Not Setosa</v>
      </c>
      <c r="H88" s="3" t="str">
        <f t="shared" si="8"/>
        <v>Large</v>
      </c>
      <c r="I88" s="3" t="str">
        <f>CHOOSE(MATCH(B88,{"setosa","versicolor","virginica"},0),"Setosa","Versicolor","Virginica")</f>
        <v>Versicolor</v>
      </c>
      <c r="J88" s="3" t="str" cm="1">
        <f t="array" ref="J88">_xlfn.SWITCH(B88,"setosa","Setosa Flower","versicolor","Versicolor Flower","virginica","Virginica Flower","Unknown")</f>
        <v>Versicolor Flower</v>
      </c>
      <c r="K88" s="3" t="str">
        <f t="shared" si="9"/>
        <v>Error</v>
      </c>
      <c r="L88" s="3" t="str">
        <f t="shared" si="10"/>
        <v>Available</v>
      </c>
      <c r="M88" s="3" t="str">
        <f t="shared" si="11"/>
        <v>Numeric</v>
      </c>
    </row>
    <row r="89" spans="1:13" x14ac:dyDescent="0.25">
      <c r="A89" s="3">
        <f>RAW_DATA!A89</f>
        <v>6.3</v>
      </c>
      <c r="B89" s="3" t="str">
        <f>RAW_DATA!E89</f>
        <v>versicolor</v>
      </c>
      <c r="C89" s="3" t="str">
        <f t="shared" si="6"/>
        <v>LONG</v>
      </c>
      <c r="D89" s="3" t="str" cm="1">
        <f t="array" ref="D89">_xlfn.IFS(A89&lt;5,"Short",A89&lt;6,"Medium",A89&gt;=6,"Long")</f>
        <v>Long</v>
      </c>
      <c r="E89" s="3" t="str">
        <f>IF(AND(RAW_DATA!C89&gt;4,RAW_DATA!D89&gt;1.5),"Large Petals","Not Large")</f>
        <v>Not Large</v>
      </c>
      <c r="F89" s="3" t="str">
        <f>IF(OR(RAW_DATA!A89&gt;6,RAW_DATA!C89&gt;4),"Large Flower","Normal Flower")</f>
        <v>Large Flower</v>
      </c>
      <c r="G89" s="3" t="str">
        <f t="shared" si="7"/>
        <v>Not Setosa</v>
      </c>
      <c r="H89" s="3" t="str">
        <f t="shared" si="8"/>
        <v>Large</v>
      </c>
      <c r="I89" s="3" t="str">
        <f>CHOOSE(MATCH(B89,{"setosa","versicolor","virginica"},0),"Setosa","Versicolor","Virginica")</f>
        <v>Versicolor</v>
      </c>
      <c r="J89" s="3" t="str" cm="1">
        <f t="array" ref="J89">_xlfn.SWITCH(B89,"setosa","Setosa Flower","versicolor","Versicolor Flower","virginica","Virginica Flower","Unknown")</f>
        <v>Versicolor Flower</v>
      </c>
      <c r="K89" s="3" t="str">
        <f t="shared" si="9"/>
        <v>Error</v>
      </c>
      <c r="L89" s="3" t="str">
        <f t="shared" si="10"/>
        <v>Available</v>
      </c>
      <c r="M89" s="3" t="str">
        <f t="shared" si="11"/>
        <v>Numeric</v>
      </c>
    </row>
    <row r="90" spans="1:13" x14ac:dyDescent="0.25">
      <c r="A90" s="3">
        <f>RAW_DATA!A90</f>
        <v>5.6</v>
      </c>
      <c r="B90" s="3" t="str">
        <f>RAW_DATA!E90</f>
        <v>versicolor</v>
      </c>
      <c r="C90" s="3" t="str">
        <f t="shared" si="6"/>
        <v>LONG</v>
      </c>
      <c r="D90" s="3" t="str" cm="1">
        <f t="array" ref="D90">_xlfn.IFS(A90&lt;5,"Short",A90&lt;6,"Medium",A90&gt;=6,"Long")</f>
        <v>Medium</v>
      </c>
      <c r="E90" s="3" t="str">
        <f>IF(AND(RAW_DATA!C90&gt;4,RAW_DATA!D90&gt;1.5),"Large Petals","Not Large")</f>
        <v>Not Large</v>
      </c>
      <c r="F90" s="3" t="str">
        <f>IF(OR(RAW_DATA!A90&gt;6,RAW_DATA!C90&gt;4),"Large Flower","Normal Flower")</f>
        <v>Large Flower</v>
      </c>
      <c r="G90" s="3" t="str">
        <f t="shared" si="7"/>
        <v>Not Setosa</v>
      </c>
      <c r="H90" s="3" t="str">
        <f t="shared" si="8"/>
        <v>Medium</v>
      </c>
      <c r="I90" s="3" t="str">
        <f>CHOOSE(MATCH(B90,{"setosa","versicolor","virginica"},0),"Setosa","Versicolor","Virginica")</f>
        <v>Versicolor</v>
      </c>
      <c r="J90" s="3" t="str" cm="1">
        <f t="array" ref="J90">_xlfn.SWITCH(B90,"setosa","Setosa Flower","versicolor","Versicolor Flower","virginica","Virginica Flower","Unknown")</f>
        <v>Versicolor Flower</v>
      </c>
      <c r="K90" s="3" t="str">
        <f t="shared" si="9"/>
        <v>Error</v>
      </c>
      <c r="L90" s="3" t="str">
        <f t="shared" si="10"/>
        <v>Available</v>
      </c>
      <c r="M90" s="3" t="str">
        <f t="shared" si="11"/>
        <v>Numeric</v>
      </c>
    </row>
    <row r="91" spans="1:13" x14ac:dyDescent="0.25">
      <c r="A91" s="3">
        <f>RAW_DATA!A91</f>
        <v>5.5</v>
      </c>
      <c r="B91" s="3" t="str">
        <f>RAW_DATA!E91</f>
        <v>versicolor</v>
      </c>
      <c r="C91" s="3" t="str">
        <f t="shared" si="6"/>
        <v>LONG</v>
      </c>
      <c r="D91" s="3" t="str" cm="1">
        <f t="array" ref="D91">_xlfn.IFS(A91&lt;5,"Short",A91&lt;6,"Medium",A91&gt;=6,"Long")</f>
        <v>Medium</v>
      </c>
      <c r="E91" s="3" t="str">
        <f>IF(AND(RAW_DATA!C91&gt;4,RAW_DATA!D91&gt;1.5),"Large Petals","Not Large")</f>
        <v>Not Large</v>
      </c>
      <c r="F91" s="3" t="str">
        <f>IF(OR(RAW_DATA!A91&gt;6,RAW_DATA!C91&gt;4),"Large Flower","Normal Flower")</f>
        <v>Normal Flower</v>
      </c>
      <c r="G91" s="3" t="str">
        <f t="shared" si="7"/>
        <v>Not Setosa</v>
      </c>
      <c r="H91" s="3" t="str">
        <f t="shared" si="8"/>
        <v>Medium</v>
      </c>
      <c r="I91" s="3" t="str">
        <f>CHOOSE(MATCH(B91,{"setosa","versicolor","virginica"},0),"Setosa","Versicolor","Virginica")</f>
        <v>Versicolor</v>
      </c>
      <c r="J91" s="3" t="str" cm="1">
        <f t="array" ref="J91">_xlfn.SWITCH(B91,"setosa","Setosa Flower","versicolor","Versicolor Flower","virginica","Virginica Flower","Unknown")</f>
        <v>Versicolor Flower</v>
      </c>
      <c r="K91" s="3" t="str">
        <f t="shared" si="9"/>
        <v>Error</v>
      </c>
      <c r="L91" s="3" t="str">
        <f t="shared" si="10"/>
        <v>Available</v>
      </c>
      <c r="M91" s="3" t="str">
        <f t="shared" si="11"/>
        <v>Numeric</v>
      </c>
    </row>
    <row r="92" spans="1:13" x14ac:dyDescent="0.25">
      <c r="A92" s="3">
        <f>RAW_DATA!A92</f>
        <v>5.5</v>
      </c>
      <c r="B92" s="3" t="str">
        <f>RAW_DATA!E92</f>
        <v>versicolor</v>
      </c>
      <c r="C92" s="3" t="str">
        <f t="shared" si="6"/>
        <v>LONG</v>
      </c>
      <c r="D92" s="3" t="str" cm="1">
        <f t="array" ref="D92">_xlfn.IFS(A92&lt;5,"Short",A92&lt;6,"Medium",A92&gt;=6,"Long")</f>
        <v>Medium</v>
      </c>
      <c r="E92" s="3" t="str">
        <f>IF(AND(RAW_DATA!C92&gt;4,RAW_DATA!D92&gt;1.5),"Large Petals","Not Large")</f>
        <v>Not Large</v>
      </c>
      <c r="F92" s="3" t="str">
        <f>IF(OR(RAW_DATA!A92&gt;6,RAW_DATA!C92&gt;4),"Large Flower","Normal Flower")</f>
        <v>Large Flower</v>
      </c>
      <c r="G92" s="3" t="str">
        <f t="shared" si="7"/>
        <v>Not Setosa</v>
      </c>
      <c r="H92" s="3" t="str">
        <f t="shared" si="8"/>
        <v>Medium</v>
      </c>
      <c r="I92" s="3" t="str">
        <f>CHOOSE(MATCH(B92,{"setosa","versicolor","virginica"},0),"Setosa","Versicolor","Virginica")</f>
        <v>Versicolor</v>
      </c>
      <c r="J92" s="3" t="str" cm="1">
        <f t="array" ref="J92">_xlfn.SWITCH(B92,"setosa","Setosa Flower","versicolor","Versicolor Flower","virginica","Virginica Flower","Unknown")</f>
        <v>Versicolor Flower</v>
      </c>
      <c r="K92" s="3" t="str">
        <f t="shared" si="9"/>
        <v>Error</v>
      </c>
      <c r="L92" s="3" t="str">
        <f t="shared" si="10"/>
        <v>Available</v>
      </c>
      <c r="M92" s="3" t="str">
        <f t="shared" si="11"/>
        <v>Numeric</v>
      </c>
    </row>
    <row r="93" spans="1:13" x14ac:dyDescent="0.25">
      <c r="A93" s="3">
        <f>RAW_DATA!A93</f>
        <v>6.1</v>
      </c>
      <c r="B93" s="3" t="str">
        <f>RAW_DATA!E93</f>
        <v>versicolor</v>
      </c>
      <c r="C93" s="3" t="str">
        <f t="shared" si="6"/>
        <v>LONG</v>
      </c>
      <c r="D93" s="3" t="str" cm="1">
        <f t="array" ref="D93">_xlfn.IFS(A93&lt;5,"Short",A93&lt;6,"Medium",A93&gt;=6,"Long")</f>
        <v>Long</v>
      </c>
      <c r="E93" s="3" t="str">
        <f>IF(AND(RAW_DATA!C93&gt;4,RAW_DATA!D93&gt;1.5),"Large Petals","Not Large")</f>
        <v>Not Large</v>
      </c>
      <c r="F93" s="3" t="str">
        <f>IF(OR(RAW_DATA!A93&gt;6,RAW_DATA!C93&gt;4),"Large Flower","Normal Flower")</f>
        <v>Large Flower</v>
      </c>
      <c r="G93" s="3" t="str">
        <f t="shared" si="7"/>
        <v>Not Setosa</v>
      </c>
      <c r="H93" s="3" t="str">
        <f t="shared" si="8"/>
        <v>Large</v>
      </c>
      <c r="I93" s="3" t="str">
        <f>CHOOSE(MATCH(B93,{"setosa","versicolor","virginica"},0),"Setosa","Versicolor","Virginica")</f>
        <v>Versicolor</v>
      </c>
      <c r="J93" s="3" t="str" cm="1">
        <f t="array" ref="J93">_xlfn.SWITCH(B93,"setosa","Setosa Flower","versicolor","Versicolor Flower","virginica","Virginica Flower","Unknown")</f>
        <v>Versicolor Flower</v>
      </c>
      <c r="K93" s="3" t="str">
        <f t="shared" si="9"/>
        <v>Error</v>
      </c>
      <c r="L93" s="3" t="str">
        <f t="shared" si="10"/>
        <v>Available</v>
      </c>
      <c r="M93" s="3" t="str">
        <f t="shared" si="11"/>
        <v>Numeric</v>
      </c>
    </row>
    <row r="94" spans="1:13" x14ac:dyDescent="0.25">
      <c r="A94" s="3">
        <f>RAW_DATA!A94</f>
        <v>5.8</v>
      </c>
      <c r="B94" s="3" t="str">
        <f>RAW_DATA!E94</f>
        <v>versicolor</v>
      </c>
      <c r="C94" s="3" t="str">
        <f t="shared" si="6"/>
        <v>LONG</v>
      </c>
      <c r="D94" s="3" t="str" cm="1">
        <f t="array" ref="D94">_xlfn.IFS(A94&lt;5,"Short",A94&lt;6,"Medium",A94&gt;=6,"Long")</f>
        <v>Medium</v>
      </c>
      <c r="E94" s="3" t="str">
        <f>IF(AND(RAW_DATA!C94&gt;4,RAW_DATA!D94&gt;1.5),"Large Petals","Not Large")</f>
        <v>Not Large</v>
      </c>
      <c r="F94" s="3" t="str">
        <f>IF(OR(RAW_DATA!A94&gt;6,RAW_DATA!C94&gt;4),"Large Flower","Normal Flower")</f>
        <v>Normal Flower</v>
      </c>
      <c r="G94" s="3" t="str">
        <f t="shared" si="7"/>
        <v>Not Setosa</v>
      </c>
      <c r="H94" s="3" t="str">
        <f t="shared" si="8"/>
        <v>Medium</v>
      </c>
      <c r="I94" s="3" t="str">
        <f>CHOOSE(MATCH(B94,{"setosa","versicolor","virginica"},0),"Setosa","Versicolor","Virginica")</f>
        <v>Versicolor</v>
      </c>
      <c r="J94" s="3" t="str" cm="1">
        <f t="array" ref="J94">_xlfn.SWITCH(B94,"setosa","Setosa Flower","versicolor","Versicolor Flower","virginica","Virginica Flower","Unknown")</f>
        <v>Versicolor Flower</v>
      </c>
      <c r="K94" s="3" t="str">
        <f t="shared" si="9"/>
        <v>Error</v>
      </c>
      <c r="L94" s="3" t="str">
        <f t="shared" si="10"/>
        <v>Available</v>
      </c>
      <c r="M94" s="3" t="str">
        <f t="shared" si="11"/>
        <v>Numeric</v>
      </c>
    </row>
    <row r="95" spans="1:13" x14ac:dyDescent="0.25">
      <c r="A95" s="3">
        <f>RAW_DATA!A95</f>
        <v>5</v>
      </c>
      <c r="B95" s="3" t="str">
        <f>RAW_DATA!E95</f>
        <v>versicolor</v>
      </c>
      <c r="C95" s="3" t="str">
        <f t="shared" si="6"/>
        <v>LONG</v>
      </c>
      <c r="D95" s="3" t="str" cm="1">
        <f t="array" ref="D95">_xlfn.IFS(A95&lt;5,"Short",A95&lt;6,"Medium",A95&gt;=6,"Long")</f>
        <v>Medium</v>
      </c>
      <c r="E95" s="3" t="str">
        <f>IF(AND(RAW_DATA!C95&gt;4,RAW_DATA!D95&gt;1.5),"Large Petals","Not Large")</f>
        <v>Not Large</v>
      </c>
      <c r="F95" s="3" t="str">
        <f>IF(OR(RAW_DATA!A95&gt;6,RAW_DATA!C95&gt;4),"Large Flower","Normal Flower")</f>
        <v>Normal Flower</v>
      </c>
      <c r="G95" s="3" t="str">
        <f t="shared" si="7"/>
        <v>Not Setosa</v>
      </c>
      <c r="H95" s="3" t="str">
        <f t="shared" si="8"/>
        <v>Medium</v>
      </c>
      <c r="I95" s="3" t="str">
        <f>CHOOSE(MATCH(B95,{"setosa","versicolor","virginica"},0),"Setosa","Versicolor","Virginica")</f>
        <v>Versicolor</v>
      </c>
      <c r="J95" s="3" t="str" cm="1">
        <f t="array" ref="J95">_xlfn.SWITCH(B95,"setosa","Setosa Flower","versicolor","Versicolor Flower","virginica","Virginica Flower","Unknown")</f>
        <v>Versicolor Flower</v>
      </c>
      <c r="K95" s="3" t="str">
        <f t="shared" si="9"/>
        <v>Error</v>
      </c>
      <c r="L95" s="3" t="str">
        <f t="shared" si="10"/>
        <v>Available</v>
      </c>
      <c r="M95" s="3" t="str">
        <f t="shared" si="11"/>
        <v>Numeric</v>
      </c>
    </row>
    <row r="96" spans="1:13" x14ac:dyDescent="0.25">
      <c r="A96" s="3">
        <f>RAW_DATA!A96</f>
        <v>5.6</v>
      </c>
      <c r="B96" s="3" t="str">
        <f>RAW_DATA!E96</f>
        <v>versicolor</v>
      </c>
      <c r="C96" s="3" t="str">
        <f t="shared" si="6"/>
        <v>LONG</v>
      </c>
      <c r="D96" s="3" t="str" cm="1">
        <f t="array" ref="D96">_xlfn.IFS(A96&lt;5,"Short",A96&lt;6,"Medium",A96&gt;=6,"Long")</f>
        <v>Medium</v>
      </c>
      <c r="E96" s="3" t="str">
        <f>IF(AND(RAW_DATA!C96&gt;4,RAW_DATA!D96&gt;1.5),"Large Petals","Not Large")</f>
        <v>Not Large</v>
      </c>
      <c r="F96" s="3" t="str">
        <f>IF(OR(RAW_DATA!A96&gt;6,RAW_DATA!C96&gt;4),"Large Flower","Normal Flower")</f>
        <v>Large Flower</v>
      </c>
      <c r="G96" s="3" t="str">
        <f t="shared" si="7"/>
        <v>Not Setosa</v>
      </c>
      <c r="H96" s="3" t="str">
        <f t="shared" si="8"/>
        <v>Medium</v>
      </c>
      <c r="I96" s="3" t="str">
        <f>CHOOSE(MATCH(B96,{"setosa","versicolor","virginica"},0),"Setosa","Versicolor","Virginica")</f>
        <v>Versicolor</v>
      </c>
      <c r="J96" s="3" t="str" cm="1">
        <f t="array" ref="J96">_xlfn.SWITCH(B96,"setosa","Setosa Flower","versicolor","Versicolor Flower","virginica","Virginica Flower","Unknown")</f>
        <v>Versicolor Flower</v>
      </c>
      <c r="K96" s="3" t="str">
        <f t="shared" si="9"/>
        <v>Error</v>
      </c>
      <c r="L96" s="3" t="str">
        <f t="shared" si="10"/>
        <v>Available</v>
      </c>
      <c r="M96" s="3" t="str">
        <f t="shared" si="11"/>
        <v>Numeric</v>
      </c>
    </row>
    <row r="97" spans="1:13" x14ac:dyDescent="0.25">
      <c r="A97" s="3">
        <f>RAW_DATA!A97</f>
        <v>5.7</v>
      </c>
      <c r="B97" s="3" t="str">
        <f>RAW_DATA!E97</f>
        <v>versicolor</v>
      </c>
      <c r="C97" s="3" t="str">
        <f t="shared" si="6"/>
        <v>LONG</v>
      </c>
      <c r="D97" s="3" t="str" cm="1">
        <f t="array" ref="D97">_xlfn.IFS(A97&lt;5,"Short",A97&lt;6,"Medium",A97&gt;=6,"Long")</f>
        <v>Medium</v>
      </c>
      <c r="E97" s="3" t="str">
        <f>IF(AND(RAW_DATA!C97&gt;4,RAW_DATA!D97&gt;1.5),"Large Petals","Not Large")</f>
        <v>Not Large</v>
      </c>
      <c r="F97" s="3" t="str">
        <f>IF(OR(RAW_DATA!A97&gt;6,RAW_DATA!C97&gt;4),"Large Flower","Normal Flower")</f>
        <v>Large Flower</v>
      </c>
      <c r="G97" s="3" t="str">
        <f t="shared" si="7"/>
        <v>Not Setosa</v>
      </c>
      <c r="H97" s="3" t="str">
        <f t="shared" si="8"/>
        <v>Medium</v>
      </c>
      <c r="I97" s="3" t="str">
        <f>CHOOSE(MATCH(B97,{"setosa","versicolor","virginica"},0),"Setosa","Versicolor","Virginica")</f>
        <v>Versicolor</v>
      </c>
      <c r="J97" s="3" t="str" cm="1">
        <f t="array" ref="J97">_xlfn.SWITCH(B97,"setosa","Setosa Flower","versicolor","Versicolor Flower","virginica","Virginica Flower","Unknown")</f>
        <v>Versicolor Flower</v>
      </c>
      <c r="K97" s="3" t="str">
        <f t="shared" si="9"/>
        <v>Error</v>
      </c>
      <c r="L97" s="3" t="str">
        <f t="shared" si="10"/>
        <v>Available</v>
      </c>
      <c r="M97" s="3" t="str">
        <f t="shared" si="11"/>
        <v>Numeric</v>
      </c>
    </row>
    <row r="98" spans="1:13" x14ac:dyDescent="0.25">
      <c r="A98" s="3">
        <f>RAW_DATA!A98</f>
        <v>5.7</v>
      </c>
      <c r="B98" s="3" t="str">
        <f>RAW_DATA!E98</f>
        <v>versicolor</v>
      </c>
      <c r="C98" s="3" t="str">
        <f t="shared" si="6"/>
        <v>LONG</v>
      </c>
      <c r="D98" s="3" t="str" cm="1">
        <f t="array" ref="D98">_xlfn.IFS(A98&lt;5,"Short",A98&lt;6,"Medium",A98&gt;=6,"Long")</f>
        <v>Medium</v>
      </c>
      <c r="E98" s="3" t="str">
        <f>IF(AND(RAW_DATA!C98&gt;4,RAW_DATA!D98&gt;1.5),"Large Petals","Not Large")</f>
        <v>Not Large</v>
      </c>
      <c r="F98" s="3" t="str">
        <f>IF(OR(RAW_DATA!A98&gt;6,RAW_DATA!C98&gt;4),"Large Flower","Normal Flower")</f>
        <v>Large Flower</v>
      </c>
      <c r="G98" s="3" t="str">
        <f t="shared" si="7"/>
        <v>Not Setosa</v>
      </c>
      <c r="H98" s="3" t="str">
        <f t="shared" si="8"/>
        <v>Medium</v>
      </c>
      <c r="I98" s="3" t="str">
        <f>CHOOSE(MATCH(B98,{"setosa","versicolor","virginica"},0),"Setosa","Versicolor","Virginica")</f>
        <v>Versicolor</v>
      </c>
      <c r="J98" s="3" t="str" cm="1">
        <f t="array" ref="J98">_xlfn.SWITCH(B98,"setosa","Setosa Flower","versicolor","Versicolor Flower","virginica","Virginica Flower","Unknown")</f>
        <v>Versicolor Flower</v>
      </c>
      <c r="K98" s="3" t="str">
        <f t="shared" si="9"/>
        <v>Error</v>
      </c>
      <c r="L98" s="3" t="str">
        <f t="shared" si="10"/>
        <v>Available</v>
      </c>
      <c r="M98" s="3" t="str">
        <f t="shared" si="11"/>
        <v>Numeric</v>
      </c>
    </row>
    <row r="99" spans="1:13" x14ac:dyDescent="0.25">
      <c r="A99" s="3">
        <f>RAW_DATA!A99</f>
        <v>6.2</v>
      </c>
      <c r="B99" s="3" t="str">
        <f>RAW_DATA!E99</f>
        <v>versicolor</v>
      </c>
      <c r="C99" s="3" t="str">
        <f t="shared" si="6"/>
        <v>LONG</v>
      </c>
      <c r="D99" s="3" t="str" cm="1">
        <f t="array" ref="D99">_xlfn.IFS(A99&lt;5,"Short",A99&lt;6,"Medium",A99&gt;=6,"Long")</f>
        <v>Long</v>
      </c>
      <c r="E99" s="3" t="str">
        <f>IF(AND(RAW_DATA!C99&gt;4,RAW_DATA!D99&gt;1.5),"Large Petals","Not Large")</f>
        <v>Not Large</v>
      </c>
      <c r="F99" s="3" t="str">
        <f>IF(OR(RAW_DATA!A99&gt;6,RAW_DATA!C99&gt;4),"Large Flower","Normal Flower")</f>
        <v>Large Flower</v>
      </c>
      <c r="G99" s="3" t="str">
        <f t="shared" si="7"/>
        <v>Not Setosa</v>
      </c>
      <c r="H99" s="3" t="str">
        <f t="shared" si="8"/>
        <v>Large</v>
      </c>
      <c r="I99" s="3" t="str">
        <f>CHOOSE(MATCH(B99,{"setosa","versicolor","virginica"},0),"Setosa","Versicolor","Virginica")</f>
        <v>Versicolor</v>
      </c>
      <c r="J99" s="3" t="str" cm="1">
        <f t="array" ref="J99">_xlfn.SWITCH(B99,"setosa","Setosa Flower","versicolor","Versicolor Flower","virginica","Virginica Flower","Unknown")</f>
        <v>Versicolor Flower</v>
      </c>
      <c r="K99" s="3" t="str">
        <f t="shared" si="9"/>
        <v>Error</v>
      </c>
      <c r="L99" s="3" t="str">
        <f t="shared" si="10"/>
        <v>Available</v>
      </c>
      <c r="M99" s="3" t="str">
        <f t="shared" si="11"/>
        <v>Numeric</v>
      </c>
    </row>
    <row r="100" spans="1:13" x14ac:dyDescent="0.25">
      <c r="A100" s="3">
        <f>RAW_DATA!A100</f>
        <v>5.0999999999999996</v>
      </c>
      <c r="B100" s="3" t="str">
        <f>RAW_DATA!E100</f>
        <v>versicolor</v>
      </c>
      <c r="C100" s="3" t="str">
        <f t="shared" si="6"/>
        <v>LONG</v>
      </c>
      <c r="D100" s="3" t="str" cm="1">
        <f t="array" ref="D100">_xlfn.IFS(A100&lt;5,"Short",A100&lt;6,"Medium",A100&gt;=6,"Long")</f>
        <v>Medium</v>
      </c>
      <c r="E100" s="3" t="str">
        <f>IF(AND(RAW_DATA!C100&gt;4,RAW_DATA!D100&gt;1.5),"Large Petals","Not Large")</f>
        <v>Not Large</v>
      </c>
      <c r="F100" s="3" t="str">
        <f>IF(OR(RAW_DATA!A100&gt;6,RAW_DATA!C100&gt;4),"Large Flower","Normal Flower")</f>
        <v>Normal Flower</v>
      </c>
      <c r="G100" s="3" t="str">
        <f t="shared" si="7"/>
        <v>Not Setosa</v>
      </c>
      <c r="H100" s="3" t="str">
        <f t="shared" si="8"/>
        <v>Medium</v>
      </c>
      <c r="I100" s="3" t="str">
        <f>CHOOSE(MATCH(B100,{"setosa","versicolor","virginica"},0),"Setosa","Versicolor","Virginica")</f>
        <v>Versicolor</v>
      </c>
      <c r="J100" s="3" t="str" cm="1">
        <f t="array" ref="J100">_xlfn.SWITCH(B100,"setosa","Setosa Flower","versicolor","Versicolor Flower","virginica","Virginica Flower","Unknown")</f>
        <v>Versicolor Flower</v>
      </c>
      <c r="K100" s="3" t="str">
        <f t="shared" si="9"/>
        <v>Error</v>
      </c>
      <c r="L100" s="3" t="str">
        <f t="shared" si="10"/>
        <v>Available</v>
      </c>
      <c r="M100" s="3" t="str">
        <f t="shared" si="11"/>
        <v>Numeric</v>
      </c>
    </row>
    <row r="101" spans="1:13" x14ac:dyDescent="0.25">
      <c r="A101" s="3">
        <f>RAW_DATA!A101</f>
        <v>5.7</v>
      </c>
      <c r="B101" s="3" t="str">
        <f>RAW_DATA!E101</f>
        <v>versicolor</v>
      </c>
      <c r="C101" s="3" t="str">
        <f t="shared" si="6"/>
        <v>LONG</v>
      </c>
      <c r="D101" s="3" t="str" cm="1">
        <f t="array" ref="D101">_xlfn.IFS(A101&lt;5,"Short",A101&lt;6,"Medium",A101&gt;=6,"Long")</f>
        <v>Medium</v>
      </c>
      <c r="E101" s="3" t="str">
        <f>IF(AND(RAW_DATA!C101&gt;4,RAW_DATA!D101&gt;1.5),"Large Petals","Not Large")</f>
        <v>Not Large</v>
      </c>
      <c r="F101" s="3" t="str">
        <f>IF(OR(RAW_DATA!A101&gt;6,RAW_DATA!C101&gt;4),"Large Flower","Normal Flower")</f>
        <v>Large Flower</v>
      </c>
      <c r="G101" s="3" t="str">
        <f t="shared" si="7"/>
        <v>Not Setosa</v>
      </c>
      <c r="H101" s="3" t="str">
        <f t="shared" si="8"/>
        <v>Medium</v>
      </c>
      <c r="I101" s="3" t="str">
        <f>CHOOSE(MATCH(B101,{"setosa","versicolor","virginica"},0),"Setosa","Versicolor","Virginica")</f>
        <v>Versicolor</v>
      </c>
      <c r="J101" s="3" t="str" cm="1">
        <f t="array" ref="J101">_xlfn.SWITCH(B101,"setosa","Setosa Flower","versicolor","Versicolor Flower","virginica","Virginica Flower","Unknown")</f>
        <v>Versicolor Flower</v>
      </c>
      <c r="K101" s="3" t="str">
        <f t="shared" si="9"/>
        <v>Error</v>
      </c>
      <c r="L101" s="3" t="str">
        <f t="shared" si="10"/>
        <v>Available</v>
      </c>
      <c r="M101" s="3" t="str">
        <f t="shared" si="11"/>
        <v>Numeric</v>
      </c>
    </row>
    <row r="102" spans="1:13" x14ac:dyDescent="0.25">
      <c r="A102" s="3">
        <f>RAW_DATA!A102</f>
        <v>6.3</v>
      </c>
      <c r="B102" s="3" t="str">
        <f>RAW_DATA!E102</f>
        <v>virginica</v>
      </c>
      <c r="C102" s="3" t="str">
        <f t="shared" si="6"/>
        <v>LONG</v>
      </c>
      <c r="D102" s="3" t="str" cm="1">
        <f t="array" ref="D102">_xlfn.IFS(A102&lt;5,"Short",A102&lt;6,"Medium",A102&gt;=6,"Long")</f>
        <v>Long</v>
      </c>
      <c r="E102" s="3" t="str">
        <f>IF(AND(RAW_DATA!C102&gt;4,RAW_DATA!D102&gt;1.5),"Large Petals","Not Large")</f>
        <v>Large Petals</v>
      </c>
      <c r="F102" s="3" t="str">
        <f>IF(OR(RAW_DATA!A102&gt;6,RAW_DATA!C102&gt;4),"Large Flower","Normal Flower")</f>
        <v>Large Flower</v>
      </c>
      <c r="G102" s="3" t="str">
        <f t="shared" si="7"/>
        <v>Not Setosa</v>
      </c>
      <c r="H102" s="3" t="str">
        <f t="shared" si="8"/>
        <v>Large</v>
      </c>
      <c r="I102" s="3" t="str">
        <f>CHOOSE(MATCH(B102,{"setosa","versicolor","virginica"},0),"Setosa","Versicolor","Virginica")</f>
        <v>Virginica</v>
      </c>
      <c r="J102" s="3" t="str" cm="1">
        <f t="array" ref="J102">_xlfn.SWITCH(B102,"setosa","Setosa Flower","versicolor","Versicolor Flower","virginica","Virginica Flower","Unknown")</f>
        <v>Virginica Flower</v>
      </c>
      <c r="K102" s="3" t="str">
        <f t="shared" si="9"/>
        <v>Error</v>
      </c>
      <c r="L102" s="3" t="str">
        <f t="shared" si="10"/>
        <v>Available</v>
      </c>
      <c r="M102" s="3" t="str">
        <f t="shared" si="11"/>
        <v>Numeric</v>
      </c>
    </row>
    <row r="103" spans="1:13" x14ac:dyDescent="0.25">
      <c r="A103" s="3">
        <f>RAW_DATA!A103</f>
        <v>5.8</v>
      </c>
      <c r="B103" s="3" t="str">
        <f>RAW_DATA!E103</f>
        <v>virginica</v>
      </c>
      <c r="C103" s="3" t="str">
        <f t="shared" si="6"/>
        <v>LONG</v>
      </c>
      <c r="D103" s="3" t="str" cm="1">
        <f t="array" ref="D103">_xlfn.IFS(A103&lt;5,"Short",A103&lt;6,"Medium",A103&gt;=6,"Long")</f>
        <v>Medium</v>
      </c>
      <c r="E103" s="3" t="str">
        <f>IF(AND(RAW_DATA!C103&gt;4,RAW_DATA!D103&gt;1.5),"Large Petals","Not Large")</f>
        <v>Large Petals</v>
      </c>
      <c r="F103" s="3" t="str">
        <f>IF(OR(RAW_DATA!A103&gt;6,RAW_DATA!C103&gt;4),"Large Flower","Normal Flower")</f>
        <v>Large Flower</v>
      </c>
      <c r="G103" s="3" t="str">
        <f t="shared" si="7"/>
        <v>Not Setosa</v>
      </c>
      <c r="H103" s="3" t="str">
        <f t="shared" si="8"/>
        <v>Medium</v>
      </c>
      <c r="I103" s="3" t="str">
        <f>CHOOSE(MATCH(B103,{"setosa","versicolor","virginica"},0),"Setosa","Versicolor","Virginica")</f>
        <v>Virginica</v>
      </c>
      <c r="J103" s="3" t="str" cm="1">
        <f t="array" ref="J103">_xlfn.SWITCH(B103,"setosa","Setosa Flower","versicolor","Versicolor Flower","virginica","Virginica Flower","Unknown")</f>
        <v>Virginica Flower</v>
      </c>
      <c r="K103" s="3" t="str">
        <f t="shared" si="9"/>
        <v>Error</v>
      </c>
      <c r="L103" s="3" t="str">
        <f t="shared" si="10"/>
        <v>Available</v>
      </c>
      <c r="M103" s="3" t="str">
        <f t="shared" si="11"/>
        <v>Numeric</v>
      </c>
    </row>
    <row r="104" spans="1:13" x14ac:dyDescent="0.25">
      <c r="A104" s="3">
        <f>RAW_DATA!A104</f>
        <v>7.1</v>
      </c>
      <c r="B104" s="3" t="str">
        <f>RAW_DATA!E104</f>
        <v>virginica</v>
      </c>
      <c r="C104" s="3" t="str">
        <f t="shared" si="6"/>
        <v>LONG</v>
      </c>
      <c r="D104" s="3" t="str" cm="1">
        <f t="array" ref="D104">_xlfn.IFS(A104&lt;5,"Short",A104&lt;6,"Medium",A104&gt;=6,"Long")</f>
        <v>Long</v>
      </c>
      <c r="E104" s="3" t="str">
        <f>IF(AND(RAW_DATA!C104&gt;4,RAW_DATA!D104&gt;1.5),"Large Petals","Not Large")</f>
        <v>Large Petals</v>
      </c>
      <c r="F104" s="3" t="str">
        <f>IF(OR(RAW_DATA!A104&gt;6,RAW_DATA!C104&gt;4),"Large Flower","Normal Flower")</f>
        <v>Large Flower</v>
      </c>
      <c r="G104" s="3" t="str">
        <f t="shared" si="7"/>
        <v>Not Setosa</v>
      </c>
      <c r="H104" s="3" t="str">
        <f t="shared" si="8"/>
        <v>Large</v>
      </c>
      <c r="I104" s="3" t="str">
        <f>CHOOSE(MATCH(B104,{"setosa","versicolor","virginica"},0),"Setosa","Versicolor","Virginica")</f>
        <v>Virginica</v>
      </c>
      <c r="J104" s="3" t="str" cm="1">
        <f t="array" ref="J104">_xlfn.SWITCH(B104,"setosa","Setosa Flower","versicolor","Versicolor Flower","virginica","Virginica Flower","Unknown")</f>
        <v>Virginica Flower</v>
      </c>
      <c r="K104" s="3" t="str">
        <f t="shared" si="9"/>
        <v>Error</v>
      </c>
      <c r="L104" s="3" t="str">
        <f t="shared" si="10"/>
        <v>Available</v>
      </c>
      <c r="M104" s="3" t="str">
        <f t="shared" si="11"/>
        <v>Numeric</v>
      </c>
    </row>
    <row r="105" spans="1:13" x14ac:dyDescent="0.25">
      <c r="A105" s="3">
        <f>RAW_DATA!A105</f>
        <v>6.3</v>
      </c>
      <c r="B105" s="3" t="str">
        <f>RAW_DATA!E105</f>
        <v>virginica</v>
      </c>
      <c r="C105" s="3" t="str">
        <f t="shared" si="6"/>
        <v>LONG</v>
      </c>
      <c r="D105" s="3" t="str" cm="1">
        <f t="array" ref="D105">_xlfn.IFS(A105&lt;5,"Short",A105&lt;6,"Medium",A105&gt;=6,"Long")</f>
        <v>Long</v>
      </c>
      <c r="E105" s="3" t="str">
        <f>IF(AND(RAW_DATA!C105&gt;4,RAW_DATA!D105&gt;1.5),"Large Petals","Not Large")</f>
        <v>Large Petals</v>
      </c>
      <c r="F105" s="3" t="str">
        <f>IF(OR(RAW_DATA!A105&gt;6,RAW_DATA!C105&gt;4),"Large Flower","Normal Flower")</f>
        <v>Large Flower</v>
      </c>
      <c r="G105" s="3" t="str">
        <f t="shared" si="7"/>
        <v>Not Setosa</v>
      </c>
      <c r="H105" s="3" t="str">
        <f t="shared" si="8"/>
        <v>Large</v>
      </c>
      <c r="I105" s="3" t="str">
        <f>CHOOSE(MATCH(B105,{"setosa","versicolor","virginica"},0),"Setosa","Versicolor","Virginica")</f>
        <v>Virginica</v>
      </c>
      <c r="J105" s="3" t="str" cm="1">
        <f t="array" ref="J105">_xlfn.SWITCH(B105,"setosa","Setosa Flower","versicolor","Versicolor Flower","virginica","Virginica Flower","Unknown")</f>
        <v>Virginica Flower</v>
      </c>
      <c r="K105" s="3" t="str">
        <f t="shared" si="9"/>
        <v>Error</v>
      </c>
      <c r="L105" s="3" t="str">
        <f t="shared" si="10"/>
        <v>Available</v>
      </c>
      <c r="M105" s="3" t="str">
        <f t="shared" si="11"/>
        <v>Numeric</v>
      </c>
    </row>
    <row r="106" spans="1:13" x14ac:dyDescent="0.25">
      <c r="A106" s="3">
        <f>RAW_DATA!A106</f>
        <v>6.5</v>
      </c>
      <c r="B106" s="3" t="str">
        <f>RAW_DATA!E106</f>
        <v>virginica</v>
      </c>
      <c r="C106" s="3" t="str">
        <f t="shared" si="6"/>
        <v>LONG</v>
      </c>
      <c r="D106" s="3" t="str" cm="1">
        <f t="array" ref="D106">_xlfn.IFS(A106&lt;5,"Short",A106&lt;6,"Medium",A106&gt;=6,"Long")</f>
        <v>Long</v>
      </c>
      <c r="E106" s="3" t="str">
        <f>IF(AND(RAW_DATA!C106&gt;4,RAW_DATA!D106&gt;1.5),"Large Petals","Not Large")</f>
        <v>Large Petals</v>
      </c>
      <c r="F106" s="3" t="str">
        <f>IF(OR(RAW_DATA!A106&gt;6,RAW_DATA!C106&gt;4),"Large Flower","Normal Flower")</f>
        <v>Large Flower</v>
      </c>
      <c r="G106" s="3" t="str">
        <f t="shared" si="7"/>
        <v>Not Setosa</v>
      </c>
      <c r="H106" s="3" t="str">
        <f t="shared" si="8"/>
        <v>Large</v>
      </c>
      <c r="I106" s="3" t="str">
        <f>CHOOSE(MATCH(B106,{"setosa","versicolor","virginica"},0),"Setosa","Versicolor","Virginica")</f>
        <v>Virginica</v>
      </c>
      <c r="J106" s="3" t="str" cm="1">
        <f t="array" ref="J106">_xlfn.SWITCH(B106,"setosa","Setosa Flower","versicolor","Versicolor Flower","virginica","Virginica Flower","Unknown")</f>
        <v>Virginica Flower</v>
      </c>
      <c r="K106" s="3" t="str">
        <f t="shared" si="9"/>
        <v>Error</v>
      </c>
      <c r="L106" s="3" t="str">
        <f t="shared" si="10"/>
        <v>Available</v>
      </c>
      <c r="M106" s="3" t="str">
        <f t="shared" si="11"/>
        <v>Numeric</v>
      </c>
    </row>
    <row r="107" spans="1:13" x14ac:dyDescent="0.25">
      <c r="A107" s="3">
        <f>RAW_DATA!A107</f>
        <v>7.6</v>
      </c>
      <c r="B107" s="3" t="str">
        <f>RAW_DATA!E107</f>
        <v>virginica</v>
      </c>
      <c r="C107" s="3" t="str">
        <f t="shared" si="6"/>
        <v>LONG</v>
      </c>
      <c r="D107" s="3" t="str" cm="1">
        <f t="array" ref="D107">_xlfn.IFS(A107&lt;5,"Short",A107&lt;6,"Medium",A107&gt;=6,"Long")</f>
        <v>Long</v>
      </c>
      <c r="E107" s="3" t="str">
        <f>IF(AND(RAW_DATA!C107&gt;4,RAW_DATA!D107&gt;1.5),"Large Petals","Not Large")</f>
        <v>Large Petals</v>
      </c>
      <c r="F107" s="3" t="str">
        <f>IF(OR(RAW_DATA!A107&gt;6,RAW_DATA!C107&gt;4),"Large Flower","Normal Flower")</f>
        <v>Large Flower</v>
      </c>
      <c r="G107" s="3" t="str">
        <f t="shared" si="7"/>
        <v>Not Setosa</v>
      </c>
      <c r="H107" s="3" t="str">
        <f t="shared" si="8"/>
        <v>Large</v>
      </c>
      <c r="I107" s="3" t="str">
        <f>CHOOSE(MATCH(B107,{"setosa","versicolor","virginica"},0),"Setosa","Versicolor","Virginica")</f>
        <v>Virginica</v>
      </c>
      <c r="J107" s="3" t="str" cm="1">
        <f t="array" ref="J107">_xlfn.SWITCH(B107,"setosa","Setosa Flower","versicolor","Versicolor Flower","virginica","Virginica Flower","Unknown")</f>
        <v>Virginica Flower</v>
      </c>
      <c r="K107" s="3" t="str">
        <f t="shared" si="9"/>
        <v>Error</v>
      </c>
      <c r="L107" s="3" t="str">
        <f t="shared" si="10"/>
        <v>Available</v>
      </c>
      <c r="M107" s="3" t="str">
        <f t="shared" si="11"/>
        <v>Numeric</v>
      </c>
    </row>
    <row r="108" spans="1:13" x14ac:dyDescent="0.25">
      <c r="A108" s="3">
        <f>RAW_DATA!A108</f>
        <v>4.9000000000000004</v>
      </c>
      <c r="B108" s="3" t="str">
        <f>RAW_DATA!E108</f>
        <v>virginica</v>
      </c>
      <c r="C108" s="3" t="str">
        <f t="shared" si="6"/>
        <v>SHORT</v>
      </c>
      <c r="D108" s="3" t="str" cm="1">
        <f t="array" ref="D108">_xlfn.IFS(A108&lt;5,"Short",A108&lt;6,"Medium",A108&gt;=6,"Long")</f>
        <v>Short</v>
      </c>
      <c r="E108" s="3" t="str">
        <f>IF(AND(RAW_DATA!C108&gt;4,RAW_DATA!D108&gt;1.5),"Large Petals","Not Large")</f>
        <v>Large Petals</v>
      </c>
      <c r="F108" s="3" t="str">
        <f>IF(OR(RAW_DATA!A108&gt;6,RAW_DATA!C108&gt;4),"Large Flower","Normal Flower")</f>
        <v>Large Flower</v>
      </c>
      <c r="G108" s="3" t="str">
        <f t="shared" si="7"/>
        <v>Not Setosa</v>
      </c>
      <c r="H108" s="3" t="str">
        <f t="shared" si="8"/>
        <v>Small</v>
      </c>
      <c r="I108" s="3" t="str">
        <f>CHOOSE(MATCH(B108,{"setosa","versicolor","virginica"},0),"Setosa","Versicolor","Virginica")</f>
        <v>Virginica</v>
      </c>
      <c r="J108" s="3" t="str" cm="1">
        <f t="array" ref="J108">_xlfn.SWITCH(B108,"setosa","Setosa Flower","versicolor","Versicolor Flower","virginica","Virginica Flower","Unknown")</f>
        <v>Virginica Flower</v>
      </c>
      <c r="K108" s="3" t="str">
        <f t="shared" si="9"/>
        <v>Error</v>
      </c>
      <c r="L108" s="3" t="str">
        <f t="shared" si="10"/>
        <v>Available</v>
      </c>
      <c r="M108" s="3" t="str">
        <f t="shared" si="11"/>
        <v>Numeric</v>
      </c>
    </row>
    <row r="109" spans="1:13" x14ac:dyDescent="0.25">
      <c r="A109" s="3">
        <f>RAW_DATA!A109</f>
        <v>7.3</v>
      </c>
      <c r="B109" s="3" t="str">
        <f>RAW_DATA!E109</f>
        <v>virginica</v>
      </c>
      <c r="C109" s="3" t="str">
        <f t="shared" si="6"/>
        <v>LONG</v>
      </c>
      <c r="D109" s="3" t="str" cm="1">
        <f t="array" ref="D109">_xlfn.IFS(A109&lt;5,"Short",A109&lt;6,"Medium",A109&gt;=6,"Long")</f>
        <v>Long</v>
      </c>
      <c r="E109" s="3" t="str">
        <f>IF(AND(RAW_DATA!C109&gt;4,RAW_DATA!D109&gt;1.5),"Large Petals","Not Large")</f>
        <v>Large Petals</v>
      </c>
      <c r="F109" s="3" t="str">
        <f>IF(OR(RAW_DATA!A109&gt;6,RAW_DATA!C109&gt;4),"Large Flower","Normal Flower")</f>
        <v>Large Flower</v>
      </c>
      <c r="G109" s="3" t="str">
        <f t="shared" si="7"/>
        <v>Not Setosa</v>
      </c>
      <c r="H109" s="3" t="str">
        <f t="shared" si="8"/>
        <v>Large</v>
      </c>
      <c r="I109" s="3" t="str">
        <f>CHOOSE(MATCH(B109,{"setosa","versicolor","virginica"},0),"Setosa","Versicolor","Virginica")</f>
        <v>Virginica</v>
      </c>
      <c r="J109" s="3" t="str" cm="1">
        <f t="array" ref="J109">_xlfn.SWITCH(B109,"setosa","Setosa Flower","versicolor","Versicolor Flower","virginica","Virginica Flower","Unknown")</f>
        <v>Virginica Flower</v>
      </c>
      <c r="K109" s="3" t="str">
        <f t="shared" si="9"/>
        <v>Error</v>
      </c>
      <c r="L109" s="3" t="str">
        <f t="shared" si="10"/>
        <v>Available</v>
      </c>
      <c r="M109" s="3" t="str">
        <f t="shared" si="11"/>
        <v>Numeric</v>
      </c>
    </row>
    <row r="110" spans="1:13" x14ac:dyDescent="0.25">
      <c r="A110" s="3">
        <f>RAW_DATA!A110</f>
        <v>6.7</v>
      </c>
      <c r="B110" s="3" t="str">
        <f>RAW_DATA!E110</f>
        <v>virginica</v>
      </c>
      <c r="C110" s="3" t="str">
        <f t="shared" si="6"/>
        <v>LONG</v>
      </c>
      <c r="D110" s="3" t="str" cm="1">
        <f t="array" ref="D110">_xlfn.IFS(A110&lt;5,"Short",A110&lt;6,"Medium",A110&gt;=6,"Long")</f>
        <v>Long</v>
      </c>
      <c r="E110" s="3" t="str">
        <f>IF(AND(RAW_DATA!C110&gt;4,RAW_DATA!D110&gt;1.5),"Large Petals","Not Large")</f>
        <v>Large Petals</v>
      </c>
      <c r="F110" s="3" t="str">
        <f>IF(OR(RAW_DATA!A110&gt;6,RAW_DATA!C110&gt;4),"Large Flower","Normal Flower")</f>
        <v>Large Flower</v>
      </c>
      <c r="G110" s="3" t="str">
        <f t="shared" si="7"/>
        <v>Not Setosa</v>
      </c>
      <c r="H110" s="3" t="str">
        <f t="shared" si="8"/>
        <v>Large</v>
      </c>
      <c r="I110" s="3" t="str">
        <f>CHOOSE(MATCH(B110,{"setosa","versicolor","virginica"},0),"Setosa","Versicolor","Virginica")</f>
        <v>Virginica</v>
      </c>
      <c r="J110" s="3" t="str" cm="1">
        <f t="array" ref="J110">_xlfn.SWITCH(B110,"setosa","Setosa Flower","versicolor","Versicolor Flower","virginica","Virginica Flower","Unknown")</f>
        <v>Virginica Flower</v>
      </c>
      <c r="K110" s="3" t="str">
        <f t="shared" si="9"/>
        <v>Error</v>
      </c>
      <c r="L110" s="3" t="str">
        <f t="shared" si="10"/>
        <v>Available</v>
      </c>
      <c r="M110" s="3" t="str">
        <f t="shared" si="11"/>
        <v>Numeric</v>
      </c>
    </row>
    <row r="111" spans="1:13" x14ac:dyDescent="0.25">
      <c r="A111" s="3">
        <f>RAW_DATA!A111</f>
        <v>7.2</v>
      </c>
      <c r="B111" s="3" t="str">
        <f>RAW_DATA!E111</f>
        <v>virginica</v>
      </c>
      <c r="C111" s="3" t="str">
        <f t="shared" si="6"/>
        <v>LONG</v>
      </c>
      <c r="D111" s="3" t="str" cm="1">
        <f t="array" ref="D111">_xlfn.IFS(A111&lt;5,"Short",A111&lt;6,"Medium",A111&gt;=6,"Long")</f>
        <v>Long</v>
      </c>
      <c r="E111" s="3" t="str">
        <f>IF(AND(RAW_DATA!C111&gt;4,RAW_DATA!D111&gt;1.5),"Large Petals","Not Large")</f>
        <v>Large Petals</v>
      </c>
      <c r="F111" s="3" t="str">
        <f>IF(OR(RAW_DATA!A111&gt;6,RAW_DATA!C111&gt;4),"Large Flower","Normal Flower")</f>
        <v>Large Flower</v>
      </c>
      <c r="G111" s="3" t="str">
        <f t="shared" si="7"/>
        <v>Not Setosa</v>
      </c>
      <c r="H111" s="3" t="str">
        <f t="shared" si="8"/>
        <v>Large</v>
      </c>
      <c r="I111" s="3" t="str">
        <f>CHOOSE(MATCH(B111,{"setosa","versicolor","virginica"},0),"Setosa","Versicolor","Virginica")</f>
        <v>Virginica</v>
      </c>
      <c r="J111" s="3" t="str" cm="1">
        <f t="array" ref="J111">_xlfn.SWITCH(B111,"setosa","Setosa Flower","versicolor","Versicolor Flower","virginica","Virginica Flower","Unknown")</f>
        <v>Virginica Flower</v>
      </c>
      <c r="K111" s="3" t="str">
        <f t="shared" si="9"/>
        <v>Error</v>
      </c>
      <c r="L111" s="3" t="str">
        <f t="shared" si="10"/>
        <v>Available</v>
      </c>
      <c r="M111" s="3" t="str">
        <f t="shared" si="11"/>
        <v>Numeric</v>
      </c>
    </row>
    <row r="112" spans="1:13" x14ac:dyDescent="0.25">
      <c r="A112" s="3">
        <f>RAW_DATA!A112</f>
        <v>6.5</v>
      </c>
      <c r="B112" s="3" t="str">
        <f>RAW_DATA!E112</f>
        <v>virginica</v>
      </c>
      <c r="C112" s="3" t="str">
        <f t="shared" si="6"/>
        <v>LONG</v>
      </c>
      <c r="D112" s="3" t="str" cm="1">
        <f t="array" ref="D112">_xlfn.IFS(A112&lt;5,"Short",A112&lt;6,"Medium",A112&gt;=6,"Long")</f>
        <v>Long</v>
      </c>
      <c r="E112" s="3" t="str">
        <f>IF(AND(RAW_DATA!C112&gt;4,RAW_DATA!D112&gt;1.5),"Large Petals","Not Large")</f>
        <v>Large Petals</v>
      </c>
      <c r="F112" s="3" t="str">
        <f>IF(OR(RAW_DATA!A112&gt;6,RAW_DATA!C112&gt;4),"Large Flower","Normal Flower")</f>
        <v>Large Flower</v>
      </c>
      <c r="G112" s="3" t="str">
        <f t="shared" si="7"/>
        <v>Not Setosa</v>
      </c>
      <c r="H112" s="3" t="str">
        <f t="shared" si="8"/>
        <v>Large</v>
      </c>
      <c r="I112" s="3" t="str">
        <f>CHOOSE(MATCH(B112,{"setosa","versicolor","virginica"},0),"Setosa","Versicolor","Virginica")</f>
        <v>Virginica</v>
      </c>
      <c r="J112" s="3" t="str" cm="1">
        <f t="array" ref="J112">_xlfn.SWITCH(B112,"setosa","Setosa Flower","versicolor","Versicolor Flower","virginica","Virginica Flower","Unknown")</f>
        <v>Virginica Flower</v>
      </c>
      <c r="K112" s="3" t="str">
        <f t="shared" si="9"/>
        <v>Error</v>
      </c>
      <c r="L112" s="3" t="str">
        <f t="shared" si="10"/>
        <v>Available</v>
      </c>
      <c r="M112" s="3" t="str">
        <f t="shared" si="11"/>
        <v>Numeric</v>
      </c>
    </row>
    <row r="113" spans="1:13" x14ac:dyDescent="0.25">
      <c r="A113" s="3">
        <f>RAW_DATA!A113</f>
        <v>6.4</v>
      </c>
      <c r="B113" s="3" t="str">
        <f>RAW_DATA!E113</f>
        <v>virginica</v>
      </c>
      <c r="C113" s="3" t="str">
        <f t="shared" si="6"/>
        <v>LONG</v>
      </c>
      <c r="D113" s="3" t="str" cm="1">
        <f t="array" ref="D113">_xlfn.IFS(A113&lt;5,"Short",A113&lt;6,"Medium",A113&gt;=6,"Long")</f>
        <v>Long</v>
      </c>
      <c r="E113" s="3" t="str">
        <f>IF(AND(RAW_DATA!C113&gt;4,RAW_DATA!D113&gt;1.5),"Large Petals","Not Large")</f>
        <v>Large Petals</v>
      </c>
      <c r="F113" s="3" t="str">
        <f>IF(OR(RAW_DATA!A113&gt;6,RAW_DATA!C113&gt;4),"Large Flower","Normal Flower")</f>
        <v>Large Flower</v>
      </c>
      <c r="G113" s="3" t="str">
        <f t="shared" si="7"/>
        <v>Not Setosa</v>
      </c>
      <c r="H113" s="3" t="str">
        <f t="shared" si="8"/>
        <v>Large</v>
      </c>
      <c r="I113" s="3" t="str">
        <f>CHOOSE(MATCH(B113,{"setosa","versicolor","virginica"},0),"Setosa","Versicolor","Virginica")</f>
        <v>Virginica</v>
      </c>
      <c r="J113" s="3" t="str" cm="1">
        <f t="array" ref="J113">_xlfn.SWITCH(B113,"setosa","Setosa Flower","versicolor","Versicolor Flower","virginica","Virginica Flower","Unknown")</f>
        <v>Virginica Flower</v>
      </c>
      <c r="K113" s="3" t="str">
        <f t="shared" si="9"/>
        <v>Error</v>
      </c>
      <c r="L113" s="3" t="str">
        <f t="shared" si="10"/>
        <v>Available</v>
      </c>
      <c r="M113" s="3" t="str">
        <f t="shared" si="11"/>
        <v>Numeric</v>
      </c>
    </row>
    <row r="114" spans="1:13" x14ac:dyDescent="0.25">
      <c r="A114" s="3">
        <f>RAW_DATA!A114</f>
        <v>6.8</v>
      </c>
      <c r="B114" s="3" t="str">
        <f>RAW_DATA!E114</f>
        <v>virginica</v>
      </c>
      <c r="C114" s="3" t="str">
        <f t="shared" si="6"/>
        <v>LONG</v>
      </c>
      <c r="D114" s="3" t="str" cm="1">
        <f t="array" ref="D114">_xlfn.IFS(A114&lt;5,"Short",A114&lt;6,"Medium",A114&gt;=6,"Long")</f>
        <v>Long</v>
      </c>
      <c r="E114" s="3" t="str">
        <f>IF(AND(RAW_DATA!C114&gt;4,RAW_DATA!D114&gt;1.5),"Large Petals","Not Large")</f>
        <v>Large Petals</v>
      </c>
      <c r="F114" s="3" t="str">
        <f>IF(OR(RAW_DATA!A114&gt;6,RAW_DATA!C114&gt;4),"Large Flower","Normal Flower")</f>
        <v>Large Flower</v>
      </c>
      <c r="G114" s="3" t="str">
        <f t="shared" si="7"/>
        <v>Not Setosa</v>
      </c>
      <c r="H114" s="3" t="str">
        <f t="shared" si="8"/>
        <v>Large</v>
      </c>
      <c r="I114" s="3" t="str">
        <f>CHOOSE(MATCH(B114,{"setosa","versicolor","virginica"},0),"Setosa","Versicolor","Virginica")</f>
        <v>Virginica</v>
      </c>
      <c r="J114" s="3" t="str" cm="1">
        <f t="array" ref="J114">_xlfn.SWITCH(B114,"setosa","Setosa Flower","versicolor","Versicolor Flower","virginica","Virginica Flower","Unknown")</f>
        <v>Virginica Flower</v>
      </c>
      <c r="K114" s="3" t="str">
        <f t="shared" si="9"/>
        <v>Error</v>
      </c>
      <c r="L114" s="3" t="str">
        <f t="shared" si="10"/>
        <v>Available</v>
      </c>
      <c r="M114" s="3" t="str">
        <f t="shared" si="11"/>
        <v>Numeric</v>
      </c>
    </row>
    <row r="115" spans="1:13" x14ac:dyDescent="0.25">
      <c r="A115" s="3">
        <f>RAW_DATA!A115</f>
        <v>5.7</v>
      </c>
      <c r="B115" s="3" t="str">
        <f>RAW_DATA!E115</f>
        <v>virginica</v>
      </c>
      <c r="C115" s="3" t="str">
        <f t="shared" si="6"/>
        <v>LONG</v>
      </c>
      <c r="D115" s="3" t="str" cm="1">
        <f t="array" ref="D115">_xlfn.IFS(A115&lt;5,"Short",A115&lt;6,"Medium",A115&gt;=6,"Long")</f>
        <v>Medium</v>
      </c>
      <c r="E115" s="3" t="str">
        <f>IF(AND(RAW_DATA!C115&gt;4,RAW_DATA!D115&gt;1.5),"Large Petals","Not Large")</f>
        <v>Large Petals</v>
      </c>
      <c r="F115" s="3" t="str">
        <f>IF(OR(RAW_DATA!A115&gt;6,RAW_DATA!C115&gt;4),"Large Flower","Normal Flower")</f>
        <v>Large Flower</v>
      </c>
      <c r="G115" s="3" t="str">
        <f t="shared" si="7"/>
        <v>Not Setosa</v>
      </c>
      <c r="H115" s="3" t="str">
        <f t="shared" si="8"/>
        <v>Medium</v>
      </c>
      <c r="I115" s="3" t="str">
        <f>CHOOSE(MATCH(B115,{"setosa","versicolor","virginica"},0),"Setosa","Versicolor","Virginica")</f>
        <v>Virginica</v>
      </c>
      <c r="J115" s="3" t="str" cm="1">
        <f t="array" ref="J115">_xlfn.SWITCH(B115,"setosa","Setosa Flower","versicolor","Versicolor Flower","virginica","Virginica Flower","Unknown")</f>
        <v>Virginica Flower</v>
      </c>
      <c r="K115" s="3" t="str">
        <f t="shared" si="9"/>
        <v>Error</v>
      </c>
      <c r="L115" s="3" t="str">
        <f t="shared" si="10"/>
        <v>Available</v>
      </c>
      <c r="M115" s="3" t="str">
        <f t="shared" si="11"/>
        <v>Numeric</v>
      </c>
    </row>
    <row r="116" spans="1:13" x14ac:dyDescent="0.25">
      <c r="A116" s="3">
        <f>RAW_DATA!A116</f>
        <v>5.8</v>
      </c>
      <c r="B116" s="3" t="str">
        <f>RAW_DATA!E116</f>
        <v>virginica</v>
      </c>
      <c r="C116" s="3" t="str">
        <f t="shared" si="6"/>
        <v>LONG</v>
      </c>
      <c r="D116" s="3" t="str" cm="1">
        <f t="array" ref="D116">_xlfn.IFS(A116&lt;5,"Short",A116&lt;6,"Medium",A116&gt;=6,"Long")</f>
        <v>Medium</v>
      </c>
      <c r="E116" s="3" t="str">
        <f>IF(AND(RAW_DATA!C116&gt;4,RAW_DATA!D116&gt;1.5),"Large Petals","Not Large")</f>
        <v>Large Petals</v>
      </c>
      <c r="F116" s="3" t="str">
        <f>IF(OR(RAW_DATA!A116&gt;6,RAW_DATA!C116&gt;4),"Large Flower","Normal Flower")</f>
        <v>Large Flower</v>
      </c>
      <c r="G116" s="3" t="str">
        <f t="shared" si="7"/>
        <v>Not Setosa</v>
      </c>
      <c r="H116" s="3" t="str">
        <f t="shared" si="8"/>
        <v>Medium</v>
      </c>
      <c r="I116" s="3" t="str">
        <f>CHOOSE(MATCH(B116,{"setosa","versicolor","virginica"},0),"Setosa","Versicolor","Virginica")</f>
        <v>Virginica</v>
      </c>
      <c r="J116" s="3" t="str" cm="1">
        <f t="array" ref="J116">_xlfn.SWITCH(B116,"setosa","Setosa Flower","versicolor","Versicolor Flower","virginica","Virginica Flower","Unknown")</f>
        <v>Virginica Flower</v>
      </c>
      <c r="K116" s="3" t="str">
        <f t="shared" si="9"/>
        <v>Error</v>
      </c>
      <c r="L116" s="3" t="str">
        <f t="shared" si="10"/>
        <v>Available</v>
      </c>
      <c r="M116" s="3" t="str">
        <f t="shared" si="11"/>
        <v>Numeric</v>
      </c>
    </row>
    <row r="117" spans="1:13" x14ac:dyDescent="0.25">
      <c r="A117" s="3">
        <f>RAW_DATA!A117</f>
        <v>6.4</v>
      </c>
      <c r="B117" s="3" t="str">
        <f>RAW_DATA!E117</f>
        <v>virginica</v>
      </c>
      <c r="C117" s="3" t="str">
        <f t="shared" si="6"/>
        <v>LONG</v>
      </c>
      <c r="D117" s="3" t="str" cm="1">
        <f t="array" ref="D117">_xlfn.IFS(A117&lt;5,"Short",A117&lt;6,"Medium",A117&gt;=6,"Long")</f>
        <v>Long</v>
      </c>
      <c r="E117" s="3" t="str">
        <f>IF(AND(RAW_DATA!C117&gt;4,RAW_DATA!D117&gt;1.5),"Large Petals","Not Large")</f>
        <v>Large Petals</v>
      </c>
      <c r="F117" s="3" t="str">
        <f>IF(OR(RAW_DATA!A117&gt;6,RAW_DATA!C117&gt;4),"Large Flower","Normal Flower")</f>
        <v>Large Flower</v>
      </c>
      <c r="G117" s="3" t="str">
        <f t="shared" si="7"/>
        <v>Not Setosa</v>
      </c>
      <c r="H117" s="3" t="str">
        <f t="shared" si="8"/>
        <v>Large</v>
      </c>
      <c r="I117" s="3" t="str">
        <f>CHOOSE(MATCH(B117,{"setosa","versicolor","virginica"},0),"Setosa","Versicolor","Virginica")</f>
        <v>Virginica</v>
      </c>
      <c r="J117" s="3" t="str" cm="1">
        <f t="array" ref="J117">_xlfn.SWITCH(B117,"setosa","Setosa Flower","versicolor","Versicolor Flower","virginica","Virginica Flower","Unknown")</f>
        <v>Virginica Flower</v>
      </c>
      <c r="K117" s="3" t="str">
        <f t="shared" si="9"/>
        <v>Error</v>
      </c>
      <c r="L117" s="3" t="str">
        <f t="shared" si="10"/>
        <v>Available</v>
      </c>
      <c r="M117" s="3" t="str">
        <f t="shared" si="11"/>
        <v>Numeric</v>
      </c>
    </row>
    <row r="118" spans="1:13" x14ac:dyDescent="0.25">
      <c r="A118" s="3">
        <f>RAW_DATA!A118</f>
        <v>6.5</v>
      </c>
      <c r="B118" s="3" t="str">
        <f>RAW_DATA!E118</f>
        <v>virginica</v>
      </c>
      <c r="C118" s="3" t="str">
        <f t="shared" si="6"/>
        <v>LONG</v>
      </c>
      <c r="D118" s="3" t="str" cm="1">
        <f t="array" ref="D118">_xlfn.IFS(A118&lt;5,"Short",A118&lt;6,"Medium",A118&gt;=6,"Long")</f>
        <v>Long</v>
      </c>
      <c r="E118" s="3" t="str">
        <f>IF(AND(RAW_DATA!C118&gt;4,RAW_DATA!D118&gt;1.5),"Large Petals","Not Large")</f>
        <v>Large Petals</v>
      </c>
      <c r="F118" s="3" t="str">
        <f>IF(OR(RAW_DATA!A118&gt;6,RAW_DATA!C118&gt;4),"Large Flower","Normal Flower")</f>
        <v>Large Flower</v>
      </c>
      <c r="G118" s="3" t="str">
        <f t="shared" si="7"/>
        <v>Not Setosa</v>
      </c>
      <c r="H118" s="3" t="str">
        <f t="shared" si="8"/>
        <v>Large</v>
      </c>
      <c r="I118" s="3" t="str">
        <f>CHOOSE(MATCH(B118,{"setosa","versicolor","virginica"},0),"Setosa","Versicolor","Virginica")</f>
        <v>Virginica</v>
      </c>
      <c r="J118" s="3" t="str" cm="1">
        <f t="array" ref="J118">_xlfn.SWITCH(B118,"setosa","Setosa Flower","versicolor","Versicolor Flower","virginica","Virginica Flower","Unknown")</f>
        <v>Virginica Flower</v>
      </c>
      <c r="K118" s="3" t="str">
        <f t="shared" si="9"/>
        <v>Error</v>
      </c>
      <c r="L118" s="3" t="str">
        <f t="shared" si="10"/>
        <v>Available</v>
      </c>
      <c r="M118" s="3" t="str">
        <f t="shared" si="11"/>
        <v>Numeric</v>
      </c>
    </row>
    <row r="119" spans="1:13" x14ac:dyDescent="0.25">
      <c r="A119" s="3">
        <f>RAW_DATA!A119</f>
        <v>7.7</v>
      </c>
      <c r="B119" s="3" t="str">
        <f>RAW_DATA!E119</f>
        <v>virginica</v>
      </c>
      <c r="C119" s="3" t="str">
        <f t="shared" si="6"/>
        <v>LONG</v>
      </c>
      <c r="D119" s="3" t="str" cm="1">
        <f t="array" ref="D119">_xlfn.IFS(A119&lt;5,"Short",A119&lt;6,"Medium",A119&gt;=6,"Long")</f>
        <v>Long</v>
      </c>
      <c r="E119" s="3" t="str">
        <f>IF(AND(RAW_DATA!C119&gt;4,RAW_DATA!D119&gt;1.5),"Large Petals","Not Large")</f>
        <v>Large Petals</v>
      </c>
      <c r="F119" s="3" t="str">
        <f>IF(OR(RAW_DATA!A119&gt;6,RAW_DATA!C119&gt;4),"Large Flower","Normal Flower")</f>
        <v>Large Flower</v>
      </c>
      <c r="G119" s="3" t="str">
        <f t="shared" si="7"/>
        <v>Not Setosa</v>
      </c>
      <c r="H119" s="3" t="str">
        <f t="shared" si="8"/>
        <v>Large</v>
      </c>
      <c r="I119" s="3" t="str">
        <f>CHOOSE(MATCH(B119,{"setosa","versicolor","virginica"},0),"Setosa","Versicolor","Virginica")</f>
        <v>Virginica</v>
      </c>
      <c r="J119" s="3" t="str" cm="1">
        <f t="array" ref="J119">_xlfn.SWITCH(B119,"setosa","Setosa Flower","versicolor","Versicolor Flower","virginica","Virginica Flower","Unknown")</f>
        <v>Virginica Flower</v>
      </c>
      <c r="K119" s="3" t="str">
        <f t="shared" si="9"/>
        <v>Error</v>
      </c>
      <c r="L119" s="3" t="str">
        <f t="shared" si="10"/>
        <v>Available</v>
      </c>
      <c r="M119" s="3" t="str">
        <f t="shared" si="11"/>
        <v>Numeric</v>
      </c>
    </row>
    <row r="120" spans="1:13" x14ac:dyDescent="0.25">
      <c r="A120" s="3">
        <f>RAW_DATA!A120</f>
        <v>7.7</v>
      </c>
      <c r="B120" s="3" t="str">
        <f>RAW_DATA!E120</f>
        <v>virginica</v>
      </c>
      <c r="C120" s="3" t="str">
        <f t="shared" si="6"/>
        <v>LONG</v>
      </c>
      <c r="D120" s="3" t="str" cm="1">
        <f t="array" ref="D120">_xlfn.IFS(A120&lt;5,"Short",A120&lt;6,"Medium",A120&gt;=6,"Long")</f>
        <v>Long</v>
      </c>
      <c r="E120" s="3" t="str">
        <f>IF(AND(RAW_DATA!C120&gt;4,RAW_DATA!D120&gt;1.5),"Large Petals","Not Large")</f>
        <v>Large Petals</v>
      </c>
      <c r="F120" s="3" t="str">
        <f>IF(OR(RAW_DATA!A120&gt;6,RAW_DATA!C120&gt;4),"Large Flower","Normal Flower")</f>
        <v>Large Flower</v>
      </c>
      <c r="G120" s="3" t="str">
        <f t="shared" si="7"/>
        <v>Not Setosa</v>
      </c>
      <c r="H120" s="3" t="str">
        <f t="shared" si="8"/>
        <v>Large</v>
      </c>
      <c r="I120" s="3" t="str">
        <f>CHOOSE(MATCH(B120,{"setosa","versicolor","virginica"},0),"Setosa","Versicolor","Virginica")</f>
        <v>Virginica</v>
      </c>
      <c r="J120" s="3" t="str" cm="1">
        <f t="array" ref="J120">_xlfn.SWITCH(B120,"setosa","Setosa Flower","versicolor","Versicolor Flower","virginica","Virginica Flower","Unknown")</f>
        <v>Virginica Flower</v>
      </c>
      <c r="K120" s="3" t="str">
        <f t="shared" si="9"/>
        <v>Error</v>
      </c>
      <c r="L120" s="3" t="str">
        <f t="shared" si="10"/>
        <v>Available</v>
      </c>
      <c r="M120" s="3" t="str">
        <f t="shared" si="11"/>
        <v>Numeric</v>
      </c>
    </row>
    <row r="121" spans="1:13" x14ac:dyDescent="0.25">
      <c r="A121" s="3">
        <f>RAW_DATA!A121</f>
        <v>6</v>
      </c>
      <c r="B121" s="3" t="str">
        <f>RAW_DATA!E121</f>
        <v>virginica</v>
      </c>
      <c r="C121" s="3" t="str">
        <f t="shared" si="6"/>
        <v>LONG</v>
      </c>
      <c r="D121" s="3" t="str" cm="1">
        <f t="array" ref="D121">_xlfn.IFS(A121&lt;5,"Short",A121&lt;6,"Medium",A121&gt;=6,"Long")</f>
        <v>Long</v>
      </c>
      <c r="E121" s="3" t="str">
        <f>IF(AND(RAW_DATA!C121&gt;4,RAW_DATA!D121&gt;1.5),"Large Petals","Not Large")</f>
        <v>Not Large</v>
      </c>
      <c r="F121" s="3" t="str">
        <f>IF(OR(RAW_DATA!A121&gt;6,RAW_DATA!C121&gt;4),"Large Flower","Normal Flower")</f>
        <v>Large Flower</v>
      </c>
      <c r="G121" s="3" t="str">
        <f t="shared" si="7"/>
        <v>Not Setosa</v>
      </c>
      <c r="H121" s="3" t="str">
        <f t="shared" si="8"/>
        <v>Large</v>
      </c>
      <c r="I121" s="3" t="str">
        <f>CHOOSE(MATCH(B121,{"setosa","versicolor","virginica"},0),"Setosa","Versicolor","Virginica")</f>
        <v>Virginica</v>
      </c>
      <c r="J121" s="3" t="str" cm="1">
        <f t="array" ref="J121">_xlfn.SWITCH(B121,"setosa","Setosa Flower","versicolor","Versicolor Flower","virginica","Virginica Flower","Unknown")</f>
        <v>Virginica Flower</v>
      </c>
      <c r="K121" s="3" t="str">
        <f t="shared" si="9"/>
        <v>Error</v>
      </c>
      <c r="L121" s="3" t="str">
        <f t="shared" si="10"/>
        <v>Available</v>
      </c>
      <c r="M121" s="3" t="str">
        <f t="shared" si="11"/>
        <v>Numeric</v>
      </c>
    </row>
    <row r="122" spans="1:13" x14ac:dyDescent="0.25">
      <c r="A122" s="3">
        <f>RAW_DATA!A122</f>
        <v>6.9</v>
      </c>
      <c r="B122" s="3" t="str">
        <f>RAW_DATA!E122</f>
        <v>virginica</v>
      </c>
      <c r="C122" s="3" t="str">
        <f t="shared" si="6"/>
        <v>LONG</v>
      </c>
      <c r="D122" s="3" t="str" cm="1">
        <f t="array" ref="D122">_xlfn.IFS(A122&lt;5,"Short",A122&lt;6,"Medium",A122&gt;=6,"Long")</f>
        <v>Long</v>
      </c>
      <c r="E122" s="3" t="str">
        <f>IF(AND(RAW_DATA!C122&gt;4,RAW_DATA!D122&gt;1.5),"Large Petals","Not Large")</f>
        <v>Large Petals</v>
      </c>
      <c r="F122" s="3" t="str">
        <f>IF(OR(RAW_DATA!A122&gt;6,RAW_DATA!C122&gt;4),"Large Flower","Normal Flower")</f>
        <v>Large Flower</v>
      </c>
      <c r="G122" s="3" t="str">
        <f t="shared" si="7"/>
        <v>Not Setosa</v>
      </c>
      <c r="H122" s="3" t="str">
        <f t="shared" si="8"/>
        <v>Large</v>
      </c>
      <c r="I122" s="3" t="str">
        <f>CHOOSE(MATCH(B122,{"setosa","versicolor","virginica"},0),"Setosa","Versicolor","Virginica")</f>
        <v>Virginica</v>
      </c>
      <c r="J122" s="3" t="str" cm="1">
        <f t="array" ref="J122">_xlfn.SWITCH(B122,"setosa","Setosa Flower","versicolor","Versicolor Flower","virginica","Virginica Flower","Unknown")</f>
        <v>Virginica Flower</v>
      </c>
      <c r="K122" s="3" t="str">
        <f t="shared" si="9"/>
        <v>Error</v>
      </c>
      <c r="L122" s="3" t="str">
        <f t="shared" si="10"/>
        <v>Available</v>
      </c>
      <c r="M122" s="3" t="str">
        <f t="shared" si="11"/>
        <v>Numeric</v>
      </c>
    </row>
    <row r="123" spans="1:13" x14ac:dyDescent="0.25">
      <c r="A123" s="3">
        <f>RAW_DATA!A123</f>
        <v>5.6</v>
      </c>
      <c r="B123" s="3" t="str">
        <f>RAW_DATA!E123</f>
        <v>virginica</v>
      </c>
      <c r="C123" s="3" t="str">
        <f t="shared" si="6"/>
        <v>LONG</v>
      </c>
      <c r="D123" s="3" t="str" cm="1">
        <f t="array" ref="D123">_xlfn.IFS(A123&lt;5,"Short",A123&lt;6,"Medium",A123&gt;=6,"Long")</f>
        <v>Medium</v>
      </c>
      <c r="E123" s="3" t="str">
        <f>IF(AND(RAW_DATA!C123&gt;4,RAW_DATA!D123&gt;1.5),"Large Petals","Not Large")</f>
        <v>Large Petals</v>
      </c>
      <c r="F123" s="3" t="str">
        <f>IF(OR(RAW_DATA!A123&gt;6,RAW_DATA!C123&gt;4),"Large Flower","Normal Flower")</f>
        <v>Large Flower</v>
      </c>
      <c r="G123" s="3" t="str">
        <f t="shared" si="7"/>
        <v>Not Setosa</v>
      </c>
      <c r="H123" s="3" t="str">
        <f t="shared" si="8"/>
        <v>Medium</v>
      </c>
      <c r="I123" s="3" t="str">
        <f>CHOOSE(MATCH(B123,{"setosa","versicolor","virginica"},0),"Setosa","Versicolor","Virginica")</f>
        <v>Virginica</v>
      </c>
      <c r="J123" s="3" t="str" cm="1">
        <f t="array" ref="J123">_xlfn.SWITCH(B123,"setosa","Setosa Flower","versicolor","Versicolor Flower","virginica","Virginica Flower","Unknown")</f>
        <v>Virginica Flower</v>
      </c>
      <c r="K123" s="3" t="str">
        <f t="shared" si="9"/>
        <v>Error</v>
      </c>
      <c r="L123" s="3" t="str">
        <f t="shared" si="10"/>
        <v>Available</v>
      </c>
      <c r="M123" s="3" t="str">
        <f t="shared" si="11"/>
        <v>Numeric</v>
      </c>
    </row>
    <row r="124" spans="1:13" x14ac:dyDescent="0.25">
      <c r="A124" s="3">
        <f>RAW_DATA!A124</f>
        <v>7.7</v>
      </c>
      <c r="B124" s="3" t="str">
        <f>RAW_DATA!E124</f>
        <v>virginica</v>
      </c>
      <c r="C124" s="3" t="str">
        <f t="shared" si="6"/>
        <v>LONG</v>
      </c>
      <c r="D124" s="3" t="str" cm="1">
        <f t="array" ref="D124">_xlfn.IFS(A124&lt;5,"Short",A124&lt;6,"Medium",A124&gt;=6,"Long")</f>
        <v>Long</v>
      </c>
      <c r="E124" s="3" t="str">
        <f>IF(AND(RAW_DATA!C124&gt;4,RAW_DATA!D124&gt;1.5),"Large Petals","Not Large")</f>
        <v>Large Petals</v>
      </c>
      <c r="F124" s="3" t="str">
        <f>IF(OR(RAW_DATA!A124&gt;6,RAW_DATA!C124&gt;4),"Large Flower","Normal Flower")</f>
        <v>Large Flower</v>
      </c>
      <c r="G124" s="3" t="str">
        <f t="shared" si="7"/>
        <v>Not Setosa</v>
      </c>
      <c r="H124" s="3" t="str">
        <f t="shared" si="8"/>
        <v>Large</v>
      </c>
      <c r="I124" s="3" t="str">
        <f>CHOOSE(MATCH(B124,{"setosa","versicolor","virginica"},0),"Setosa","Versicolor","Virginica")</f>
        <v>Virginica</v>
      </c>
      <c r="J124" s="3" t="str" cm="1">
        <f t="array" ref="J124">_xlfn.SWITCH(B124,"setosa","Setosa Flower","versicolor","Versicolor Flower","virginica","Virginica Flower","Unknown")</f>
        <v>Virginica Flower</v>
      </c>
      <c r="K124" s="3" t="str">
        <f t="shared" si="9"/>
        <v>Error</v>
      </c>
      <c r="L124" s="3" t="str">
        <f t="shared" si="10"/>
        <v>Available</v>
      </c>
      <c r="M124" s="3" t="str">
        <f t="shared" si="11"/>
        <v>Numeric</v>
      </c>
    </row>
    <row r="125" spans="1:13" x14ac:dyDescent="0.25">
      <c r="A125" s="3">
        <f>RAW_DATA!A125</f>
        <v>6.3</v>
      </c>
      <c r="B125" s="3" t="str">
        <f>RAW_DATA!E125</f>
        <v>virginica</v>
      </c>
      <c r="C125" s="3" t="str">
        <f t="shared" si="6"/>
        <v>LONG</v>
      </c>
      <c r="D125" s="3" t="str" cm="1">
        <f t="array" ref="D125">_xlfn.IFS(A125&lt;5,"Short",A125&lt;6,"Medium",A125&gt;=6,"Long")</f>
        <v>Long</v>
      </c>
      <c r="E125" s="3" t="str">
        <f>IF(AND(RAW_DATA!C125&gt;4,RAW_DATA!D125&gt;1.5),"Large Petals","Not Large")</f>
        <v>Large Petals</v>
      </c>
      <c r="F125" s="3" t="str">
        <f>IF(OR(RAW_DATA!A125&gt;6,RAW_DATA!C125&gt;4),"Large Flower","Normal Flower")</f>
        <v>Large Flower</v>
      </c>
      <c r="G125" s="3" t="str">
        <f t="shared" si="7"/>
        <v>Not Setosa</v>
      </c>
      <c r="H125" s="3" t="str">
        <f t="shared" si="8"/>
        <v>Large</v>
      </c>
      <c r="I125" s="3" t="str">
        <f>CHOOSE(MATCH(B125,{"setosa","versicolor","virginica"},0),"Setosa","Versicolor","Virginica")</f>
        <v>Virginica</v>
      </c>
      <c r="J125" s="3" t="str" cm="1">
        <f t="array" ref="J125">_xlfn.SWITCH(B125,"setosa","Setosa Flower","versicolor","Versicolor Flower","virginica","Virginica Flower","Unknown")</f>
        <v>Virginica Flower</v>
      </c>
      <c r="K125" s="3" t="str">
        <f t="shared" si="9"/>
        <v>Error</v>
      </c>
      <c r="L125" s="3" t="str">
        <f t="shared" si="10"/>
        <v>Available</v>
      </c>
      <c r="M125" s="3" t="str">
        <f t="shared" si="11"/>
        <v>Numeric</v>
      </c>
    </row>
    <row r="126" spans="1:13" x14ac:dyDescent="0.25">
      <c r="A126" s="3">
        <f>RAW_DATA!A126</f>
        <v>6.7</v>
      </c>
      <c r="B126" s="3" t="str">
        <f>RAW_DATA!E126</f>
        <v>virginica</v>
      </c>
      <c r="C126" s="3" t="str">
        <f t="shared" si="6"/>
        <v>LONG</v>
      </c>
      <c r="D126" s="3" t="str" cm="1">
        <f t="array" ref="D126">_xlfn.IFS(A126&lt;5,"Short",A126&lt;6,"Medium",A126&gt;=6,"Long")</f>
        <v>Long</v>
      </c>
      <c r="E126" s="3" t="str">
        <f>IF(AND(RAW_DATA!C126&gt;4,RAW_DATA!D126&gt;1.5),"Large Petals","Not Large")</f>
        <v>Large Petals</v>
      </c>
      <c r="F126" s="3" t="str">
        <f>IF(OR(RAW_DATA!A126&gt;6,RAW_DATA!C126&gt;4),"Large Flower","Normal Flower")</f>
        <v>Large Flower</v>
      </c>
      <c r="G126" s="3" t="str">
        <f t="shared" si="7"/>
        <v>Not Setosa</v>
      </c>
      <c r="H126" s="3" t="str">
        <f t="shared" si="8"/>
        <v>Large</v>
      </c>
      <c r="I126" s="3" t="str">
        <f>CHOOSE(MATCH(B126,{"setosa","versicolor","virginica"},0),"Setosa","Versicolor","Virginica")</f>
        <v>Virginica</v>
      </c>
      <c r="J126" s="3" t="str" cm="1">
        <f t="array" ref="J126">_xlfn.SWITCH(B126,"setosa","Setosa Flower","versicolor","Versicolor Flower","virginica","Virginica Flower","Unknown")</f>
        <v>Virginica Flower</v>
      </c>
      <c r="K126" s="3" t="str">
        <f t="shared" si="9"/>
        <v>Error</v>
      </c>
      <c r="L126" s="3" t="str">
        <f t="shared" si="10"/>
        <v>Available</v>
      </c>
      <c r="M126" s="3" t="str">
        <f t="shared" si="11"/>
        <v>Numeric</v>
      </c>
    </row>
    <row r="127" spans="1:13" x14ac:dyDescent="0.25">
      <c r="A127" s="3">
        <f>RAW_DATA!A127</f>
        <v>7.2</v>
      </c>
      <c r="B127" s="3" t="str">
        <f>RAW_DATA!E127</f>
        <v>virginica</v>
      </c>
      <c r="C127" s="3" t="str">
        <f t="shared" si="6"/>
        <v>LONG</v>
      </c>
      <c r="D127" s="3" t="str" cm="1">
        <f t="array" ref="D127">_xlfn.IFS(A127&lt;5,"Short",A127&lt;6,"Medium",A127&gt;=6,"Long")</f>
        <v>Long</v>
      </c>
      <c r="E127" s="3" t="str">
        <f>IF(AND(RAW_DATA!C127&gt;4,RAW_DATA!D127&gt;1.5),"Large Petals","Not Large")</f>
        <v>Large Petals</v>
      </c>
      <c r="F127" s="3" t="str">
        <f>IF(OR(RAW_DATA!A127&gt;6,RAW_DATA!C127&gt;4),"Large Flower","Normal Flower")</f>
        <v>Large Flower</v>
      </c>
      <c r="G127" s="3" t="str">
        <f t="shared" si="7"/>
        <v>Not Setosa</v>
      </c>
      <c r="H127" s="3" t="str">
        <f t="shared" si="8"/>
        <v>Large</v>
      </c>
      <c r="I127" s="3" t="str">
        <f>CHOOSE(MATCH(B127,{"setosa","versicolor","virginica"},0),"Setosa","Versicolor","Virginica")</f>
        <v>Virginica</v>
      </c>
      <c r="J127" s="3" t="str" cm="1">
        <f t="array" ref="J127">_xlfn.SWITCH(B127,"setosa","Setosa Flower","versicolor","Versicolor Flower","virginica","Virginica Flower","Unknown")</f>
        <v>Virginica Flower</v>
      </c>
      <c r="K127" s="3" t="str">
        <f t="shared" si="9"/>
        <v>Error</v>
      </c>
      <c r="L127" s="3" t="str">
        <f t="shared" si="10"/>
        <v>Available</v>
      </c>
      <c r="M127" s="3" t="str">
        <f t="shared" si="11"/>
        <v>Numeric</v>
      </c>
    </row>
    <row r="128" spans="1:13" x14ac:dyDescent="0.25">
      <c r="A128" s="3">
        <f>RAW_DATA!A128</f>
        <v>6.2</v>
      </c>
      <c r="B128" s="3" t="str">
        <f>RAW_DATA!E128</f>
        <v>virginica</v>
      </c>
      <c r="C128" s="3" t="str">
        <f t="shared" si="6"/>
        <v>LONG</v>
      </c>
      <c r="D128" s="3" t="str" cm="1">
        <f t="array" ref="D128">_xlfn.IFS(A128&lt;5,"Short",A128&lt;6,"Medium",A128&gt;=6,"Long")</f>
        <v>Long</v>
      </c>
      <c r="E128" s="3" t="str">
        <f>IF(AND(RAW_DATA!C128&gt;4,RAW_DATA!D128&gt;1.5),"Large Petals","Not Large")</f>
        <v>Large Petals</v>
      </c>
      <c r="F128" s="3" t="str">
        <f>IF(OR(RAW_DATA!A128&gt;6,RAW_DATA!C128&gt;4),"Large Flower","Normal Flower")</f>
        <v>Large Flower</v>
      </c>
      <c r="G128" s="3" t="str">
        <f t="shared" si="7"/>
        <v>Not Setosa</v>
      </c>
      <c r="H128" s="3" t="str">
        <f t="shared" si="8"/>
        <v>Large</v>
      </c>
      <c r="I128" s="3" t="str">
        <f>CHOOSE(MATCH(B128,{"setosa","versicolor","virginica"},0),"Setosa","Versicolor","Virginica")</f>
        <v>Virginica</v>
      </c>
      <c r="J128" s="3" t="str" cm="1">
        <f t="array" ref="J128">_xlfn.SWITCH(B128,"setosa","Setosa Flower","versicolor","Versicolor Flower","virginica","Virginica Flower","Unknown")</f>
        <v>Virginica Flower</v>
      </c>
      <c r="K128" s="3" t="str">
        <f t="shared" si="9"/>
        <v>Error</v>
      </c>
      <c r="L128" s="3" t="str">
        <f t="shared" si="10"/>
        <v>Available</v>
      </c>
      <c r="M128" s="3" t="str">
        <f t="shared" si="11"/>
        <v>Numeric</v>
      </c>
    </row>
    <row r="129" spans="1:13" x14ac:dyDescent="0.25">
      <c r="A129" s="3">
        <f>RAW_DATA!A129</f>
        <v>6.1</v>
      </c>
      <c r="B129" s="3" t="str">
        <f>RAW_DATA!E129</f>
        <v>virginica</v>
      </c>
      <c r="C129" s="3" t="str">
        <f t="shared" si="6"/>
        <v>LONG</v>
      </c>
      <c r="D129" s="3" t="str" cm="1">
        <f t="array" ref="D129">_xlfn.IFS(A129&lt;5,"Short",A129&lt;6,"Medium",A129&gt;=6,"Long")</f>
        <v>Long</v>
      </c>
      <c r="E129" s="3" t="str">
        <f>IF(AND(RAW_DATA!C129&gt;4,RAW_DATA!D129&gt;1.5),"Large Petals","Not Large")</f>
        <v>Large Petals</v>
      </c>
      <c r="F129" s="3" t="str">
        <f>IF(OR(RAW_DATA!A129&gt;6,RAW_DATA!C129&gt;4),"Large Flower","Normal Flower")</f>
        <v>Large Flower</v>
      </c>
      <c r="G129" s="3" t="str">
        <f t="shared" si="7"/>
        <v>Not Setosa</v>
      </c>
      <c r="H129" s="3" t="str">
        <f t="shared" si="8"/>
        <v>Large</v>
      </c>
      <c r="I129" s="3" t="str">
        <f>CHOOSE(MATCH(B129,{"setosa","versicolor","virginica"},0),"Setosa","Versicolor","Virginica")</f>
        <v>Virginica</v>
      </c>
      <c r="J129" s="3" t="str" cm="1">
        <f t="array" ref="J129">_xlfn.SWITCH(B129,"setosa","Setosa Flower","versicolor","Versicolor Flower","virginica","Virginica Flower","Unknown")</f>
        <v>Virginica Flower</v>
      </c>
      <c r="K129" s="3" t="str">
        <f t="shared" si="9"/>
        <v>Error</v>
      </c>
      <c r="L129" s="3" t="str">
        <f t="shared" si="10"/>
        <v>Available</v>
      </c>
      <c r="M129" s="3" t="str">
        <f t="shared" si="11"/>
        <v>Numeric</v>
      </c>
    </row>
    <row r="130" spans="1:13" x14ac:dyDescent="0.25">
      <c r="A130" s="3">
        <f>RAW_DATA!A130</f>
        <v>6.4</v>
      </c>
      <c r="B130" s="3" t="str">
        <f>RAW_DATA!E130</f>
        <v>virginica</v>
      </c>
      <c r="C130" s="3" t="str">
        <f t="shared" si="6"/>
        <v>LONG</v>
      </c>
      <c r="D130" s="3" t="str" cm="1">
        <f t="array" ref="D130">_xlfn.IFS(A130&lt;5,"Short",A130&lt;6,"Medium",A130&gt;=6,"Long")</f>
        <v>Long</v>
      </c>
      <c r="E130" s="3" t="str">
        <f>IF(AND(RAW_DATA!C130&gt;4,RAW_DATA!D130&gt;1.5),"Large Petals","Not Large")</f>
        <v>Large Petals</v>
      </c>
      <c r="F130" s="3" t="str">
        <f>IF(OR(RAW_DATA!A130&gt;6,RAW_DATA!C130&gt;4),"Large Flower","Normal Flower")</f>
        <v>Large Flower</v>
      </c>
      <c r="G130" s="3" t="str">
        <f t="shared" si="7"/>
        <v>Not Setosa</v>
      </c>
      <c r="H130" s="3" t="str">
        <f t="shared" si="8"/>
        <v>Large</v>
      </c>
      <c r="I130" s="3" t="str">
        <f>CHOOSE(MATCH(B130,{"setosa","versicolor","virginica"},0),"Setosa","Versicolor","Virginica")</f>
        <v>Virginica</v>
      </c>
      <c r="J130" s="3" t="str" cm="1">
        <f t="array" ref="J130">_xlfn.SWITCH(B130,"setosa","Setosa Flower","versicolor","Versicolor Flower","virginica","Virginica Flower","Unknown")</f>
        <v>Virginica Flower</v>
      </c>
      <c r="K130" s="3" t="str">
        <f t="shared" si="9"/>
        <v>Error</v>
      </c>
      <c r="L130" s="3" t="str">
        <f t="shared" si="10"/>
        <v>Available</v>
      </c>
      <c r="M130" s="3" t="str">
        <f t="shared" si="11"/>
        <v>Numeric</v>
      </c>
    </row>
    <row r="131" spans="1:13" x14ac:dyDescent="0.25">
      <c r="A131" s="3">
        <f>RAW_DATA!A131</f>
        <v>7.2</v>
      </c>
      <c r="B131" s="3" t="str">
        <f>RAW_DATA!E131</f>
        <v>virginica</v>
      </c>
      <c r="C131" s="3" t="str">
        <f t="shared" ref="C131:C151" si="12">IF(A131&gt;=5,"LONG","SHORT")</f>
        <v>LONG</v>
      </c>
      <c r="D131" s="3" t="str" cm="1">
        <f t="array" ref="D131">_xlfn.IFS(A131&lt;5,"Short",A131&lt;6,"Medium",A131&gt;=6,"Long")</f>
        <v>Long</v>
      </c>
      <c r="E131" s="3" t="str">
        <f>IF(AND(RAW_DATA!C131&gt;4,RAW_DATA!D131&gt;1.5),"Large Petals","Not Large")</f>
        <v>Large Petals</v>
      </c>
      <c r="F131" s="3" t="str">
        <f>IF(OR(RAW_DATA!A131&gt;6,RAW_DATA!C131&gt;4),"Large Flower","Normal Flower")</f>
        <v>Large Flower</v>
      </c>
      <c r="G131" s="3" t="str">
        <f t="shared" ref="G131:G151" si="13">IF(NOT(B131="setosa"),"Not Setosa","Setosa")</f>
        <v>Not Setosa</v>
      </c>
      <c r="H131" s="3" t="str">
        <f t="shared" ref="H131:H151" si="14">IF(A131&lt;5,"Small",IF(A131&lt;6,"Medium","Large"))</f>
        <v>Large</v>
      </c>
      <c r="I131" s="3" t="str">
        <f>CHOOSE(MATCH(B131,{"setosa","versicolor","virginica"},0),"Setosa","Versicolor","Virginica")</f>
        <v>Virginica</v>
      </c>
      <c r="J131" s="3" t="str" cm="1">
        <f t="array" ref="J131">_xlfn.SWITCH(B131,"setosa","Setosa Flower","versicolor","Versicolor Flower","virginica","Virginica Flower","Unknown")</f>
        <v>Virginica Flower</v>
      </c>
      <c r="K131" s="3" t="str">
        <f t="shared" ref="K131:K151" si="15">IF(ISERROR(A131/0),"Error","Valid")</f>
        <v>Error</v>
      </c>
      <c r="L131" s="3" t="str">
        <f t="shared" ref="L131:L151" si="16">IF(ISBLANK(A131),"Missing","Available")</f>
        <v>Available</v>
      </c>
      <c r="M131" s="3" t="str">
        <f t="shared" ref="M131:M151" si="17">IF(ISNUMBER(A131),"Numeric","Not Numeric")</f>
        <v>Numeric</v>
      </c>
    </row>
    <row r="132" spans="1:13" x14ac:dyDescent="0.25">
      <c r="A132" s="3">
        <f>RAW_DATA!A132</f>
        <v>7.4</v>
      </c>
      <c r="B132" s="3" t="str">
        <f>RAW_DATA!E132</f>
        <v>virginica</v>
      </c>
      <c r="C132" s="3" t="str">
        <f t="shared" si="12"/>
        <v>LONG</v>
      </c>
      <c r="D132" s="3" t="str" cm="1">
        <f t="array" ref="D132">_xlfn.IFS(A132&lt;5,"Short",A132&lt;6,"Medium",A132&gt;=6,"Long")</f>
        <v>Long</v>
      </c>
      <c r="E132" s="3" t="str">
        <f>IF(AND(RAW_DATA!C132&gt;4,RAW_DATA!D132&gt;1.5),"Large Petals","Not Large")</f>
        <v>Large Petals</v>
      </c>
      <c r="F132" s="3" t="str">
        <f>IF(OR(RAW_DATA!A132&gt;6,RAW_DATA!C132&gt;4),"Large Flower","Normal Flower")</f>
        <v>Large Flower</v>
      </c>
      <c r="G132" s="3" t="str">
        <f t="shared" si="13"/>
        <v>Not Setosa</v>
      </c>
      <c r="H132" s="3" t="str">
        <f t="shared" si="14"/>
        <v>Large</v>
      </c>
      <c r="I132" s="3" t="str">
        <f>CHOOSE(MATCH(B132,{"setosa","versicolor","virginica"},0),"Setosa","Versicolor","Virginica")</f>
        <v>Virginica</v>
      </c>
      <c r="J132" s="3" t="str" cm="1">
        <f t="array" ref="J132">_xlfn.SWITCH(B132,"setosa","Setosa Flower","versicolor","Versicolor Flower","virginica","Virginica Flower","Unknown")</f>
        <v>Virginica Flower</v>
      </c>
      <c r="K132" s="3" t="str">
        <f t="shared" si="15"/>
        <v>Error</v>
      </c>
      <c r="L132" s="3" t="str">
        <f t="shared" si="16"/>
        <v>Available</v>
      </c>
      <c r="M132" s="3" t="str">
        <f t="shared" si="17"/>
        <v>Numeric</v>
      </c>
    </row>
    <row r="133" spans="1:13" x14ac:dyDescent="0.25">
      <c r="A133" s="3">
        <f>RAW_DATA!A133</f>
        <v>7.9</v>
      </c>
      <c r="B133" s="3" t="str">
        <f>RAW_DATA!E133</f>
        <v>virginica</v>
      </c>
      <c r="C133" s="3" t="str">
        <f t="shared" si="12"/>
        <v>LONG</v>
      </c>
      <c r="D133" s="3" t="str" cm="1">
        <f t="array" ref="D133">_xlfn.IFS(A133&lt;5,"Short",A133&lt;6,"Medium",A133&gt;=6,"Long")</f>
        <v>Long</v>
      </c>
      <c r="E133" s="3" t="str">
        <f>IF(AND(RAW_DATA!C133&gt;4,RAW_DATA!D133&gt;1.5),"Large Petals","Not Large")</f>
        <v>Large Petals</v>
      </c>
      <c r="F133" s="3" t="str">
        <f>IF(OR(RAW_DATA!A133&gt;6,RAW_DATA!C133&gt;4),"Large Flower","Normal Flower")</f>
        <v>Large Flower</v>
      </c>
      <c r="G133" s="3" t="str">
        <f t="shared" si="13"/>
        <v>Not Setosa</v>
      </c>
      <c r="H133" s="3" t="str">
        <f t="shared" si="14"/>
        <v>Large</v>
      </c>
      <c r="I133" s="3" t="str">
        <f>CHOOSE(MATCH(B133,{"setosa","versicolor","virginica"},0),"Setosa","Versicolor","Virginica")</f>
        <v>Virginica</v>
      </c>
      <c r="J133" s="3" t="str" cm="1">
        <f t="array" ref="J133">_xlfn.SWITCH(B133,"setosa","Setosa Flower","versicolor","Versicolor Flower","virginica","Virginica Flower","Unknown")</f>
        <v>Virginica Flower</v>
      </c>
      <c r="K133" s="3" t="str">
        <f t="shared" si="15"/>
        <v>Error</v>
      </c>
      <c r="L133" s="3" t="str">
        <f t="shared" si="16"/>
        <v>Available</v>
      </c>
      <c r="M133" s="3" t="str">
        <f t="shared" si="17"/>
        <v>Numeric</v>
      </c>
    </row>
    <row r="134" spans="1:13" x14ac:dyDescent="0.25">
      <c r="A134" s="3">
        <f>RAW_DATA!A134</f>
        <v>6.4</v>
      </c>
      <c r="B134" s="3" t="str">
        <f>RAW_DATA!E134</f>
        <v>virginica</v>
      </c>
      <c r="C134" s="3" t="str">
        <f t="shared" si="12"/>
        <v>LONG</v>
      </c>
      <c r="D134" s="3" t="str" cm="1">
        <f t="array" ref="D134">_xlfn.IFS(A134&lt;5,"Short",A134&lt;6,"Medium",A134&gt;=6,"Long")</f>
        <v>Long</v>
      </c>
      <c r="E134" s="3" t="str">
        <f>IF(AND(RAW_DATA!C134&gt;4,RAW_DATA!D134&gt;1.5),"Large Petals","Not Large")</f>
        <v>Large Petals</v>
      </c>
      <c r="F134" s="3" t="str">
        <f>IF(OR(RAW_DATA!A134&gt;6,RAW_DATA!C134&gt;4),"Large Flower","Normal Flower")</f>
        <v>Large Flower</v>
      </c>
      <c r="G134" s="3" t="str">
        <f t="shared" si="13"/>
        <v>Not Setosa</v>
      </c>
      <c r="H134" s="3" t="str">
        <f t="shared" si="14"/>
        <v>Large</v>
      </c>
      <c r="I134" s="3" t="str">
        <f>CHOOSE(MATCH(B134,{"setosa","versicolor","virginica"},0),"Setosa","Versicolor","Virginica")</f>
        <v>Virginica</v>
      </c>
      <c r="J134" s="3" t="str" cm="1">
        <f t="array" ref="J134">_xlfn.SWITCH(B134,"setosa","Setosa Flower","versicolor","Versicolor Flower","virginica","Virginica Flower","Unknown")</f>
        <v>Virginica Flower</v>
      </c>
      <c r="K134" s="3" t="str">
        <f t="shared" si="15"/>
        <v>Error</v>
      </c>
      <c r="L134" s="3" t="str">
        <f t="shared" si="16"/>
        <v>Available</v>
      </c>
      <c r="M134" s="3" t="str">
        <f t="shared" si="17"/>
        <v>Numeric</v>
      </c>
    </row>
    <row r="135" spans="1:13" x14ac:dyDescent="0.25">
      <c r="A135" s="3">
        <f>RAW_DATA!A135</f>
        <v>6.3</v>
      </c>
      <c r="B135" s="3" t="str">
        <f>RAW_DATA!E135</f>
        <v>virginica</v>
      </c>
      <c r="C135" s="3" t="str">
        <f t="shared" si="12"/>
        <v>LONG</v>
      </c>
      <c r="D135" s="3" t="str" cm="1">
        <f t="array" ref="D135">_xlfn.IFS(A135&lt;5,"Short",A135&lt;6,"Medium",A135&gt;=6,"Long")</f>
        <v>Long</v>
      </c>
      <c r="E135" s="3" t="str">
        <f>IF(AND(RAW_DATA!C135&gt;4,RAW_DATA!D135&gt;1.5),"Large Petals","Not Large")</f>
        <v>Not Large</v>
      </c>
      <c r="F135" s="3" t="str">
        <f>IF(OR(RAW_DATA!A135&gt;6,RAW_DATA!C135&gt;4),"Large Flower","Normal Flower")</f>
        <v>Large Flower</v>
      </c>
      <c r="G135" s="3" t="str">
        <f t="shared" si="13"/>
        <v>Not Setosa</v>
      </c>
      <c r="H135" s="3" t="str">
        <f t="shared" si="14"/>
        <v>Large</v>
      </c>
      <c r="I135" s="3" t="str">
        <f>CHOOSE(MATCH(B135,{"setosa","versicolor","virginica"},0),"Setosa","Versicolor","Virginica")</f>
        <v>Virginica</v>
      </c>
      <c r="J135" s="3" t="str" cm="1">
        <f t="array" ref="J135">_xlfn.SWITCH(B135,"setosa","Setosa Flower","versicolor","Versicolor Flower","virginica","Virginica Flower","Unknown")</f>
        <v>Virginica Flower</v>
      </c>
      <c r="K135" s="3" t="str">
        <f t="shared" si="15"/>
        <v>Error</v>
      </c>
      <c r="L135" s="3" t="str">
        <f t="shared" si="16"/>
        <v>Available</v>
      </c>
      <c r="M135" s="3" t="str">
        <f t="shared" si="17"/>
        <v>Numeric</v>
      </c>
    </row>
    <row r="136" spans="1:13" x14ac:dyDescent="0.25">
      <c r="A136" s="3">
        <f>RAW_DATA!A136</f>
        <v>6.1</v>
      </c>
      <c r="B136" s="3" t="str">
        <f>RAW_DATA!E136</f>
        <v>virginica</v>
      </c>
      <c r="C136" s="3" t="str">
        <f t="shared" si="12"/>
        <v>LONG</v>
      </c>
      <c r="D136" s="3" t="str" cm="1">
        <f t="array" ref="D136">_xlfn.IFS(A136&lt;5,"Short",A136&lt;6,"Medium",A136&gt;=6,"Long")</f>
        <v>Long</v>
      </c>
      <c r="E136" s="3" t="str">
        <f>IF(AND(RAW_DATA!C136&gt;4,RAW_DATA!D136&gt;1.5),"Large Petals","Not Large")</f>
        <v>Not Large</v>
      </c>
      <c r="F136" s="3" t="str">
        <f>IF(OR(RAW_DATA!A136&gt;6,RAW_DATA!C136&gt;4),"Large Flower","Normal Flower")</f>
        <v>Large Flower</v>
      </c>
      <c r="G136" s="3" t="str">
        <f t="shared" si="13"/>
        <v>Not Setosa</v>
      </c>
      <c r="H136" s="3" t="str">
        <f t="shared" si="14"/>
        <v>Large</v>
      </c>
      <c r="I136" s="3" t="str">
        <f>CHOOSE(MATCH(B136,{"setosa","versicolor","virginica"},0),"Setosa","Versicolor","Virginica")</f>
        <v>Virginica</v>
      </c>
      <c r="J136" s="3" t="str" cm="1">
        <f t="array" ref="J136">_xlfn.SWITCH(B136,"setosa","Setosa Flower","versicolor","Versicolor Flower","virginica","Virginica Flower","Unknown")</f>
        <v>Virginica Flower</v>
      </c>
      <c r="K136" s="3" t="str">
        <f t="shared" si="15"/>
        <v>Error</v>
      </c>
      <c r="L136" s="3" t="str">
        <f t="shared" si="16"/>
        <v>Available</v>
      </c>
      <c r="M136" s="3" t="str">
        <f t="shared" si="17"/>
        <v>Numeric</v>
      </c>
    </row>
    <row r="137" spans="1:13" x14ac:dyDescent="0.25">
      <c r="A137" s="3">
        <f>RAW_DATA!A137</f>
        <v>7.7</v>
      </c>
      <c r="B137" s="3" t="str">
        <f>RAW_DATA!E137</f>
        <v>virginica</v>
      </c>
      <c r="C137" s="3" t="str">
        <f t="shared" si="12"/>
        <v>LONG</v>
      </c>
      <c r="D137" s="3" t="str" cm="1">
        <f t="array" ref="D137">_xlfn.IFS(A137&lt;5,"Short",A137&lt;6,"Medium",A137&gt;=6,"Long")</f>
        <v>Long</v>
      </c>
      <c r="E137" s="3" t="str">
        <f>IF(AND(RAW_DATA!C137&gt;4,RAW_DATA!D137&gt;1.5),"Large Petals","Not Large")</f>
        <v>Large Petals</v>
      </c>
      <c r="F137" s="3" t="str">
        <f>IF(OR(RAW_DATA!A137&gt;6,RAW_DATA!C137&gt;4),"Large Flower","Normal Flower")</f>
        <v>Large Flower</v>
      </c>
      <c r="G137" s="3" t="str">
        <f t="shared" si="13"/>
        <v>Not Setosa</v>
      </c>
      <c r="H137" s="3" t="str">
        <f t="shared" si="14"/>
        <v>Large</v>
      </c>
      <c r="I137" s="3" t="str">
        <f>CHOOSE(MATCH(B137,{"setosa","versicolor","virginica"},0),"Setosa","Versicolor","Virginica")</f>
        <v>Virginica</v>
      </c>
      <c r="J137" s="3" t="str" cm="1">
        <f t="array" ref="J137">_xlfn.SWITCH(B137,"setosa","Setosa Flower","versicolor","Versicolor Flower","virginica","Virginica Flower","Unknown")</f>
        <v>Virginica Flower</v>
      </c>
      <c r="K137" s="3" t="str">
        <f t="shared" si="15"/>
        <v>Error</v>
      </c>
      <c r="L137" s="3" t="str">
        <f t="shared" si="16"/>
        <v>Available</v>
      </c>
      <c r="M137" s="3" t="str">
        <f t="shared" si="17"/>
        <v>Numeric</v>
      </c>
    </row>
    <row r="138" spans="1:13" x14ac:dyDescent="0.25">
      <c r="A138" s="3">
        <f>RAW_DATA!A138</f>
        <v>6.3</v>
      </c>
      <c r="B138" s="3" t="str">
        <f>RAW_DATA!E138</f>
        <v>virginica</v>
      </c>
      <c r="C138" s="3" t="str">
        <f t="shared" si="12"/>
        <v>LONG</v>
      </c>
      <c r="D138" s="3" t="str" cm="1">
        <f t="array" ref="D138">_xlfn.IFS(A138&lt;5,"Short",A138&lt;6,"Medium",A138&gt;=6,"Long")</f>
        <v>Long</v>
      </c>
      <c r="E138" s="3" t="str">
        <f>IF(AND(RAW_DATA!C138&gt;4,RAW_DATA!D138&gt;1.5),"Large Petals","Not Large")</f>
        <v>Large Petals</v>
      </c>
      <c r="F138" s="3" t="str">
        <f>IF(OR(RAW_DATA!A138&gt;6,RAW_DATA!C138&gt;4),"Large Flower","Normal Flower")</f>
        <v>Large Flower</v>
      </c>
      <c r="G138" s="3" t="str">
        <f t="shared" si="13"/>
        <v>Not Setosa</v>
      </c>
      <c r="H138" s="3" t="str">
        <f t="shared" si="14"/>
        <v>Large</v>
      </c>
      <c r="I138" s="3" t="str">
        <f>CHOOSE(MATCH(B138,{"setosa","versicolor","virginica"},0),"Setosa","Versicolor","Virginica")</f>
        <v>Virginica</v>
      </c>
      <c r="J138" s="3" t="str" cm="1">
        <f t="array" ref="J138">_xlfn.SWITCH(B138,"setosa","Setosa Flower","versicolor","Versicolor Flower","virginica","Virginica Flower","Unknown")</f>
        <v>Virginica Flower</v>
      </c>
      <c r="K138" s="3" t="str">
        <f t="shared" si="15"/>
        <v>Error</v>
      </c>
      <c r="L138" s="3" t="str">
        <f t="shared" si="16"/>
        <v>Available</v>
      </c>
      <c r="M138" s="3" t="str">
        <f t="shared" si="17"/>
        <v>Numeric</v>
      </c>
    </row>
    <row r="139" spans="1:13" x14ac:dyDescent="0.25">
      <c r="A139" s="3">
        <f>RAW_DATA!A139</f>
        <v>6.4</v>
      </c>
      <c r="B139" s="3" t="str">
        <f>RAW_DATA!E139</f>
        <v>virginica</v>
      </c>
      <c r="C139" s="3" t="str">
        <f t="shared" si="12"/>
        <v>LONG</v>
      </c>
      <c r="D139" s="3" t="str" cm="1">
        <f t="array" ref="D139">_xlfn.IFS(A139&lt;5,"Short",A139&lt;6,"Medium",A139&gt;=6,"Long")</f>
        <v>Long</v>
      </c>
      <c r="E139" s="3" t="str">
        <f>IF(AND(RAW_DATA!C139&gt;4,RAW_DATA!D139&gt;1.5),"Large Petals","Not Large")</f>
        <v>Large Petals</v>
      </c>
      <c r="F139" s="3" t="str">
        <f>IF(OR(RAW_DATA!A139&gt;6,RAW_DATA!C139&gt;4),"Large Flower","Normal Flower")</f>
        <v>Large Flower</v>
      </c>
      <c r="G139" s="3" t="str">
        <f t="shared" si="13"/>
        <v>Not Setosa</v>
      </c>
      <c r="H139" s="3" t="str">
        <f t="shared" si="14"/>
        <v>Large</v>
      </c>
      <c r="I139" s="3" t="str">
        <f>CHOOSE(MATCH(B139,{"setosa","versicolor","virginica"},0),"Setosa","Versicolor","Virginica")</f>
        <v>Virginica</v>
      </c>
      <c r="J139" s="3" t="str" cm="1">
        <f t="array" ref="J139">_xlfn.SWITCH(B139,"setosa","Setosa Flower","versicolor","Versicolor Flower","virginica","Virginica Flower","Unknown")</f>
        <v>Virginica Flower</v>
      </c>
      <c r="K139" s="3" t="str">
        <f t="shared" si="15"/>
        <v>Error</v>
      </c>
      <c r="L139" s="3" t="str">
        <f t="shared" si="16"/>
        <v>Available</v>
      </c>
      <c r="M139" s="3" t="str">
        <f t="shared" si="17"/>
        <v>Numeric</v>
      </c>
    </row>
    <row r="140" spans="1:13" x14ac:dyDescent="0.25">
      <c r="A140" s="3">
        <f>RAW_DATA!A140</f>
        <v>6</v>
      </c>
      <c r="B140" s="3" t="str">
        <f>RAW_DATA!E140</f>
        <v>virginica</v>
      </c>
      <c r="C140" s="3" t="str">
        <f t="shared" si="12"/>
        <v>LONG</v>
      </c>
      <c r="D140" s="3" t="str" cm="1">
        <f t="array" ref="D140">_xlfn.IFS(A140&lt;5,"Short",A140&lt;6,"Medium",A140&gt;=6,"Long")</f>
        <v>Long</v>
      </c>
      <c r="E140" s="3" t="str">
        <f>IF(AND(RAW_DATA!C140&gt;4,RAW_DATA!D140&gt;1.5),"Large Petals","Not Large")</f>
        <v>Large Petals</v>
      </c>
      <c r="F140" s="3" t="str">
        <f>IF(OR(RAW_DATA!A140&gt;6,RAW_DATA!C140&gt;4),"Large Flower","Normal Flower")</f>
        <v>Large Flower</v>
      </c>
      <c r="G140" s="3" t="str">
        <f t="shared" si="13"/>
        <v>Not Setosa</v>
      </c>
      <c r="H140" s="3" t="str">
        <f t="shared" si="14"/>
        <v>Large</v>
      </c>
      <c r="I140" s="3" t="str">
        <f>CHOOSE(MATCH(B140,{"setosa","versicolor","virginica"},0),"Setosa","Versicolor","Virginica")</f>
        <v>Virginica</v>
      </c>
      <c r="J140" s="3" t="str" cm="1">
        <f t="array" ref="J140">_xlfn.SWITCH(B140,"setosa","Setosa Flower","versicolor","Versicolor Flower","virginica","Virginica Flower","Unknown")</f>
        <v>Virginica Flower</v>
      </c>
      <c r="K140" s="3" t="str">
        <f t="shared" si="15"/>
        <v>Error</v>
      </c>
      <c r="L140" s="3" t="str">
        <f t="shared" si="16"/>
        <v>Available</v>
      </c>
      <c r="M140" s="3" t="str">
        <f t="shared" si="17"/>
        <v>Numeric</v>
      </c>
    </row>
    <row r="141" spans="1:13" x14ac:dyDescent="0.25">
      <c r="A141" s="3">
        <f>RAW_DATA!A141</f>
        <v>6.9</v>
      </c>
      <c r="B141" s="3" t="str">
        <f>RAW_DATA!E141</f>
        <v>virginica</v>
      </c>
      <c r="C141" s="3" t="str">
        <f t="shared" si="12"/>
        <v>LONG</v>
      </c>
      <c r="D141" s="3" t="str" cm="1">
        <f t="array" ref="D141">_xlfn.IFS(A141&lt;5,"Short",A141&lt;6,"Medium",A141&gt;=6,"Long")</f>
        <v>Long</v>
      </c>
      <c r="E141" s="3" t="str">
        <f>IF(AND(RAW_DATA!C141&gt;4,RAW_DATA!D141&gt;1.5),"Large Petals","Not Large")</f>
        <v>Large Petals</v>
      </c>
      <c r="F141" s="3" t="str">
        <f>IF(OR(RAW_DATA!A141&gt;6,RAW_DATA!C141&gt;4),"Large Flower","Normal Flower")</f>
        <v>Large Flower</v>
      </c>
      <c r="G141" s="3" t="str">
        <f t="shared" si="13"/>
        <v>Not Setosa</v>
      </c>
      <c r="H141" s="3" t="str">
        <f t="shared" si="14"/>
        <v>Large</v>
      </c>
      <c r="I141" s="3" t="str">
        <f>CHOOSE(MATCH(B141,{"setosa","versicolor","virginica"},0),"Setosa","Versicolor","Virginica")</f>
        <v>Virginica</v>
      </c>
      <c r="J141" s="3" t="str" cm="1">
        <f t="array" ref="J141">_xlfn.SWITCH(B141,"setosa","Setosa Flower","versicolor","Versicolor Flower","virginica","Virginica Flower","Unknown")</f>
        <v>Virginica Flower</v>
      </c>
      <c r="K141" s="3" t="str">
        <f t="shared" si="15"/>
        <v>Error</v>
      </c>
      <c r="L141" s="3" t="str">
        <f t="shared" si="16"/>
        <v>Available</v>
      </c>
      <c r="M141" s="3" t="str">
        <f t="shared" si="17"/>
        <v>Numeric</v>
      </c>
    </row>
    <row r="142" spans="1:13" x14ac:dyDescent="0.25">
      <c r="A142" s="3">
        <f>RAW_DATA!A142</f>
        <v>6.7</v>
      </c>
      <c r="B142" s="3" t="str">
        <f>RAW_DATA!E142</f>
        <v>virginica</v>
      </c>
      <c r="C142" s="3" t="str">
        <f t="shared" si="12"/>
        <v>LONG</v>
      </c>
      <c r="D142" s="3" t="str" cm="1">
        <f t="array" ref="D142">_xlfn.IFS(A142&lt;5,"Short",A142&lt;6,"Medium",A142&gt;=6,"Long")</f>
        <v>Long</v>
      </c>
      <c r="E142" s="3" t="str">
        <f>IF(AND(RAW_DATA!C142&gt;4,RAW_DATA!D142&gt;1.5),"Large Petals","Not Large")</f>
        <v>Large Petals</v>
      </c>
      <c r="F142" s="3" t="str">
        <f>IF(OR(RAW_DATA!A142&gt;6,RAW_DATA!C142&gt;4),"Large Flower","Normal Flower")</f>
        <v>Large Flower</v>
      </c>
      <c r="G142" s="3" t="str">
        <f t="shared" si="13"/>
        <v>Not Setosa</v>
      </c>
      <c r="H142" s="3" t="str">
        <f t="shared" si="14"/>
        <v>Large</v>
      </c>
      <c r="I142" s="3" t="str">
        <f>CHOOSE(MATCH(B142,{"setosa","versicolor","virginica"},0),"Setosa","Versicolor","Virginica")</f>
        <v>Virginica</v>
      </c>
      <c r="J142" s="3" t="str" cm="1">
        <f t="array" ref="J142">_xlfn.SWITCH(B142,"setosa","Setosa Flower","versicolor","Versicolor Flower","virginica","Virginica Flower","Unknown")</f>
        <v>Virginica Flower</v>
      </c>
      <c r="K142" s="3" t="str">
        <f t="shared" si="15"/>
        <v>Error</v>
      </c>
      <c r="L142" s="3" t="str">
        <f t="shared" si="16"/>
        <v>Available</v>
      </c>
      <c r="M142" s="3" t="str">
        <f t="shared" si="17"/>
        <v>Numeric</v>
      </c>
    </row>
    <row r="143" spans="1:13" x14ac:dyDescent="0.25">
      <c r="A143" s="3">
        <f>RAW_DATA!A143</f>
        <v>6.9</v>
      </c>
      <c r="B143" s="3" t="str">
        <f>RAW_DATA!E143</f>
        <v>virginica</v>
      </c>
      <c r="C143" s="3" t="str">
        <f t="shared" si="12"/>
        <v>LONG</v>
      </c>
      <c r="D143" s="3" t="str" cm="1">
        <f t="array" ref="D143">_xlfn.IFS(A143&lt;5,"Short",A143&lt;6,"Medium",A143&gt;=6,"Long")</f>
        <v>Long</v>
      </c>
      <c r="E143" s="3" t="str">
        <f>IF(AND(RAW_DATA!C143&gt;4,RAW_DATA!D143&gt;1.5),"Large Petals","Not Large")</f>
        <v>Large Petals</v>
      </c>
      <c r="F143" s="3" t="str">
        <f>IF(OR(RAW_DATA!A143&gt;6,RAW_DATA!C143&gt;4),"Large Flower","Normal Flower")</f>
        <v>Large Flower</v>
      </c>
      <c r="G143" s="3" t="str">
        <f t="shared" si="13"/>
        <v>Not Setosa</v>
      </c>
      <c r="H143" s="3" t="str">
        <f t="shared" si="14"/>
        <v>Large</v>
      </c>
      <c r="I143" s="3" t="str">
        <f>CHOOSE(MATCH(B143,{"setosa","versicolor","virginica"},0),"Setosa","Versicolor","Virginica")</f>
        <v>Virginica</v>
      </c>
      <c r="J143" s="3" t="str" cm="1">
        <f t="array" ref="J143">_xlfn.SWITCH(B143,"setosa","Setosa Flower","versicolor","Versicolor Flower","virginica","Virginica Flower","Unknown")</f>
        <v>Virginica Flower</v>
      </c>
      <c r="K143" s="3" t="str">
        <f t="shared" si="15"/>
        <v>Error</v>
      </c>
      <c r="L143" s="3" t="str">
        <f t="shared" si="16"/>
        <v>Available</v>
      </c>
      <c r="M143" s="3" t="str">
        <f t="shared" si="17"/>
        <v>Numeric</v>
      </c>
    </row>
    <row r="144" spans="1:13" x14ac:dyDescent="0.25">
      <c r="A144" s="3">
        <f>RAW_DATA!A144</f>
        <v>5.8</v>
      </c>
      <c r="B144" s="3" t="str">
        <f>RAW_DATA!E144</f>
        <v>virginica</v>
      </c>
      <c r="C144" s="3" t="str">
        <f t="shared" si="12"/>
        <v>LONG</v>
      </c>
      <c r="D144" s="3" t="str" cm="1">
        <f t="array" ref="D144">_xlfn.IFS(A144&lt;5,"Short",A144&lt;6,"Medium",A144&gt;=6,"Long")</f>
        <v>Medium</v>
      </c>
      <c r="E144" s="3" t="str">
        <f>IF(AND(RAW_DATA!C144&gt;4,RAW_DATA!D144&gt;1.5),"Large Petals","Not Large")</f>
        <v>Large Petals</v>
      </c>
      <c r="F144" s="3" t="str">
        <f>IF(OR(RAW_DATA!A144&gt;6,RAW_DATA!C144&gt;4),"Large Flower","Normal Flower")</f>
        <v>Large Flower</v>
      </c>
      <c r="G144" s="3" t="str">
        <f t="shared" si="13"/>
        <v>Not Setosa</v>
      </c>
      <c r="H144" s="3" t="str">
        <f t="shared" si="14"/>
        <v>Medium</v>
      </c>
      <c r="I144" s="3" t="str">
        <f>CHOOSE(MATCH(B144,{"setosa","versicolor","virginica"},0),"Setosa","Versicolor","Virginica")</f>
        <v>Virginica</v>
      </c>
      <c r="J144" s="3" t="str" cm="1">
        <f t="array" ref="J144">_xlfn.SWITCH(B144,"setosa","Setosa Flower","versicolor","Versicolor Flower","virginica","Virginica Flower","Unknown")</f>
        <v>Virginica Flower</v>
      </c>
      <c r="K144" s="3" t="str">
        <f t="shared" si="15"/>
        <v>Error</v>
      </c>
      <c r="L144" s="3" t="str">
        <f t="shared" si="16"/>
        <v>Available</v>
      </c>
      <c r="M144" s="3" t="str">
        <f t="shared" si="17"/>
        <v>Numeric</v>
      </c>
    </row>
    <row r="145" spans="1:13" x14ac:dyDescent="0.25">
      <c r="A145" s="3">
        <f>RAW_DATA!A145</f>
        <v>6.8</v>
      </c>
      <c r="B145" s="3" t="str">
        <f>RAW_DATA!E145</f>
        <v>virginica</v>
      </c>
      <c r="C145" s="3" t="str">
        <f t="shared" si="12"/>
        <v>LONG</v>
      </c>
      <c r="D145" s="3" t="str" cm="1">
        <f t="array" ref="D145">_xlfn.IFS(A145&lt;5,"Short",A145&lt;6,"Medium",A145&gt;=6,"Long")</f>
        <v>Long</v>
      </c>
      <c r="E145" s="3" t="str">
        <f>IF(AND(RAW_DATA!C145&gt;4,RAW_DATA!D145&gt;1.5),"Large Petals","Not Large")</f>
        <v>Large Petals</v>
      </c>
      <c r="F145" s="3" t="str">
        <f>IF(OR(RAW_DATA!A145&gt;6,RAW_DATA!C145&gt;4),"Large Flower","Normal Flower")</f>
        <v>Large Flower</v>
      </c>
      <c r="G145" s="3" t="str">
        <f t="shared" si="13"/>
        <v>Not Setosa</v>
      </c>
      <c r="H145" s="3" t="str">
        <f t="shared" si="14"/>
        <v>Large</v>
      </c>
      <c r="I145" s="3" t="str">
        <f>CHOOSE(MATCH(B145,{"setosa","versicolor","virginica"},0),"Setosa","Versicolor","Virginica")</f>
        <v>Virginica</v>
      </c>
      <c r="J145" s="3" t="str" cm="1">
        <f t="array" ref="J145">_xlfn.SWITCH(B145,"setosa","Setosa Flower","versicolor","Versicolor Flower","virginica","Virginica Flower","Unknown")</f>
        <v>Virginica Flower</v>
      </c>
      <c r="K145" s="3" t="str">
        <f t="shared" si="15"/>
        <v>Error</v>
      </c>
      <c r="L145" s="3" t="str">
        <f t="shared" si="16"/>
        <v>Available</v>
      </c>
      <c r="M145" s="3" t="str">
        <f t="shared" si="17"/>
        <v>Numeric</v>
      </c>
    </row>
    <row r="146" spans="1:13" x14ac:dyDescent="0.25">
      <c r="A146" s="3">
        <f>RAW_DATA!A146</f>
        <v>6.7</v>
      </c>
      <c r="B146" s="3" t="str">
        <f>RAW_DATA!E146</f>
        <v>virginica</v>
      </c>
      <c r="C146" s="3" t="str">
        <f t="shared" si="12"/>
        <v>LONG</v>
      </c>
      <c r="D146" s="3" t="str" cm="1">
        <f t="array" ref="D146">_xlfn.IFS(A146&lt;5,"Short",A146&lt;6,"Medium",A146&gt;=6,"Long")</f>
        <v>Long</v>
      </c>
      <c r="E146" s="3" t="str">
        <f>IF(AND(RAW_DATA!C146&gt;4,RAW_DATA!D146&gt;1.5),"Large Petals","Not Large")</f>
        <v>Large Petals</v>
      </c>
      <c r="F146" s="3" t="str">
        <f>IF(OR(RAW_DATA!A146&gt;6,RAW_DATA!C146&gt;4),"Large Flower","Normal Flower")</f>
        <v>Large Flower</v>
      </c>
      <c r="G146" s="3" t="str">
        <f t="shared" si="13"/>
        <v>Not Setosa</v>
      </c>
      <c r="H146" s="3" t="str">
        <f t="shared" si="14"/>
        <v>Large</v>
      </c>
      <c r="I146" s="3" t="str">
        <f>CHOOSE(MATCH(B146,{"setosa","versicolor","virginica"},0),"Setosa","Versicolor","Virginica")</f>
        <v>Virginica</v>
      </c>
      <c r="J146" s="3" t="str" cm="1">
        <f t="array" ref="J146">_xlfn.SWITCH(B146,"setosa","Setosa Flower","versicolor","Versicolor Flower","virginica","Virginica Flower","Unknown")</f>
        <v>Virginica Flower</v>
      </c>
      <c r="K146" s="3" t="str">
        <f t="shared" si="15"/>
        <v>Error</v>
      </c>
      <c r="L146" s="3" t="str">
        <f t="shared" si="16"/>
        <v>Available</v>
      </c>
      <c r="M146" s="3" t="str">
        <f t="shared" si="17"/>
        <v>Numeric</v>
      </c>
    </row>
    <row r="147" spans="1:13" x14ac:dyDescent="0.25">
      <c r="A147" s="3">
        <f>RAW_DATA!A147</f>
        <v>6.7</v>
      </c>
      <c r="B147" s="3" t="str">
        <f>RAW_DATA!E147</f>
        <v>virginica</v>
      </c>
      <c r="C147" s="3" t="str">
        <f t="shared" si="12"/>
        <v>LONG</v>
      </c>
      <c r="D147" s="3" t="str" cm="1">
        <f t="array" ref="D147">_xlfn.IFS(A147&lt;5,"Short",A147&lt;6,"Medium",A147&gt;=6,"Long")</f>
        <v>Long</v>
      </c>
      <c r="E147" s="3" t="str">
        <f>IF(AND(RAW_DATA!C147&gt;4,RAW_DATA!D147&gt;1.5),"Large Petals","Not Large")</f>
        <v>Large Petals</v>
      </c>
      <c r="F147" s="3" t="str">
        <f>IF(OR(RAW_DATA!A147&gt;6,RAW_DATA!C147&gt;4),"Large Flower","Normal Flower")</f>
        <v>Large Flower</v>
      </c>
      <c r="G147" s="3" t="str">
        <f t="shared" si="13"/>
        <v>Not Setosa</v>
      </c>
      <c r="H147" s="3" t="str">
        <f t="shared" si="14"/>
        <v>Large</v>
      </c>
      <c r="I147" s="3" t="str">
        <f>CHOOSE(MATCH(B147,{"setosa","versicolor","virginica"},0),"Setosa","Versicolor","Virginica")</f>
        <v>Virginica</v>
      </c>
      <c r="J147" s="3" t="str" cm="1">
        <f t="array" ref="J147">_xlfn.SWITCH(B147,"setosa","Setosa Flower","versicolor","Versicolor Flower","virginica","Virginica Flower","Unknown")</f>
        <v>Virginica Flower</v>
      </c>
      <c r="K147" s="3" t="str">
        <f t="shared" si="15"/>
        <v>Error</v>
      </c>
      <c r="L147" s="3" t="str">
        <f t="shared" si="16"/>
        <v>Available</v>
      </c>
      <c r="M147" s="3" t="str">
        <f t="shared" si="17"/>
        <v>Numeric</v>
      </c>
    </row>
    <row r="148" spans="1:13" x14ac:dyDescent="0.25">
      <c r="A148" s="3">
        <f>RAW_DATA!A148</f>
        <v>6.3</v>
      </c>
      <c r="B148" s="3" t="str">
        <f>RAW_DATA!E148</f>
        <v>virginica</v>
      </c>
      <c r="C148" s="3" t="str">
        <f t="shared" si="12"/>
        <v>LONG</v>
      </c>
      <c r="D148" s="3" t="str" cm="1">
        <f t="array" ref="D148">_xlfn.IFS(A148&lt;5,"Short",A148&lt;6,"Medium",A148&gt;=6,"Long")</f>
        <v>Long</v>
      </c>
      <c r="E148" s="3" t="str">
        <f>IF(AND(RAW_DATA!C148&gt;4,RAW_DATA!D148&gt;1.5),"Large Petals","Not Large")</f>
        <v>Large Petals</v>
      </c>
      <c r="F148" s="3" t="str">
        <f>IF(OR(RAW_DATA!A148&gt;6,RAW_DATA!C148&gt;4),"Large Flower","Normal Flower")</f>
        <v>Large Flower</v>
      </c>
      <c r="G148" s="3" t="str">
        <f t="shared" si="13"/>
        <v>Not Setosa</v>
      </c>
      <c r="H148" s="3" t="str">
        <f t="shared" si="14"/>
        <v>Large</v>
      </c>
      <c r="I148" s="3" t="str">
        <f>CHOOSE(MATCH(B148,{"setosa","versicolor","virginica"},0),"Setosa","Versicolor","Virginica")</f>
        <v>Virginica</v>
      </c>
      <c r="J148" s="3" t="str" cm="1">
        <f t="array" ref="J148">_xlfn.SWITCH(B148,"setosa","Setosa Flower","versicolor","Versicolor Flower","virginica","Virginica Flower","Unknown")</f>
        <v>Virginica Flower</v>
      </c>
      <c r="K148" s="3" t="str">
        <f t="shared" si="15"/>
        <v>Error</v>
      </c>
      <c r="L148" s="3" t="str">
        <f t="shared" si="16"/>
        <v>Available</v>
      </c>
      <c r="M148" s="3" t="str">
        <f t="shared" si="17"/>
        <v>Numeric</v>
      </c>
    </row>
    <row r="149" spans="1:13" x14ac:dyDescent="0.25">
      <c r="A149" s="3">
        <f>RAW_DATA!A149</f>
        <v>6.5</v>
      </c>
      <c r="B149" s="3" t="str">
        <f>RAW_DATA!E149</f>
        <v>virginica</v>
      </c>
      <c r="C149" s="3" t="str">
        <f t="shared" si="12"/>
        <v>LONG</v>
      </c>
      <c r="D149" s="3" t="str" cm="1">
        <f t="array" ref="D149">_xlfn.IFS(A149&lt;5,"Short",A149&lt;6,"Medium",A149&gt;=6,"Long")</f>
        <v>Long</v>
      </c>
      <c r="E149" s="3" t="str">
        <f>IF(AND(RAW_DATA!C149&gt;4,RAW_DATA!D149&gt;1.5),"Large Petals","Not Large")</f>
        <v>Large Petals</v>
      </c>
      <c r="F149" s="3" t="str">
        <f>IF(OR(RAW_DATA!A149&gt;6,RAW_DATA!C149&gt;4),"Large Flower","Normal Flower")</f>
        <v>Large Flower</v>
      </c>
      <c r="G149" s="3" t="str">
        <f t="shared" si="13"/>
        <v>Not Setosa</v>
      </c>
      <c r="H149" s="3" t="str">
        <f t="shared" si="14"/>
        <v>Large</v>
      </c>
      <c r="I149" s="3" t="str">
        <f>CHOOSE(MATCH(B149,{"setosa","versicolor","virginica"},0),"Setosa","Versicolor","Virginica")</f>
        <v>Virginica</v>
      </c>
      <c r="J149" s="3" t="str" cm="1">
        <f t="array" ref="J149">_xlfn.SWITCH(B149,"setosa","Setosa Flower","versicolor","Versicolor Flower","virginica","Virginica Flower","Unknown")</f>
        <v>Virginica Flower</v>
      </c>
      <c r="K149" s="3" t="str">
        <f t="shared" si="15"/>
        <v>Error</v>
      </c>
      <c r="L149" s="3" t="str">
        <f t="shared" si="16"/>
        <v>Available</v>
      </c>
      <c r="M149" s="3" t="str">
        <f t="shared" si="17"/>
        <v>Numeric</v>
      </c>
    </row>
    <row r="150" spans="1:13" x14ac:dyDescent="0.25">
      <c r="A150" s="3">
        <f>RAW_DATA!A150</f>
        <v>6.2</v>
      </c>
      <c r="B150" s="3" t="str">
        <f>RAW_DATA!E150</f>
        <v>virginica</v>
      </c>
      <c r="C150" s="3" t="str">
        <f t="shared" si="12"/>
        <v>LONG</v>
      </c>
      <c r="D150" s="3" t="str" cm="1">
        <f t="array" ref="D150">_xlfn.IFS(A150&lt;5,"Short",A150&lt;6,"Medium",A150&gt;=6,"Long")</f>
        <v>Long</v>
      </c>
      <c r="E150" s="3" t="str">
        <f>IF(AND(RAW_DATA!C150&gt;4,RAW_DATA!D150&gt;1.5),"Large Petals","Not Large")</f>
        <v>Large Petals</v>
      </c>
      <c r="F150" s="3" t="str">
        <f>IF(OR(RAW_DATA!A150&gt;6,RAW_DATA!C150&gt;4),"Large Flower","Normal Flower")</f>
        <v>Large Flower</v>
      </c>
      <c r="G150" s="3" t="str">
        <f t="shared" si="13"/>
        <v>Not Setosa</v>
      </c>
      <c r="H150" s="3" t="str">
        <f t="shared" si="14"/>
        <v>Large</v>
      </c>
      <c r="I150" s="3" t="str">
        <f>CHOOSE(MATCH(B150,{"setosa","versicolor","virginica"},0),"Setosa","Versicolor","Virginica")</f>
        <v>Virginica</v>
      </c>
      <c r="J150" s="3" t="str" cm="1">
        <f t="array" ref="J150">_xlfn.SWITCH(B150,"setosa","Setosa Flower","versicolor","Versicolor Flower","virginica","Virginica Flower","Unknown")</f>
        <v>Virginica Flower</v>
      </c>
      <c r="K150" s="3" t="str">
        <f t="shared" si="15"/>
        <v>Error</v>
      </c>
      <c r="L150" s="3" t="str">
        <f t="shared" si="16"/>
        <v>Available</v>
      </c>
      <c r="M150" s="3" t="str">
        <f t="shared" si="17"/>
        <v>Numeric</v>
      </c>
    </row>
    <row r="151" spans="1:13" x14ac:dyDescent="0.25">
      <c r="A151" s="3">
        <f>RAW_DATA!A151</f>
        <v>5.9</v>
      </c>
      <c r="B151" s="3" t="str">
        <f>RAW_DATA!E151</f>
        <v>virginica</v>
      </c>
      <c r="C151" s="3" t="str">
        <f t="shared" si="12"/>
        <v>LONG</v>
      </c>
      <c r="D151" s="3" t="str" cm="1">
        <f t="array" ref="D151">_xlfn.IFS(A151&lt;5,"Short",A151&lt;6,"Medium",A151&gt;=6,"Long")</f>
        <v>Medium</v>
      </c>
      <c r="E151" s="3" t="str">
        <f>IF(AND(RAW_DATA!C151&gt;4,RAW_DATA!D151&gt;1.5),"Large Petals","Not Large")</f>
        <v>Large Petals</v>
      </c>
      <c r="F151" s="3" t="str">
        <f>IF(OR(RAW_DATA!A151&gt;6,RAW_DATA!C151&gt;4),"Large Flower","Normal Flower")</f>
        <v>Large Flower</v>
      </c>
      <c r="G151" s="3" t="str">
        <f t="shared" si="13"/>
        <v>Not Setosa</v>
      </c>
      <c r="H151" s="3" t="str">
        <f t="shared" si="14"/>
        <v>Medium</v>
      </c>
      <c r="I151" s="3" t="str">
        <f>CHOOSE(MATCH(B151,{"setosa","versicolor","virginica"},0),"Setosa","Versicolor","Virginica")</f>
        <v>Virginica</v>
      </c>
      <c r="J151" s="3" t="str" cm="1">
        <f t="array" ref="J151">_xlfn.SWITCH(B151,"setosa","Setosa Flower","versicolor","Versicolor Flower","virginica","Virginica Flower","Unknown")</f>
        <v>Virginica Flower</v>
      </c>
      <c r="K151" s="3" t="str">
        <f t="shared" si="15"/>
        <v>Error</v>
      </c>
      <c r="L151" s="3" t="str">
        <f t="shared" si="16"/>
        <v>Available</v>
      </c>
      <c r="M151" s="3" t="str">
        <f t="shared" si="17"/>
        <v>Numeric</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BC71C-CDF1-4FC8-9B38-C920D788C03A}">
  <dimension ref="A1:L14"/>
  <sheetViews>
    <sheetView workbookViewId="0">
      <selection sqref="A1:A4"/>
    </sheetView>
  </sheetViews>
  <sheetFormatPr defaultRowHeight="15" x14ac:dyDescent="0.25"/>
  <cols>
    <col min="4" max="4" width="21" bestFit="1" customWidth="1"/>
  </cols>
  <sheetData>
    <row r="1" spans="1:12" x14ac:dyDescent="0.25">
      <c r="A1" s="2" t="s">
        <v>19</v>
      </c>
      <c r="B1" s="2" t="s">
        <v>20</v>
      </c>
      <c r="D1" s="3" t="s">
        <v>21</v>
      </c>
      <c r="E1" s="3" t="s">
        <v>22</v>
      </c>
      <c r="F1" s="3" t="s">
        <v>23</v>
      </c>
      <c r="G1" s="3" t="s">
        <v>24</v>
      </c>
      <c r="H1" s="3" t="s">
        <v>25</v>
      </c>
      <c r="I1" s="3"/>
      <c r="J1" s="3" t="s">
        <v>5</v>
      </c>
      <c r="K1" s="3" t="s">
        <v>6</v>
      </c>
      <c r="L1" s="3" t="s">
        <v>7</v>
      </c>
    </row>
    <row r="2" spans="1:12" x14ac:dyDescent="0.25">
      <c r="A2" s="3" t="s">
        <v>5</v>
      </c>
      <c r="B2" s="3">
        <v>1</v>
      </c>
      <c r="D2" s="3" t="s">
        <v>5</v>
      </c>
      <c r="E2" s="3">
        <f>VLOOKUP(D2,$A$2:$B$4,2,FALSE)</f>
        <v>1</v>
      </c>
      <c r="F2" s="3">
        <f>_xlfn.XLOOKUP(D2,$A$2:$A$4,$B$2:$B$4,"Not Found")</f>
        <v>1</v>
      </c>
      <c r="G2" s="3">
        <f>INDEX($B$2:$B$4,MATCH(D2,$A$2:$A$4,0))</f>
        <v>1</v>
      </c>
      <c r="H2" s="3">
        <f>HLOOKUP(D2,$J$1:$L$2,2,FALSE)</f>
        <v>1</v>
      </c>
      <c r="I2" s="3"/>
      <c r="J2" s="3">
        <v>1</v>
      </c>
      <c r="K2" s="3">
        <v>2</v>
      </c>
      <c r="L2" s="3">
        <v>3</v>
      </c>
    </row>
    <row r="3" spans="1:12" x14ac:dyDescent="0.25">
      <c r="A3" s="3" t="s">
        <v>6</v>
      </c>
      <c r="B3" s="3">
        <v>2</v>
      </c>
    </row>
    <row r="4" spans="1:12" x14ac:dyDescent="0.25">
      <c r="A4" s="3" t="s">
        <v>7</v>
      </c>
      <c r="B4" s="3">
        <v>3</v>
      </c>
    </row>
    <row r="5" spans="1:12" x14ac:dyDescent="0.25">
      <c r="D5" s="3" t="s">
        <v>26</v>
      </c>
      <c r="E5" s="3">
        <f>MAX(RAW_DATA!C2:C151)</f>
        <v>6.9</v>
      </c>
    </row>
    <row r="6" spans="1:12" x14ac:dyDescent="0.25">
      <c r="D6" s="3" t="s">
        <v>27</v>
      </c>
      <c r="E6" s="3">
        <f>MIN(RAW_DATA!C2:C151)</f>
        <v>1</v>
      </c>
    </row>
    <row r="7" spans="1:12" x14ac:dyDescent="0.25">
      <c r="D7" s="3" t="s">
        <v>28</v>
      </c>
      <c r="E7" s="3" t="str">
        <f>_xlfn.XLOOKUP(MAX(RAW_DATA!C2:C151),RAW_DATA!C2:C151,RAW_DATA!E2:E151)</f>
        <v>virginica</v>
      </c>
    </row>
    <row r="8" spans="1:12" x14ac:dyDescent="0.25">
      <c r="D8" s="3" t="s">
        <v>29</v>
      </c>
      <c r="E8" s="3" t="str">
        <f>_xlfn.XLOOKUP(MIN(RAW_DATA!C2:C151),RAW_DATA!C2:C151,RAW_DATA!E2:E151)</f>
        <v>setosa</v>
      </c>
    </row>
    <row r="12" spans="1:12" x14ac:dyDescent="0.25">
      <c r="D12" s="3" t="s">
        <v>30</v>
      </c>
      <c r="E12" s="3" cm="1">
        <f t="array" aca="1" ref="E12" ca="1">INDIRECT("A"&amp;ROW())</f>
        <v>0</v>
      </c>
    </row>
    <row r="13" spans="1:12" x14ac:dyDescent="0.25">
      <c r="D13" s="3" t="s">
        <v>31</v>
      </c>
      <c r="E13" s="3">
        <f ca="1">OFFSET(RAW_DATA!A2,0,2)</f>
        <v>1.4</v>
      </c>
    </row>
    <row r="14" spans="1:12" x14ac:dyDescent="0.25">
      <c r="D14" s="3" t="s">
        <v>32</v>
      </c>
      <c r="E14" s="3" t="str" cm="1">
        <f t="array" aca="1" ref="E14" ca="1">INDIRECT("Raw_Data!E"&amp;ROW())</f>
        <v>setosa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88268-AE42-429A-BD54-035FE7077015}">
  <dimension ref="A1:U158"/>
  <sheetViews>
    <sheetView topLeftCell="D1" workbookViewId="0">
      <selection activeCell="K3" sqref="K3"/>
    </sheetView>
  </sheetViews>
  <sheetFormatPr defaultRowHeight="15" x14ac:dyDescent="0.25"/>
  <cols>
    <col min="1" max="1" width="20.140625" bestFit="1" customWidth="1"/>
    <col min="3" max="3" width="14.28515625" bestFit="1" customWidth="1"/>
    <col min="5" max="5" width="12.7109375" bestFit="1" customWidth="1"/>
    <col min="9" max="9" width="24.28515625" bestFit="1" customWidth="1"/>
  </cols>
  <sheetData>
    <row r="1" spans="1:21" x14ac:dyDescent="0.25">
      <c r="A1" s="1" t="s">
        <v>33</v>
      </c>
    </row>
    <row r="3" spans="1:21" x14ac:dyDescent="0.25">
      <c r="A3" s="2" t="s">
        <v>34</v>
      </c>
      <c r="C3" s="1" t="s">
        <v>36</v>
      </c>
      <c r="E3" s="1" t="s">
        <v>37</v>
      </c>
      <c r="I3" cm="1">
        <f t="array" ref="I3:M3">TRANSPOSE(RAW_DATA!A2:A6)</f>
        <v>5.0999999999999996</v>
      </c>
      <c r="J3">
        <v>4.9000000000000004</v>
      </c>
      <c r="K3">
        <v>4.7</v>
      </c>
      <c r="L3">
        <v>4.5999999999999996</v>
      </c>
      <c r="M3">
        <v>5</v>
      </c>
    </row>
    <row r="4" spans="1:21" x14ac:dyDescent="0.25">
      <c r="A4" s="3" t="str" cm="1">
        <f t="array" ref="A4:A6">_xlfn.UNIQUE(RAW_DATA!E2:E151)</f>
        <v>setosa</v>
      </c>
      <c r="E4" cm="1">
        <f t="array" ref="E4:I45">_xlfn._xlws.FILTER(RAW_DATA!A2:E151,RAW_DATA!C2:C151&gt;5)</f>
        <v>6</v>
      </c>
      <c r="F4">
        <v>2.7</v>
      </c>
      <c r="G4">
        <v>5.0999999999999996</v>
      </c>
      <c r="H4">
        <v>1.6</v>
      </c>
      <c r="I4" t="str">
        <v>versicolor</v>
      </c>
      <c r="R4" s="1" t="s">
        <v>38</v>
      </c>
    </row>
    <row r="5" spans="1:21" x14ac:dyDescent="0.25">
      <c r="A5" s="3" t="str">
        <v>versicolor</v>
      </c>
      <c r="E5">
        <v>6.3</v>
      </c>
      <c r="F5">
        <v>3.3</v>
      </c>
      <c r="G5">
        <v>6</v>
      </c>
      <c r="H5">
        <v>2.5</v>
      </c>
      <c r="I5" t="str">
        <v>virginica</v>
      </c>
      <c r="L5" t="e" cm="1">
        <f t="array" ref="L5:P54">_xlfn._xlws.FILTER([1]I4RAW_DATA!A2:E151,RAW_DATA!E2:E151="setosa")</f>
        <v>#REF!</v>
      </c>
      <c r="M5" t="e">
        <v>#REF!</v>
      </c>
      <c r="N5" t="e">
        <v>#REF!</v>
      </c>
      <c r="O5" t="e">
        <v>#REF!</v>
      </c>
      <c r="P5" t="e">
        <v>#REF!</v>
      </c>
      <c r="R5" cm="1">
        <f t="array" ref="R5:R154">_xlfn.SEQUENCE(150)</f>
        <v>1</v>
      </c>
      <c r="T5" s="1" t="s">
        <v>39</v>
      </c>
    </row>
    <row r="6" spans="1:21" x14ac:dyDescent="0.25">
      <c r="A6" s="3" t="str">
        <v>virginica</v>
      </c>
      <c r="E6">
        <v>5.8</v>
      </c>
      <c r="F6">
        <v>2.7</v>
      </c>
      <c r="G6">
        <v>5.0999999999999996</v>
      </c>
      <c r="H6">
        <v>1.9</v>
      </c>
      <c r="I6" t="str">
        <v>virginica</v>
      </c>
      <c r="L6" t="e">
        <v>#REF!</v>
      </c>
      <c r="M6" t="e">
        <v>#REF!</v>
      </c>
      <c r="N6" t="e">
        <v>#REF!</v>
      </c>
      <c r="O6" t="e">
        <v>#REF!</v>
      </c>
      <c r="P6" t="e">
        <v>#REF!</v>
      </c>
      <c r="R6">
        <v>2</v>
      </c>
      <c r="T6" s="3" t="s">
        <v>42</v>
      </c>
      <c r="U6" s="3" cm="1">
        <f t="array" ref="U6">SUMPRODUCT(--(RAW_DATA!E2:E151="setosa"))</f>
        <v>50</v>
      </c>
    </row>
    <row r="7" spans="1:21" x14ac:dyDescent="0.25">
      <c r="E7">
        <v>7.1</v>
      </c>
      <c r="F7">
        <v>3</v>
      </c>
      <c r="G7">
        <v>5.9</v>
      </c>
      <c r="H7">
        <v>2.1</v>
      </c>
      <c r="I7" t="str">
        <v>virginica</v>
      </c>
      <c r="L7" t="e">
        <v>#REF!</v>
      </c>
      <c r="M7" t="e">
        <v>#REF!</v>
      </c>
      <c r="N7" t="e">
        <v>#REF!</v>
      </c>
      <c r="O7" t="e">
        <v>#REF!</v>
      </c>
      <c r="P7" t="e">
        <v>#REF!</v>
      </c>
      <c r="R7">
        <v>3</v>
      </c>
      <c r="T7" s="3" t="s">
        <v>40</v>
      </c>
      <c r="U7" s="3" cm="1">
        <f t="array" ref="U7">SUMPRODUCT((RAW_DATA!E2:E151="setosa")*RAW_DATA!C2:C151)</f>
        <v>73.2</v>
      </c>
    </row>
    <row r="8" spans="1:21" x14ac:dyDescent="0.25">
      <c r="A8" s="1" t="s">
        <v>35</v>
      </c>
      <c r="E8">
        <v>6.3</v>
      </c>
      <c r="F8">
        <v>2.9</v>
      </c>
      <c r="G8">
        <v>5.6</v>
      </c>
      <c r="H8">
        <v>1.8</v>
      </c>
      <c r="I8" t="str">
        <v>virginica</v>
      </c>
      <c r="L8" t="e">
        <v>#REF!</v>
      </c>
      <c r="M8" t="e">
        <v>#REF!</v>
      </c>
      <c r="N8" t="e">
        <v>#REF!</v>
      </c>
      <c r="O8" t="e">
        <v>#REF!</v>
      </c>
      <c r="P8" t="e">
        <v>#REF!</v>
      </c>
      <c r="R8">
        <v>4</v>
      </c>
      <c r="T8" s="3" t="s">
        <v>41</v>
      </c>
      <c r="U8" s="3" cm="1">
        <f t="array" ref="U8">SUMPRODUCT((RAW_DATA!E2:E151="setosa")*RAW_DATA!C2:C151)</f>
        <v>73.2</v>
      </c>
    </row>
    <row r="9" spans="1:21" x14ac:dyDescent="0.25">
      <c r="A9" cm="1">
        <f t="array" ref="A9:A158">_xlfn._xlws.SORT(RAW_DATA!A2:A151)</f>
        <v>4.3</v>
      </c>
      <c r="E9">
        <v>6.5</v>
      </c>
      <c r="F9">
        <v>3</v>
      </c>
      <c r="G9">
        <v>5.8</v>
      </c>
      <c r="H9">
        <v>2.2000000000000002</v>
      </c>
      <c r="I9" t="str">
        <v>virginica</v>
      </c>
      <c r="L9" t="e">
        <v>#REF!</v>
      </c>
      <c r="M9" t="e">
        <v>#REF!</v>
      </c>
      <c r="N9" t="e">
        <v>#REF!</v>
      </c>
      <c r="O9" t="e">
        <v>#REF!</v>
      </c>
      <c r="P9" t="e">
        <v>#REF!</v>
      </c>
      <c r="R9">
        <v>5</v>
      </c>
    </row>
    <row r="10" spans="1:21" x14ac:dyDescent="0.25">
      <c r="A10">
        <v>4.4000000000000004</v>
      </c>
      <c r="E10">
        <v>7.6</v>
      </c>
      <c r="F10">
        <v>3</v>
      </c>
      <c r="G10">
        <v>6.6</v>
      </c>
      <c r="H10">
        <v>2.1</v>
      </c>
      <c r="I10" t="str">
        <v>virginica</v>
      </c>
      <c r="L10" t="e">
        <v>#REF!</v>
      </c>
      <c r="M10" t="e">
        <v>#REF!</v>
      </c>
      <c r="N10" t="e">
        <v>#REF!</v>
      </c>
      <c r="O10" t="e">
        <v>#REF!</v>
      </c>
      <c r="P10" t="e">
        <v>#REF!</v>
      </c>
      <c r="R10">
        <v>6</v>
      </c>
    </row>
    <row r="11" spans="1:21" x14ac:dyDescent="0.25">
      <c r="A11">
        <v>4.4000000000000004</v>
      </c>
      <c r="E11">
        <v>7.3</v>
      </c>
      <c r="F11">
        <v>2.9</v>
      </c>
      <c r="G11">
        <v>6.3</v>
      </c>
      <c r="H11">
        <v>1.8</v>
      </c>
      <c r="I11" t="str">
        <v>virginica</v>
      </c>
      <c r="L11" t="e">
        <v>#REF!</v>
      </c>
      <c r="M11" t="e">
        <v>#REF!</v>
      </c>
      <c r="N11" t="e">
        <v>#REF!</v>
      </c>
      <c r="O11" t="e">
        <v>#REF!</v>
      </c>
      <c r="P11" t="e">
        <v>#REF!</v>
      </c>
      <c r="R11">
        <v>7</v>
      </c>
    </row>
    <row r="12" spans="1:21" x14ac:dyDescent="0.25">
      <c r="A12">
        <v>4.4000000000000004</v>
      </c>
      <c r="E12">
        <v>6.7</v>
      </c>
      <c r="F12">
        <v>2.5</v>
      </c>
      <c r="G12">
        <v>5.8</v>
      </c>
      <c r="H12">
        <v>1.8</v>
      </c>
      <c r="I12" t="str">
        <v>virginica</v>
      </c>
      <c r="L12" t="e">
        <v>#REF!</v>
      </c>
      <c r="M12" t="e">
        <v>#REF!</v>
      </c>
      <c r="N12" t="e">
        <v>#REF!</v>
      </c>
      <c r="O12" t="e">
        <v>#REF!</v>
      </c>
      <c r="P12" t="e">
        <v>#REF!</v>
      </c>
      <c r="R12">
        <v>8</v>
      </c>
    </row>
    <row r="13" spans="1:21" x14ac:dyDescent="0.25">
      <c r="A13">
        <v>4.5</v>
      </c>
      <c r="E13">
        <v>7.2</v>
      </c>
      <c r="F13">
        <v>3.6</v>
      </c>
      <c r="G13">
        <v>6.1</v>
      </c>
      <c r="H13">
        <v>2.5</v>
      </c>
      <c r="I13" t="str">
        <v>virginica</v>
      </c>
      <c r="L13" t="e">
        <v>#REF!</v>
      </c>
      <c r="M13" t="e">
        <v>#REF!</v>
      </c>
      <c r="N13" t="e">
        <v>#REF!</v>
      </c>
      <c r="O13" t="e">
        <v>#REF!</v>
      </c>
      <c r="P13" t="e">
        <v>#REF!</v>
      </c>
      <c r="R13">
        <v>9</v>
      </c>
    </row>
    <row r="14" spans="1:21" x14ac:dyDescent="0.25">
      <c r="A14">
        <v>4.5999999999999996</v>
      </c>
      <c r="E14">
        <v>6.5</v>
      </c>
      <c r="F14">
        <v>3.2</v>
      </c>
      <c r="G14">
        <v>5.0999999999999996</v>
      </c>
      <c r="H14">
        <v>2</v>
      </c>
      <c r="I14" t="str">
        <v>virginica</v>
      </c>
      <c r="L14" t="e">
        <v>#REF!</v>
      </c>
      <c r="M14" t="e">
        <v>#REF!</v>
      </c>
      <c r="N14" t="e">
        <v>#REF!</v>
      </c>
      <c r="O14" t="e">
        <v>#REF!</v>
      </c>
      <c r="P14" t="e">
        <v>#REF!</v>
      </c>
      <c r="R14">
        <v>10</v>
      </c>
    </row>
    <row r="15" spans="1:21" x14ac:dyDescent="0.25">
      <c r="A15">
        <v>4.5999999999999996</v>
      </c>
      <c r="E15">
        <v>6.4</v>
      </c>
      <c r="F15">
        <v>2.7</v>
      </c>
      <c r="G15">
        <v>5.3</v>
      </c>
      <c r="H15">
        <v>1.9</v>
      </c>
      <c r="I15" t="str">
        <v>virginica</v>
      </c>
      <c r="L15" t="e">
        <v>#REF!</v>
      </c>
      <c r="M15" t="e">
        <v>#REF!</v>
      </c>
      <c r="N15" t="e">
        <v>#REF!</v>
      </c>
      <c r="O15" t="e">
        <v>#REF!</v>
      </c>
      <c r="P15" t="e">
        <v>#REF!</v>
      </c>
      <c r="R15">
        <v>11</v>
      </c>
    </row>
    <row r="16" spans="1:21" x14ac:dyDescent="0.25">
      <c r="A16">
        <v>4.5999999999999996</v>
      </c>
      <c r="E16">
        <v>6.8</v>
      </c>
      <c r="F16">
        <v>3</v>
      </c>
      <c r="G16">
        <v>5.5</v>
      </c>
      <c r="H16">
        <v>2.1</v>
      </c>
      <c r="I16" t="str">
        <v>virginica</v>
      </c>
      <c r="L16" t="e">
        <v>#REF!</v>
      </c>
      <c r="M16" t="e">
        <v>#REF!</v>
      </c>
      <c r="N16" t="e">
        <v>#REF!</v>
      </c>
      <c r="O16" t="e">
        <v>#REF!</v>
      </c>
      <c r="P16" t="e">
        <v>#REF!</v>
      </c>
      <c r="R16">
        <v>12</v>
      </c>
    </row>
    <row r="17" spans="1:18" x14ac:dyDescent="0.25">
      <c r="A17">
        <v>4.5999999999999996</v>
      </c>
      <c r="E17">
        <v>5.8</v>
      </c>
      <c r="F17">
        <v>2.8</v>
      </c>
      <c r="G17">
        <v>5.0999999999999996</v>
      </c>
      <c r="H17">
        <v>2.4</v>
      </c>
      <c r="I17" t="str">
        <v>virginica</v>
      </c>
      <c r="L17" t="e">
        <v>#REF!</v>
      </c>
      <c r="M17" t="e">
        <v>#REF!</v>
      </c>
      <c r="N17" t="e">
        <v>#REF!</v>
      </c>
      <c r="O17" t="e">
        <v>#REF!</v>
      </c>
      <c r="P17" t="e">
        <v>#REF!</v>
      </c>
      <c r="R17">
        <v>13</v>
      </c>
    </row>
    <row r="18" spans="1:18" x14ac:dyDescent="0.25">
      <c r="A18">
        <v>4.7</v>
      </c>
      <c r="E18">
        <v>6.4</v>
      </c>
      <c r="F18">
        <v>3.2</v>
      </c>
      <c r="G18">
        <v>5.3</v>
      </c>
      <c r="H18">
        <v>2.2999999999999998</v>
      </c>
      <c r="I18" t="str">
        <v>virginica</v>
      </c>
      <c r="L18" t="e">
        <v>#REF!</v>
      </c>
      <c r="M18" t="e">
        <v>#REF!</v>
      </c>
      <c r="N18" t="e">
        <v>#REF!</v>
      </c>
      <c r="O18" t="e">
        <v>#REF!</v>
      </c>
      <c r="P18" t="e">
        <v>#REF!</v>
      </c>
      <c r="R18">
        <v>14</v>
      </c>
    </row>
    <row r="19" spans="1:18" x14ac:dyDescent="0.25">
      <c r="A19">
        <v>4.7</v>
      </c>
      <c r="E19">
        <v>6.5</v>
      </c>
      <c r="F19">
        <v>3</v>
      </c>
      <c r="G19">
        <v>5.5</v>
      </c>
      <c r="H19">
        <v>1.8</v>
      </c>
      <c r="I19" t="str">
        <v>virginica</v>
      </c>
      <c r="L19" t="e">
        <v>#REF!</v>
      </c>
      <c r="M19" t="e">
        <v>#REF!</v>
      </c>
      <c r="N19" t="e">
        <v>#REF!</v>
      </c>
      <c r="O19" t="e">
        <v>#REF!</v>
      </c>
      <c r="P19" t="e">
        <v>#REF!</v>
      </c>
      <c r="R19">
        <v>15</v>
      </c>
    </row>
    <row r="20" spans="1:18" x14ac:dyDescent="0.25">
      <c r="A20">
        <v>4.8</v>
      </c>
      <c r="E20">
        <v>7.7</v>
      </c>
      <c r="F20">
        <v>3.8</v>
      </c>
      <c r="G20">
        <v>6.7</v>
      </c>
      <c r="H20">
        <v>2.2000000000000002</v>
      </c>
      <c r="I20" t="str">
        <v>virginica</v>
      </c>
      <c r="L20" t="e">
        <v>#REF!</v>
      </c>
      <c r="M20" t="e">
        <v>#REF!</v>
      </c>
      <c r="N20" t="e">
        <v>#REF!</v>
      </c>
      <c r="O20" t="e">
        <v>#REF!</v>
      </c>
      <c r="P20" t="e">
        <v>#REF!</v>
      </c>
      <c r="R20">
        <v>16</v>
      </c>
    </row>
    <row r="21" spans="1:18" x14ac:dyDescent="0.25">
      <c r="A21">
        <v>4.8</v>
      </c>
      <c r="E21">
        <v>7.7</v>
      </c>
      <c r="F21">
        <v>2.6</v>
      </c>
      <c r="G21">
        <v>6.9</v>
      </c>
      <c r="H21">
        <v>2.2999999999999998</v>
      </c>
      <c r="I21" t="str">
        <v>virginica</v>
      </c>
      <c r="L21" t="e">
        <v>#REF!</v>
      </c>
      <c r="M21" t="e">
        <v>#REF!</v>
      </c>
      <c r="N21" t="e">
        <v>#REF!</v>
      </c>
      <c r="O21" t="e">
        <v>#REF!</v>
      </c>
      <c r="P21" t="e">
        <v>#REF!</v>
      </c>
      <c r="R21">
        <v>17</v>
      </c>
    </row>
    <row r="22" spans="1:18" x14ac:dyDescent="0.25">
      <c r="A22">
        <v>4.8</v>
      </c>
      <c r="E22">
        <v>6.9</v>
      </c>
      <c r="F22">
        <v>3.2</v>
      </c>
      <c r="G22">
        <v>5.7</v>
      </c>
      <c r="H22">
        <v>2.2999999999999998</v>
      </c>
      <c r="I22" t="str">
        <v>virginica</v>
      </c>
      <c r="L22" t="e">
        <v>#REF!</v>
      </c>
      <c r="M22" t="e">
        <v>#REF!</v>
      </c>
      <c r="N22" t="e">
        <v>#REF!</v>
      </c>
      <c r="O22" t="e">
        <v>#REF!</v>
      </c>
      <c r="P22" t="e">
        <v>#REF!</v>
      </c>
      <c r="R22">
        <v>18</v>
      </c>
    </row>
    <row r="23" spans="1:18" x14ac:dyDescent="0.25">
      <c r="A23">
        <v>4.8</v>
      </c>
      <c r="E23">
        <v>7.7</v>
      </c>
      <c r="F23">
        <v>2.8</v>
      </c>
      <c r="G23">
        <v>6.7</v>
      </c>
      <c r="H23">
        <v>2</v>
      </c>
      <c r="I23" t="str">
        <v>virginica</v>
      </c>
      <c r="L23" t="e">
        <v>#REF!</v>
      </c>
      <c r="M23" t="e">
        <v>#REF!</v>
      </c>
      <c r="N23" t="e">
        <v>#REF!</v>
      </c>
      <c r="O23" t="e">
        <v>#REF!</v>
      </c>
      <c r="P23" t="e">
        <v>#REF!</v>
      </c>
      <c r="R23">
        <v>19</v>
      </c>
    </row>
    <row r="24" spans="1:18" x14ac:dyDescent="0.25">
      <c r="A24">
        <v>4.8</v>
      </c>
      <c r="E24">
        <v>6.7</v>
      </c>
      <c r="F24">
        <v>3.3</v>
      </c>
      <c r="G24">
        <v>5.7</v>
      </c>
      <c r="H24">
        <v>2.1</v>
      </c>
      <c r="I24" t="str">
        <v>virginica</v>
      </c>
      <c r="L24" t="e">
        <v>#REF!</v>
      </c>
      <c r="M24" t="e">
        <v>#REF!</v>
      </c>
      <c r="N24" t="e">
        <v>#REF!</v>
      </c>
      <c r="O24" t="e">
        <v>#REF!</v>
      </c>
      <c r="P24" t="e">
        <v>#REF!</v>
      </c>
      <c r="R24">
        <v>20</v>
      </c>
    </row>
    <row r="25" spans="1:18" x14ac:dyDescent="0.25">
      <c r="A25">
        <v>4.9000000000000004</v>
      </c>
      <c r="E25">
        <v>7.2</v>
      </c>
      <c r="F25">
        <v>3.2</v>
      </c>
      <c r="G25">
        <v>6</v>
      </c>
      <c r="H25">
        <v>1.8</v>
      </c>
      <c r="I25" t="str">
        <v>virginica</v>
      </c>
      <c r="L25" t="e">
        <v>#REF!</v>
      </c>
      <c r="M25" t="e">
        <v>#REF!</v>
      </c>
      <c r="N25" t="e">
        <v>#REF!</v>
      </c>
      <c r="O25" t="e">
        <v>#REF!</v>
      </c>
      <c r="P25" t="e">
        <v>#REF!</v>
      </c>
      <c r="R25">
        <v>21</v>
      </c>
    </row>
    <row r="26" spans="1:18" x14ac:dyDescent="0.25">
      <c r="A26">
        <v>4.9000000000000004</v>
      </c>
      <c r="E26">
        <v>6.4</v>
      </c>
      <c r="F26">
        <v>2.8</v>
      </c>
      <c r="G26">
        <v>5.6</v>
      </c>
      <c r="H26">
        <v>2.1</v>
      </c>
      <c r="I26" t="str">
        <v>virginica</v>
      </c>
      <c r="L26" t="e">
        <v>#REF!</v>
      </c>
      <c r="M26" t="e">
        <v>#REF!</v>
      </c>
      <c r="N26" t="e">
        <v>#REF!</v>
      </c>
      <c r="O26" t="e">
        <v>#REF!</v>
      </c>
      <c r="P26" t="e">
        <v>#REF!</v>
      </c>
      <c r="R26">
        <v>22</v>
      </c>
    </row>
    <row r="27" spans="1:18" x14ac:dyDescent="0.25">
      <c r="A27">
        <v>4.9000000000000004</v>
      </c>
      <c r="E27">
        <v>7.2</v>
      </c>
      <c r="F27">
        <v>3</v>
      </c>
      <c r="G27">
        <v>5.8</v>
      </c>
      <c r="H27">
        <v>1.6</v>
      </c>
      <c r="I27" t="str">
        <v>virginica</v>
      </c>
      <c r="L27" t="e">
        <v>#REF!</v>
      </c>
      <c r="M27" t="e">
        <v>#REF!</v>
      </c>
      <c r="N27" t="e">
        <v>#REF!</v>
      </c>
      <c r="O27" t="e">
        <v>#REF!</v>
      </c>
      <c r="P27" t="e">
        <v>#REF!</v>
      </c>
      <c r="R27">
        <v>23</v>
      </c>
    </row>
    <row r="28" spans="1:18" x14ac:dyDescent="0.25">
      <c r="A28">
        <v>4.9000000000000004</v>
      </c>
      <c r="E28">
        <v>7.4</v>
      </c>
      <c r="F28">
        <v>2.8</v>
      </c>
      <c r="G28">
        <v>6.1</v>
      </c>
      <c r="H28">
        <v>1.9</v>
      </c>
      <c r="I28" t="str">
        <v>virginica</v>
      </c>
      <c r="L28" t="e">
        <v>#REF!</v>
      </c>
      <c r="M28" t="e">
        <v>#REF!</v>
      </c>
      <c r="N28" t="e">
        <v>#REF!</v>
      </c>
      <c r="O28" t="e">
        <v>#REF!</v>
      </c>
      <c r="P28" t="e">
        <v>#REF!</v>
      </c>
      <c r="R28">
        <v>24</v>
      </c>
    </row>
    <row r="29" spans="1:18" x14ac:dyDescent="0.25">
      <c r="A29">
        <v>4.9000000000000004</v>
      </c>
      <c r="E29">
        <v>7.9</v>
      </c>
      <c r="F29">
        <v>3.8</v>
      </c>
      <c r="G29">
        <v>6.4</v>
      </c>
      <c r="H29">
        <v>2</v>
      </c>
      <c r="I29" t="str">
        <v>virginica</v>
      </c>
      <c r="L29" t="e">
        <v>#REF!</v>
      </c>
      <c r="M29" t="e">
        <v>#REF!</v>
      </c>
      <c r="N29" t="e">
        <v>#REF!</v>
      </c>
      <c r="O29" t="e">
        <v>#REF!</v>
      </c>
      <c r="P29" t="e">
        <v>#REF!</v>
      </c>
      <c r="R29">
        <v>25</v>
      </c>
    </row>
    <row r="30" spans="1:18" x14ac:dyDescent="0.25">
      <c r="A30">
        <v>4.9000000000000004</v>
      </c>
      <c r="E30">
        <v>6.4</v>
      </c>
      <c r="F30">
        <v>2.8</v>
      </c>
      <c r="G30">
        <v>5.6</v>
      </c>
      <c r="H30">
        <v>2.2000000000000002</v>
      </c>
      <c r="I30" t="str">
        <v>virginica</v>
      </c>
      <c r="L30" t="e">
        <v>#REF!</v>
      </c>
      <c r="M30" t="e">
        <v>#REF!</v>
      </c>
      <c r="N30" t="e">
        <v>#REF!</v>
      </c>
      <c r="O30" t="e">
        <v>#REF!</v>
      </c>
      <c r="P30" t="e">
        <v>#REF!</v>
      </c>
      <c r="R30">
        <v>26</v>
      </c>
    </row>
    <row r="31" spans="1:18" x14ac:dyDescent="0.25">
      <c r="A31">
        <v>5</v>
      </c>
      <c r="E31">
        <v>6.3</v>
      </c>
      <c r="F31">
        <v>2.8</v>
      </c>
      <c r="G31">
        <v>5.0999999999999996</v>
      </c>
      <c r="H31">
        <v>1.5</v>
      </c>
      <c r="I31" t="str">
        <v>virginica</v>
      </c>
      <c r="L31" t="e">
        <v>#REF!</v>
      </c>
      <c r="M31" t="e">
        <v>#REF!</v>
      </c>
      <c r="N31" t="e">
        <v>#REF!</v>
      </c>
      <c r="O31" t="e">
        <v>#REF!</v>
      </c>
      <c r="P31" t="e">
        <v>#REF!</v>
      </c>
      <c r="R31">
        <v>27</v>
      </c>
    </row>
    <row r="32" spans="1:18" x14ac:dyDescent="0.25">
      <c r="A32">
        <v>5</v>
      </c>
      <c r="E32">
        <v>6.1</v>
      </c>
      <c r="F32">
        <v>2.6</v>
      </c>
      <c r="G32">
        <v>5.6</v>
      </c>
      <c r="H32">
        <v>1.4</v>
      </c>
      <c r="I32" t="str">
        <v>virginica</v>
      </c>
      <c r="L32" t="e">
        <v>#REF!</v>
      </c>
      <c r="M32" t="e">
        <v>#REF!</v>
      </c>
      <c r="N32" t="e">
        <v>#REF!</v>
      </c>
      <c r="O32" t="e">
        <v>#REF!</v>
      </c>
      <c r="P32" t="e">
        <v>#REF!</v>
      </c>
      <c r="R32">
        <v>28</v>
      </c>
    </row>
    <row r="33" spans="1:18" x14ac:dyDescent="0.25">
      <c r="A33">
        <v>5</v>
      </c>
      <c r="E33">
        <v>7.7</v>
      </c>
      <c r="F33">
        <v>3</v>
      </c>
      <c r="G33">
        <v>6.1</v>
      </c>
      <c r="H33">
        <v>2.2999999999999998</v>
      </c>
      <c r="I33" t="str">
        <v>virginica</v>
      </c>
      <c r="L33" t="e">
        <v>#REF!</v>
      </c>
      <c r="M33" t="e">
        <v>#REF!</v>
      </c>
      <c r="N33" t="e">
        <v>#REF!</v>
      </c>
      <c r="O33" t="e">
        <v>#REF!</v>
      </c>
      <c r="P33" t="e">
        <v>#REF!</v>
      </c>
      <c r="R33">
        <v>29</v>
      </c>
    </row>
    <row r="34" spans="1:18" x14ac:dyDescent="0.25">
      <c r="A34">
        <v>5</v>
      </c>
      <c r="E34">
        <v>6.3</v>
      </c>
      <c r="F34">
        <v>3.4</v>
      </c>
      <c r="G34">
        <v>5.6</v>
      </c>
      <c r="H34">
        <v>2.4</v>
      </c>
      <c r="I34" t="str">
        <v>virginica</v>
      </c>
      <c r="L34" t="e">
        <v>#REF!</v>
      </c>
      <c r="M34" t="e">
        <v>#REF!</v>
      </c>
      <c r="N34" t="e">
        <v>#REF!</v>
      </c>
      <c r="O34" t="e">
        <v>#REF!</v>
      </c>
      <c r="P34" t="e">
        <v>#REF!</v>
      </c>
      <c r="R34">
        <v>30</v>
      </c>
    </row>
    <row r="35" spans="1:18" x14ac:dyDescent="0.25">
      <c r="A35">
        <v>5</v>
      </c>
      <c r="E35">
        <v>6.4</v>
      </c>
      <c r="F35">
        <v>3.1</v>
      </c>
      <c r="G35">
        <v>5.5</v>
      </c>
      <c r="H35">
        <v>1.8</v>
      </c>
      <c r="I35" t="str">
        <v>virginica</v>
      </c>
      <c r="L35" t="e">
        <v>#REF!</v>
      </c>
      <c r="M35" t="e">
        <v>#REF!</v>
      </c>
      <c r="N35" t="e">
        <v>#REF!</v>
      </c>
      <c r="O35" t="e">
        <v>#REF!</v>
      </c>
      <c r="P35" t="e">
        <v>#REF!</v>
      </c>
      <c r="R35">
        <v>31</v>
      </c>
    </row>
    <row r="36" spans="1:18" x14ac:dyDescent="0.25">
      <c r="A36">
        <v>5</v>
      </c>
      <c r="E36">
        <v>6.9</v>
      </c>
      <c r="F36">
        <v>3.1</v>
      </c>
      <c r="G36">
        <v>5.4</v>
      </c>
      <c r="H36">
        <v>2.1</v>
      </c>
      <c r="I36" t="str">
        <v>virginica</v>
      </c>
      <c r="L36" t="e">
        <v>#REF!</v>
      </c>
      <c r="M36" t="e">
        <v>#REF!</v>
      </c>
      <c r="N36" t="e">
        <v>#REF!</v>
      </c>
      <c r="O36" t="e">
        <v>#REF!</v>
      </c>
      <c r="P36" t="e">
        <v>#REF!</v>
      </c>
      <c r="R36">
        <v>32</v>
      </c>
    </row>
    <row r="37" spans="1:18" x14ac:dyDescent="0.25">
      <c r="A37">
        <v>5</v>
      </c>
      <c r="E37">
        <v>6.7</v>
      </c>
      <c r="F37">
        <v>3.1</v>
      </c>
      <c r="G37">
        <v>5.6</v>
      </c>
      <c r="H37">
        <v>2.4</v>
      </c>
      <c r="I37" t="str">
        <v>virginica</v>
      </c>
      <c r="L37" t="e">
        <v>#REF!</v>
      </c>
      <c r="M37" t="e">
        <v>#REF!</v>
      </c>
      <c r="N37" t="e">
        <v>#REF!</v>
      </c>
      <c r="O37" t="e">
        <v>#REF!</v>
      </c>
      <c r="P37" t="e">
        <v>#REF!</v>
      </c>
      <c r="R37">
        <v>33</v>
      </c>
    </row>
    <row r="38" spans="1:18" x14ac:dyDescent="0.25">
      <c r="A38">
        <v>5</v>
      </c>
      <c r="E38">
        <v>6.9</v>
      </c>
      <c r="F38">
        <v>3.1</v>
      </c>
      <c r="G38">
        <v>5.0999999999999996</v>
      </c>
      <c r="H38">
        <v>2.2999999999999998</v>
      </c>
      <c r="I38" t="str">
        <v>virginica</v>
      </c>
      <c r="L38" t="e">
        <v>#REF!</v>
      </c>
      <c r="M38" t="e">
        <v>#REF!</v>
      </c>
      <c r="N38" t="e">
        <v>#REF!</v>
      </c>
      <c r="O38" t="e">
        <v>#REF!</v>
      </c>
      <c r="P38" t="e">
        <v>#REF!</v>
      </c>
      <c r="R38">
        <v>34</v>
      </c>
    </row>
    <row r="39" spans="1:18" x14ac:dyDescent="0.25">
      <c r="A39">
        <v>5</v>
      </c>
      <c r="E39">
        <v>5.8</v>
      </c>
      <c r="F39">
        <v>2.7</v>
      </c>
      <c r="G39">
        <v>5.0999999999999996</v>
      </c>
      <c r="H39">
        <v>1.9</v>
      </c>
      <c r="I39" t="str">
        <v>virginica</v>
      </c>
      <c r="L39" t="e">
        <v>#REF!</v>
      </c>
      <c r="M39" t="e">
        <v>#REF!</v>
      </c>
      <c r="N39" t="e">
        <v>#REF!</v>
      </c>
      <c r="O39" t="e">
        <v>#REF!</v>
      </c>
      <c r="P39" t="e">
        <v>#REF!</v>
      </c>
      <c r="R39">
        <v>35</v>
      </c>
    </row>
    <row r="40" spans="1:18" x14ac:dyDescent="0.25">
      <c r="A40">
        <v>5</v>
      </c>
      <c r="E40">
        <v>6.8</v>
      </c>
      <c r="F40">
        <v>3.2</v>
      </c>
      <c r="G40">
        <v>5.9</v>
      </c>
      <c r="H40">
        <v>2.2999999999999998</v>
      </c>
      <c r="I40" t="str">
        <v>virginica</v>
      </c>
      <c r="L40" t="e">
        <v>#REF!</v>
      </c>
      <c r="M40" t="e">
        <v>#REF!</v>
      </c>
      <c r="N40" t="e">
        <v>#REF!</v>
      </c>
      <c r="O40" t="e">
        <v>#REF!</v>
      </c>
      <c r="P40" t="e">
        <v>#REF!</v>
      </c>
      <c r="R40">
        <v>36</v>
      </c>
    </row>
    <row r="41" spans="1:18" x14ac:dyDescent="0.25">
      <c r="A41">
        <v>5.0999999999999996</v>
      </c>
      <c r="E41">
        <v>6.7</v>
      </c>
      <c r="F41">
        <v>3.3</v>
      </c>
      <c r="G41">
        <v>5.7</v>
      </c>
      <c r="H41">
        <v>2.5</v>
      </c>
      <c r="I41" t="str">
        <v>virginica</v>
      </c>
      <c r="L41" t="e">
        <v>#REF!</v>
      </c>
      <c r="M41" t="e">
        <v>#REF!</v>
      </c>
      <c r="N41" t="e">
        <v>#REF!</v>
      </c>
      <c r="O41" t="e">
        <v>#REF!</v>
      </c>
      <c r="P41" t="e">
        <v>#REF!</v>
      </c>
      <c r="R41">
        <v>37</v>
      </c>
    </row>
    <row r="42" spans="1:18" x14ac:dyDescent="0.25">
      <c r="A42">
        <v>5.0999999999999996</v>
      </c>
      <c r="E42">
        <v>6.7</v>
      </c>
      <c r="F42">
        <v>3</v>
      </c>
      <c r="G42">
        <v>5.2</v>
      </c>
      <c r="H42">
        <v>2.2999999999999998</v>
      </c>
      <c r="I42" t="str">
        <v>virginica</v>
      </c>
      <c r="L42" t="e">
        <v>#REF!</v>
      </c>
      <c r="M42" t="e">
        <v>#REF!</v>
      </c>
      <c r="N42" t="e">
        <v>#REF!</v>
      </c>
      <c r="O42" t="e">
        <v>#REF!</v>
      </c>
      <c r="P42" t="e">
        <v>#REF!</v>
      </c>
      <c r="R42">
        <v>38</v>
      </c>
    </row>
    <row r="43" spans="1:18" x14ac:dyDescent="0.25">
      <c r="A43">
        <v>5.0999999999999996</v>
      </c>
      <c r="E43">
        <v>6.5</v>
      </c>
      <c r="F43">
        <v>3</v>
      </c>
      <c r="G43">
        <v>5.2</v>
      </c>
      <c r="H43">
        <v>2</v>
      </c>
      <c r="I43" t="str">
        <v>virginica</v>
      </c>
      <c r="L43" t="e">
        <v>#REF!</v>
      </c>
      <c r="M43" t="e">
        <v>#REF!</v>
      </c>
      <c r="N43" t="e">
        <v>#REF!</v>
      </c>
      <c r="O43" t="e">
        <v>#REF!</v>
      </c>
      <c r="P43" t="e">
        <v>#REF!</v>
      </c>
      <c r="R43">
        <v>39</v>
      </c>
    </row>
    <row r="44" spans="1:18" x14ac:dyDescent="0.25">
      <c r="A44">
        <v>5.0999999999999996</v>
      </c>
      <c r="E44">
        <v>6.2</v>
      </c>
      <c r="F44">
        <v>3.4</v>
      </c>
      <c r="G44">
        <v>5.4</v>
      </c>
      <c r="H44">
        <v>2.2999999999999998</v>
      </c>
      <c r="I44" t="str">
        <v>virginica</v>
      </c>
      <c r="L44" t="e">
        <v>#REF!</v>
      </c>
      <c r="M44" t="e">
        <v>#REF!</v>
      </c>
      <c r="N44" t="e">
        <v>#REF!</v>
      </c>
      <c r="O44" t="e">
        <v>#REF!</v>
      </c>
      <c r="P44" t="e">
        <v>#REF!</v>
      </c>
      <c r="R44">
        <v>40</v>
      </c>
    </row>
    <row r="45" spans="1:18" x14ac:dyDescent="0.25">
      <c r="A45">
        <v>5.0999999999999996</v>
      </c>
      <c r="E45">
        <v>5.9</v>
      </c>
      <c r="F45">
        <v>3</v>
      </c>
      <c r="G45">
        <v>5.0999999999999996</v>
      </c>
      <c r="H45">
        <v>1.8</v>
      </c>
      <c r="I45" t="str">
        <v>virginica</v>
      </c>
      <c r="L45" t="e">
        <v>#REF!</v>
      </c>
      <c r="M45" t="e">
        <v>#REF!</v>
      </c>
      <c r="N45" t="e">
        <v>#REF!</v>
      </c>
      <c r="O45" t="e">
        <v>#REF!</v>
      </c>
      <c r="P45" t="e">
        <v>#REF!</v>
      </c>
      <c r="R45">
        <v>41</v>
      </c>
    </row>
    <row r="46" spans="1:18" x14ac:dyDescent="0.25">
      <c r="A46">
        <v>5.0999999999999996</v>
      </c>
      <c r="L46" t="e">
        <v>#REF!</v>
      </c>
      <c r="M46" t="e">
        <v>#REF!</v>
      </c>
      <c r="N46" t="e">
        <v>#REF!</v>
      </c>
      <c r="O46" t="e">
        <v>#REF!</v>
      </c>
      <c r="P46" t="e">
        <v>#REF!</v>
      </c>
      <c r="R46">
        <v>42</v>
      </c>
    </row>
    <row r="47" spans="1:18" x14ac:dyDescent="0.25">
      <c r="A47">
        <v>5.0999999999999996</v>
      </c>
      <c r="L47" t="e">
        <v>#REF!</v>
      </c>
      <c r="M47" t="e">
        <v>#REF!</v>
      </c>
      <c r="N47" t="e">
        <v>#REF!</v>
      </c>
      <c r="O47" t="e">
        <v>#REF!</v>
      </c>
      <c r="P47" t="e">
        <v>#REF!</v>
      </c>
      <c r="R47">
        <v>43</v>
      </c>
    </row>
    <row r="48" spans="1:18" x14ac:dyDescent="0.25">
      <c r="A48">
        <v>5.0999999999999996</v>
      </c>
      <c r="L48" t="e">
        <v>#REF!</v>
      </c>
      <c r="M48" t="e">
        <v>#REF!</v>
      </c>
      <c r="N48" t="e">
        <v>#REF!</v>
      </c>
      <c r="O48" t="e">
        <v>#REF!</v>
      </c>
      <c r="P48" t="e">
        <v>#REF!</v>
      </c>
      <c r="R48">
        <v>44</v>
      </c>
    </row>
    <row r="49" spans="1:18" x14ac:dyDescent="0.25">
      <c r="A49">
        <v>5.0999999999999996</v>
      </c>
      <c r="L49" t="e">
        <v>#REF!</v>
      </c>
      <c r="M49" t="e">
        <v>#REF!</v>
      </c>
      <c r="N49" t="e">
        <v>#REF!</v>
      </c>
      <c r="O49" t="e">
        <v>#REF!</v>
      </c>
      <c r="P49" t="e">
        <v>#REF!</v>
      </c>
      <c r="R49">
        <v>45</v>
      </c>
    </row>
    <row r="50" spans="1:18" x14ac:dyDescent="0.25">
      <c r="A50">
        <v>5.2</v>
      </c>
      <c r="L50" t="e">
        <v>#REF!</v>
      </c>
      <c r="M50" t="e">
        <v>#REF!</v>
      </c>
      <c r="N50" t="e">
        <v>#REF!</v>
      </c>
      <c r="O50" t="e">
        <v>#REF!</v>
      </c>
      <c r="P50" t="e">
        <v>#REF!</v>
      </c>
      <c r="R50">
        <v>46</v>
      </c>
    </row>
    <row r="51" spans="1:18" x14ac:dyDescent="0.25">
      <c r="A51">
        <v>5.2</v>
      </c>
      <c r="L51" t="e">
        <v>#REF!</v>
      </c>
      <c r="M51" t="e">
        <v>#REF!</v>
      </c>
      <c r="N51" t="e">
        <v>#REF!</v>
      </c>
      <c r="O51" t="e">
        <v>#REF!</v>
      </c>
      <c r="P51" t="e">
        <v>#REF!</v>
      </c>
      <c r="R51">
        <v>47</v>
      </c>
    </row>
    <row r="52" spans="1:18" x14ac:dyDescent="0.25">
      <c r="A52">
        <v>5.2</v>
      </c>
      <c r="L52" t="e">
        <v>#REF!</v>
      </c>
      <c r="M52" t="e">
        <v>#REF!</v>
      </c>
      <c r="N52" t="e">
        <v>#REF!</v>
      </c>
      <c r="O52" t="e">
        <v>#REF!</v>
      </c>
      <c r="P52" t="e">
        <v>#REF!</v>
      </c>
      <c r="R52">
        <v>48</v>
      </c>
    </row>
    <row r="53" spans="1:18" x14ac:dyDescent="0.25">
      <c r="A53">
        <v>5.2</v>
      </c>
      <c r="L53" t="e">
        <v>#REF!</v>
      </c>
      <c r="M53" t="e">
        <v>#REF!</v>
      </c>
      <c r="N53" t="e">
        <v>#REF!</v>
      </c>
      <c r="O53" t="e">
        <v>#REF!</v>
      </c>
      <c r="P53" t="e">
        <v>#REF!</v>
      </c>
      <c r="R53">
        <v>49</v>
      </c>
    </row>
    <row r="54" spans="1:18" x14ac:dyDescent="0.25">
      <c r="A54">
        <v>5.3</v>
      </c>
      <c r="L54" t="e">
        <v>#REF!</v>
      </c>
      <c r="M54" t="e">
        <v>#REF!</v>
      </c>
      <c r="N54" t="e">
        <v>#REF!</v>
      </c>
      <c r="O54" t="e">
        <v>#REF!</v>
      </c>
      <c r="P54" t="e">
        <v>#REF!</v>
      </c>
      <c r="R54">
        <v>50</v>
      </c>
    </row>
    <row r="55" spans="1:18" x14ac:dyDescent="0.25">
      <c r="A55">
        <v>5.4</v>
      </c>
      <c r="R55">
        <v>51</v>
      </c>
    </row>
    <row r="56" spans="1:18" x14ac:dyDescent="0.25">
      <c r="A56">
        <v>5.4</v>
      </c>
      <c r="R56">
        <v>52</v>
      </c>
    </row>
    <row r="57" spans="1:18" x14ac:dyDescent="0.25">
      <c r="A57">
        <v>5.4</v>
      </c>
      <c r="R57">
        <v>53</v>
      </c>
    </row>
    <row r="58" spans="1:18" x14ac:dyDescent="0.25">
      <c r="A58">
        <v>5.4</v>
      </c>
      <c r="R58">
        <v>54</v>
      </c>
    </row>
    <row r="59" spans="1:18" x14ac:dyDescent="0.25">
      <c r="A59">
        <v>5.4</v>
      </c>
      <c r="R59">
        <v>55</v>
      </c>
    </row>
    <row r="60" spans="1:18" x14ac:dyDescent="0.25">
      <c r="A60">
        <v>5.4</v>
      </c>
      <c r="R60">
        <v>56</v>
      </c>
    </row>
    <row r="61" spans="1:18" x14ac:dyDescent="0.25">
      <c r="A61">
        <v>5.5</v>
      </c>
      <c r="R61">
        <v>57</v>
      </c>
    </row>
    <row r="62" spans="1:18" x14ac:dyDescent="0.25">
      <c r="A62">
        <v>5.5</v>
      </c>
      <c r="R62">
        <v>58</v>
      </c>
    </row>
    <row r="63" spans="1:18" x14ac:dyDescent="0.25">
      <c r="A63">
        <v>5.5</v>
      </c>
      <c r="R63">
        <v>59</v>
      </c>
    </row>
    <row r="64" spans="1:18" x14ac:dyDescent="0.25">
      <c r="A64">
        <v>5.5</v>
      </c>
      <c r="R64">
        <v>60</v>
      </c>
    </row>
    <row r="65" spans="1:18" x14ac:dyDescent="0.25">
      <c r="A65">
        <v>5.5</v>
      </c>
      <c r="R65">
        <v>61</v>
      </c>
    </row>
    <row r="66" spans="1:18" x14ac:dyDescent="0.25">
      <c r="A66">
        <v>5.5</v>
      </c>
      <c r="R66">
        <v>62</v>
      </c>
    </row>
    <row r="67" spans="1:18" x14ac:dyDescent="0.25">
      <c r="A67">
        <v>5.5</v>
      </c>
      <c r="R67">
        <v>63</v>
      </c>
    </row>
    <row r="68" spans="1:18" x14ac:dyDescent="0.25">
      <c r="A68">
        <v>5.6</v>
      </c>
      <c r="R68">
        <v>64</v>
      </c>
    </row>
    <row r="69" spans="1:18" x14ac:dyDescent="0.25">
      <c r="A69">
        <v>5.6</v>
      </c>
      <c r="R69">
        <v>65</v>
      </c>
    </row>
    <row r="70" spans="1:18" x14ac:dyDescent="0.25">
      <c r="A70">
        <v>5.6</v>
      </c>
      <c r="R70">
        <v>66</v>
      </c>
    </row>
    <row r="71" spans="1:18" x14ac:dyDescent="0.25">
      <c r="A71">
        <v>5.6</v>
      </c>
      <c r="R71">
        <v>67</v>
      </c>
    </row>
    <row r="72" spans="1:18" x14ac:dyDescent="0.25">
      <c r="A72">
        <v>5.6</v>
      </c>
      <c r="R72">
        <v>68</v>
      </c>
    </row>
    <row r="73" spans="1:18" x14ac:dyDescent="0.25">
      <c r="A73">
        <v>5.6</v>
      </c>
      <c r="R73">
        <v>69</v>
      </c>
    </row>
    <row r="74" spans="1:18" x14ac:dyDescent="0.25">
      <c r="A74">
        <v>5.7</v>
      </c>
      <c r="R74">
        <v>70</v>
      </c>
    </row>
    <row r="75" spans="1:18" x14ac:dyDescent="0.25">
      <c r="A75">
        <v>5.7</v>
      </c>
      <c r="R75">
        <v>71</v>
      </c>
    </row>
    <row r="76" spans="1:18" x14ac:dyDescent="0.25">
      <c r="A76">
        <v>5.7</v>
      </c>
      <c r="R76">
        <v>72</v>
      </c>
    </row>
    <row r="77" spans="1:18" x14ac:dyDescent="0.25">
      <c r="A77">
        <v>5.7</v>
      </c>
      <c r="R77">
        <v>73</v>
      </c>
    </row>
    <row r="78" spans="1:18" x14ac:dyDescent="0.25">
      <c r="A78">
        <v>5.7</v>
      </c>
      <c r="R78">
        <v>74</v>
      </c>
    </row>
    <row r="79" spans="1:18" x14ac:dyDescent="0.25">
      <c r="A79">
        <v>5.7</v>
      </c>
      <c r="R79">
        <v>75</v>
      </c>
    </row>
    <row r="80" spans="1:18" x14ac:dyDescent="0.25">
      <c r="A80">
        <v>5.7</v>
      </c>
      <c r="R80">
        <v>76</v>
      </c>
    </row>
    <row r="81" spans="1:18" x14ac:dyDescent="0.25">
      <c r="A81">
        <v>5.7</v>
      </c>
      <c r="R81">
        <v>77</v>
      </c>
    </row>
    <row r="82" spans="1:18" x14ac:dyDescent="0.25">
      <c r="A82">
        <v>5.8</v>
      </c>
      <c r="R82">
        <v>78</v>
      </c>
    </row>
    <row r="83" spans="1:18" x14ac:dyDescent="0.25">
      <c r="A83">
        <v>5.8</v>
      </c>
      <c r="R83">
        <v>79</v>
      </c>
    </row>
    <row r="84" spans="1:18" x14ac:dyDescent="0.25">
      <c r="A84">
        <v>5.8</v>
      </c>
      <c r="R84">
        <v>80</v>
      </c>
    </row>
    <row r="85" spans="1:18" x14ac:dyDescent="0.25">
      <c r="A85">
        <v>5.8</v>
      </c>
      <c r="R85">
        <v>81</v>
      </c>
    </row>
    <row r="86" spans="1:18" x14ac:dyDescent="0.25">
      <c r="A86">
        <v>5.8</v>
      </c>
      <c r="R86">
        <v>82</v>
      </c>
    </row>
    <row r="87" spans="1:18" x14ac:dyDescent="0.25">
      <c r="A87">
        <v>5.8</v>
      </c>
      <c r="R87">
        <v>83</v>
      </c>
    </row>
    <row r="88" spans="1:18" x14ac:dyDescent="0.25">
      <c r="A88">
        <v>5.8</v>
      </c>
      <c r="R88">
        <v>84</v>
      </c>
    </row>
    <row r="89" spans="1:18" x14ac:dyDescent="0.25">
      <c r="A89">
        <v>5.9</v>
      </c>
      <c r="R89">
        <v>85</v>
      </c>
    </row>
    <row r="90" spans="1:18" x14ac:dyDescent="0.25">
      <c r="A90">
        <v>5.9</v>
      </c>
      <c r="R90">
        <v>86</v>
      </c>
    </row>
    <row r="91" spans="1:18" x14ac:dyDescent="0.25">
      <c r="A91">
        <v>5.9</v>
      </c>
      <c r="R91">
        <v>87</v>
      </c>
    </row>
    <row r="92" spans="1:18" x14ac:dyDescent="0.25">
      <c r="A92">
        <v>6</v>
      </c>
      <c r="R92">
        <v>88</v>
      </c>
    </row>
    <row r="93" spans="1:18" x14ac:dyDescent="0.25">
      <c r="A93">
        <v>6</v>
      </c>
      <c r="R93">
        <v>89</v>
      </c>
    </row>
    <row r="94" spans="1:18" x14ac:dyDescent="0.25">
      <c r="A94">
        <v>6</v>
      </c>
      <c r="R94">
        <v>90</v>
      </c>
    </row>
    <row r="95" spans="1:18" x14ac:dyDescent="0.25">
      <c r="A95">
        <v>6</v>
      </c>
      <c r="R95">
        <v>91</v>
      </c>
    </row>
    <row r="96" spans="1:18" x14ac:dyDescent="0.25">
      <c r="A96">
        <v>6</v>
      </c>
      <c r="R96">
        <v>92</v>
      </c>
    </row>
    <row r="97" spans="1:18" x14ac:dyDescent="0.25">
      <c r="A97">
        <v>6</v>
      </c>
      <c r="R97">
        <v>93</v>
      </c>
    </row>
    <row r="98" spans="1:18" x14ac:dyDescent="0.25">
      <c r="A98">
        <v>6.1</v>
      </c>
      <c r="R98">
        <v>94</v>
      </c>
    </row>
    <row r="99" spans="1:18" x14ac:dyDescent="0.25">
      <c r="A99">
        <v>6.1</v>
      </c>
      <c r="R99">
        <v>95</v>
      </c>
    </row>
    <row r="100" spans="1:18" x14ac:dyDescent="0.25">
      <c r="A100">
        <v>6.1</v>
      </c>
      <c r="R100">
        <v>96</v>
      </c>
    </row>
    <row r="101" spans="1:18" x14ac:dyDescent="0.25">
      <c r="A101">
        <v>6.1</v>
      </c>
      <c r="R101">
        <v>97</v>
      </c>
    </row>
    <row r="102" spans="1:18" x14ac:dyDescent="0.25">
      <c r="A102">
        <v>6.1</v>
      </c>
      <c r="R102">
        <v>98</v>
      </c>
    </row>
    <row r="103" spans="1:18" x14ac:dyDescent="0.25">
      <c r="A103">
        <v>6.1</v>
      </c>
      <c r="R103">
        <v>99</v>
      </c>
    </row>
    <row r="104" spans="1:18" x14ac:dyDescent="0.25">
      <c r="A104">
        <v>6.2</v>
      </c>
      <c r="R104">
        <v>100</v>
      </c>
    </row>
    <row r="105" spans="1:18" x14ac:dyDescent="0.25">
      <c r="A105">
        <v>6.2</v>
      </c>
      <c r="R105">
        <v>101</v>
      </c>
    </row>
    <row r="106" spans="1:18" x14ac:dyDescent="0.25">
      <c r="A106">
        <v>6.2</v>
      </c>
      <c r="R106">
        <v>102</v>
      </c>
    </row>
    <row r="107" spans="1:18" x14ac:dyDescent="0.25">
      <c r="A107">
        <v>6.2</v>
      </c>
      <c r="R107">
        <v>103</v>
      </c>
    </row>
    <row r="108" spans="1:18" x14ac:dyDescent="0.25">
      <c r="A108">
        <v>6.3</v>
      </c>
      <c r="R108">
        <v>104</v>
      </c>
    </row>
    <row r="109" spans="1:18" x14ac:dyDescent="0.25">
      <c r="A109">
        <v>6.3</v>
      </c>
      <c r="R109">
        <v>105</v>
      </c>
    </row>
    <row r="110" spans="1:18" x14ac:dyDescent="0.25">
      <c r="A110">
        <v>6.3</v>
      </c>
      <c r="R110">
        <v>106</v>
      </c>
    </row>
    <row r="111" spans="1:18" x14ac:dyDescent="0.25">
      <c r="A111">
        <v>6.3</v>
      </c>
      <c r="R111">
        <v>107</v>
      </c>
    </row>
    <row r="112" spans="1:18" x14ac:dyDescent="0.25">
      <c r="A112">
        <v>6.3</v>
      </c>
      <c r="R112">
        <v>108</v>
      </c>
    </row>
    <row r="113" spans="1:18" x14ac:dyDescent="0.25">
      <c r="A113">
        <v>6.3</v>
      </c>
      <c r="R113">
        <v>109</v>
      </c>
    </row>
    <row r="114" spans="1:18" x14ac:dyDescent="0.25">
      <c r="A114">
        <v>6.3</v>
      </c>
      <c r="R114">
        <v>110</v>
      </c>
    </row>
    <row r="115" spans="1:18" x14ac:dyDescent="0.25">
      <c r="A115">
        <v>6.3</v>
      </c>
      <c r="R115">
        <v>111</v>
      </c>
    </row>
    <row r="116" spans="1:18" x14ac:dyDescent="0.25">
      <c r="A116">
        <v>6.3</v>
      </c>
      <c r="R116">
        <v>112</v>
      </c>
    </row>
    <row r="117" spans="1:18" x14ac:dyDescent="0.25">
      <c r="A117">
        <v>6.4</v>
      </c>
      <c r="R117">
        <v>113</v>
      </c>
    </row>
    <row r="118" spans="1:18" x14ac:dyDescent="0.25">
      <c r="A118">
        <v>6.4</v>
      </c>
      <c r="R118">
        <v>114</v>
      </c>
    </row>
    <row r="119" spans="1:18" x14ac:dyDescent="0.25">
      <c r="A119">
        <v>6.4</v>
      </c>
      <c r="R119">
        <v>115</v>
      </c>
    </row>
    <row r="120" spans="1:18" x14ac:dyDescent="0.25">
      <c r="A120">
        <v>6.4</v>
      </c>
      <c r="R120">
        <v>116</v>
      </c>
    </row>
    <row r="121" spans="1:18" x14ac:dyDescent="0.25">
      <c r="A121">
        <v>6.4</v>
      </c>
      <c r="R121">
        <v>117</v>
      </c>
    </row>
    <row r="122" spans="1:18" x14ac:dyDescent="0.25">
      <c r="A122">
        <v>6.4</v>
      </c>
      <c r="R122">
        <v>118</v>
      </c>
    </row>
    <row r="123" spans="1:18" x14ac:dyDescent="0.25">
      <c r="A123">
        <v>6.4</v>
      </c>
      <c r="R123">
        <v>119</v>
      </c>
    </row>
    <row r="124" spans="1:18" x14ac:dyDescent="0.25">
      <c r="A124">
        <v>6.5</v>
      </c>
      <c r="R124">
        <v>120</v>
      </c>
    </row>
    <row r="125" spans="1:18" x14ac:dyDescent="0.25">
      <c r="A125">
        <v>6.5</v>
      </c>
      <c r="R125">
        <v>121</v>
      </c>
    </row>
    <row r="126" spans="1:18" x14ac:dyDescent="0.25">
      <c r="A126">
        <v>6.5</v>
      </c>
      <c r="R126">
        <v>122</v>
      </c>
    </row>
    <row r="127" spans="1:18" x14ac:dyDescent="0.25">
      <c r="A127">
        <v>6.5</v>
      </c>
      <c r="R127">
        <v>123</v>
      </c>
    </row>
    <row r="128" spans="1:18" x14ac:dyDescent="0.25">
      <c r="A128">
        <v>6.5</v>
      </c>
      <c r="R128">
        <v>124</v>
      </c>
    </row>
    <row r="129" spans="1:18" x14ac:dyDescent="0.25">
      <c r="A129">
        <v>6.6</v>
      </c>
      <c r="R129">
        <v>125</v>
      </c>
    </row>
    <row r="130" spans="1:18" x14ac:dyDescent="0.25">
      <c r="A130">
        <v>6.6</v>
      </c>
      <c r="R130">
        <v>126</v>
      </c>
    </row>
    <row r="131" spans="1:18" x14ac:dyDescent="0.25">
      <c r="A131">
        <v>6.7</v>
      </c>
      <c r="R131">
        <v>127</v>
      </c>
    </row>
    <row r="132" spans="1:18" x14ac:dyDescent="0.25">
      <c r="A132">
        <v>6.7</v>
      </c>
      <c r="R132">
        <v>128</v>
      </c>
    </row>
    <row r="133" spans="1:18" x14ac:dyDescent="0.25">
      <c r="A133">
        <v>6.7</v>
      </c>
      <c r="R133">
        <v>129</v>
      </c>
    </row>
    <row r="134" spans="1:18" x14ac:dyDescent="0.25">
      <c r="A134">
        <v>6.7</v>
      </c>
      <c r="R134">
        <v>130</v>
      </c>
    </row>
    <row r="135" spans="1:18" x14ac:dyDescent="0.25">
      <c r="A135">
        <v>6.7</v>
      </c>
      <c r="R135">
        <v>131</v>
      </c>
    </row>
    <row r="136" spans="1:18" x14ac:dyDescent="0.25">
      <c r="A136">
        <v>6.7</v>
      </c>
      <c r="R136">
        <v>132</v>
      </c>
    </row>
    <row r="137" spans="1:18" x14ac:dyDescent="0.25">
      <c r="A137">
        <v>6.7</v>
      </c>
      <c r="R137">
        <v>133</v>
      </c>
    </row>
    <row r="138" spans="1:18" x14ac:dyDescent="0.25">
      <c r="A138">
        <v>6.7</v>
      </c>
      <c r="R138">
        <v>134</v>
      </c>
    </row>
    <row r="139" spans="1:18" x14ac:dyDescent="0.25">
      <c r="A139">
        <v>6.8</v>
      </c>
      <c r="R139">
        <v>135</v>
      </c>
    </row>
    <row r="140" spans="1:18" x14ac:dyDescent="0.25">
      <c r="A140">
        <v>6.8</v>
      </c>
      <c r="R140">
        <v>136</v>
      </c>
    </row>
    <row r="141" spans="1:18" x14ac:dyDescent="0.25">
      <c r="A141">
        <v>6.8</v>
      </c>
      <c r="R141">
        <v>137</v>
      </c>
    </row>
    <row r="142" spans="1:18" x14ac:dyDescent="0.25">
      <c r="A142">
        <v>6.9</v>
      </c>
      <c r="R142">
        <v>138</v>
      </c>
    </row>
    <row r="143" spans="1:18" x14ac:dyDescent="0.25">
      <c r="A143">
        <v>6.9</v>
      </c>
      <c r="R143">
        <v>139</v>
      </c>
    </row>
    <row r="144" spans="1:18" x14ac:dyDescent="0.25">
      <c r="A144">
        <v>6.9</v>
      </c>
      <c r="R144">
        <v>140</v>
      </c>
    </row>
    <row r="145" spans="1:18" x14ac:dyDescent="0.25">
      <c r="A145">
        <v>6.9</v>
      </c>
      <c r="R145">
        <v>141</v>
      </c>
    </row>
    <row r="146" spans="1:18" x14ac:dyDescent="0.25">
      <c r="A146">
        <v>7</v>
      </c>
      <c r="R146">
        <v>142</v>
      </c>
    </row>
    <row r="147" spans="1:18" x14ac:dyDescent="0.25">
      <c r="A147">
        <v>7.1</v>
      </c>
      <c r="R147">
        <v>143</v>
      </c>
    </row>
    <row r="148" spans="1:18" x14ac:dyDescent="0.25">
      <c r="A148">
        <v>7.2</v>
      </c>
      <c r="R148">
        <v>144</v>
      </c>
    </row>
    <row r="149" spans="1:18" x14ac:dyDescent="0.25">
      <c r="A149">
        <v>7.2</v>
      </c>
      <c r="R149">
        <v>145</v>
      </c>
    </row>
    <row r="150" spans="1:18" x14ac:dyDescent="0.25">
      <c r="A150">
        <v>7.2</v>
      </c>
      <c r="R150">
        <v>146</v>
      </c>
    </row>
    <row r="151" spans="1:18" x14ac:dyDescent="0.25">
      <c r="A151">
        <v>7.3</v>
      </c>
      <c r="R151">
        <v>147</v>
      </c>
    </row>
    <row r="152" spans="1:18" x14ac:dyDescent="0.25">
      <c r="A152">
        <v>7.4</v>
      </c>
      <c r="R152">
        <v>148</v>
      </c>
    </row>
    <row r="153" spans="1:18" x14ac:dyDescent="0.25">
      <c r="A153">
        <v>7.6</v>
      </c>
      <c r="R153">
        <v>149</v>
      </c>
    </row>
    <row r="154" spans="1:18" x14ac:dyDescent="0.25">
      <c r="A154">
        <v>7.7</v>
      </c>
      <c r="R154">
        <v>150</v>
      </c>
    </row>
    <row r="155" spans="1:18" x14ac:dyDescent="0.25">
      <c r="A155">
        <v>7.7</v>
      </c>
    </row>
    <row r="156" spans="1:18" x14ac:dyDescent="0.25">
      <c r="A156">
        <v>7.7</v>
      </c>
    </row>
    <row r="157" spans="1:18" x14ac:dyDescent="0.25">
      <c r="A157">
        <v>7.7</v>
      </c>
    </row>
    <row r="158" spans="1:18" x14ac:dyDescent="0.25">
      <c r="A158">
        <v>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A6513-2BD6-4727-873A-C7F7B35CCD00}">
  <dimension ref="A1:H151"/>
  <sheetViews>
    <sheetView workbookViewId="0">
      <selection activeCell="H6" sqref="H6"/>
    </sheetView>
  </sheetViews>
  <sheetFormatPr defaultRowHeight="15" x14ac:dyDescent="0.25"/>
  <cols>
    <col min="1" max="1" width="15.28515625" bestFit="1" customWidth="1"/>
    <col min="4" max="4" width="13.140625" bestFit="1" customWidth="1"/>
    <col min="6" max="6" width="11.5703125" bestFit="1" customWidth="1"/>
    <col min="7" max="7" width="15.28515625" bestFit="1" customWidth="1"/>
    <col min="8" max="8" width="17.28515625" bestFit="1" customWidth="1"/>
  </cols>
  <sheetData>
    <row r="1" spans="1:8" x14ac:dyDescent="0.25">
      <c r="A1" s="2" t="s">
        <v>43</v>
      </c>
      <c r="B1" s="2" t="s">
        <v>44</v>
      </c>
      <c r="C1" s="2" t="s">
        <v>45</v>
      </c>
      <c r="D1" s="2" t="s">
        <v>46</v>
      </c>
      <c r="E1" s="2" t="s">
        <v>47</v>
      </c>
      <c r="F1" s="2" t="s">
        <v>48</v>
      </c>
      <c r="G1" s="2" t="s">
        <v>49</v>
      </c>
    </row>
    <row r="2" spans="1:8" x14ac:dyDescent="0.25">
      <c r="A2" s="3" t="str">
        <f>RAW_DATA!E2</f>
        <v>setosa</v>
      </c>
      <c r="B2" s="3" t="str">
        <f>TRIM(A2)</f>
        <v>setosa</v>
      </c>
      <c r="C2" s="3" t="str">
        <f>CLEAN(A2)</f>
        <v>setosa</v>
      </c>
      <c r="D2" s="3" t="str">
        <f>TRIM(CLEAN(A2))</f>
        <v>setosa</v>
      </c>
      <c r="E2" s="3" t="str">
        <f>SUBSTITUTE(D2,"setosa","Setosa")</f>
        <v>Setosa</v>
      </c>
      <c r="F2" s="3" t="str">
        <f>IF(ISBLANK(A2),"Missing","Complete")</f>
        <v>Complete</v>
      </c>
      <c r="G2" s="3" t="str">
        <f>IF(COUNTIF($A$2:A2,A2)&gt;1,"Duplicate","Unique")</f>
        <v>Unique</v>
      </c>
    </row>
    <row r="3" spans="1:8" x14ac:dyDescent="0.25">
      <c r="A3" s="3" t="str">
        <f>RAW_DATA!E3</f>
        <v>setosa</v>
      </c>
      <c r="B3" s="3" t="str">
        <f t="shared" ref="B3:B66" si="0">TRIM(A3)</f>
        <v>setosa</v>
      </c>
      <c r="C3" s="3" t="str">
        <f t="shared" ref="C3:C66" si="1">CLEAN(A3)</f>
        <v>setosa</v>
      </c>
      <c r="D3" s="3" t="str">
        <f t="shared" ref="D3:D66" si="2">TRIM(CLEAN(A3))</f>
        <v>setosa</v>
      </c>
      <c r="E3" s="3" t="str">
        <f t="shared" ref="E3:E66" si="3">SUBSTITUTE(D3,"setosa","Setosa")</f>
        <v>Setosa</v>
      </c>
      <c r="F3" s="3" t="str">
        <f t="shared" ref="F3:F66" si="4">IF(ISBLANK(A3),"Missing","Complete")</f>
        <v>Complete</v>
      </c>
      <c r="G3" s="3" t="str">
        <f>IF(COUNTIF($A$2:A3,A3)&gt;1,"Duplicate","Unique")</f>
        <v>Duplicate</v>
      </c>
    </row>
    <row r="4" spans="1:8" x14ac:dyDescent="0.25">
      <c r="A4" s="3" t="str">
        <f>RAW_DATA!E4</f>
        <v>setosa</v>
      </c>
      <c r="B4" s="3" t="str">
        <f t="shared" si="0"/>
        <v>setosa</v>
      </c>
      <c r="C4" s="3" t="str">
        <f t="shared" si="1"/>
        <v>setosa</v>
      </c>
      <c r="D4" s="3" t="str">
        <f t="shared" si="2"/>
        <v>setosa</v>
      </c>
      <c r="E4" s="3" t="str">
        <f t="shared" si="3"/>
        <v>Setosa</v>
      </c>
      <c r="F4" s="3" t="str">
        <f t="shared" si="4"/>
        <v>Complete</v>
      </c>
      <c r="G4" s="3" t="str">
        <f>IF(COUNTIF($A$2:A4,A4)&gt;1,"Duplicate","Unique")</f>
        <v>Duplicate</v>
      </c>
      <c r="H4" s="3"/>
    </row>
    <row r="5" spans="1:8" x14ac:dyDescent="0.25">
      <c r="A5" s="3" t="str">
        <f>RAW_DATA!E5</f>
        <v>setosa</v>
      </c>
      <c r="B5" s="3" t="str">
        <f t="shared" si="0"/>
        <v>setosa</v>
      </c>
      <c r="C5" s="3" t="str">
        <f t="shared" si="1"/>
        <v>setosa</v>
      </c>
      <c r="D5" s="3" t="str">
        <f t="shared" si="2"/>
        <v>setosa</v>
      </c>
      <c r="E5" s="3" t="str">
        <f t="shared" si="3"/>
        <v>Setosa</v>
      </c>
      <c r="F5" s="3" t="str">
        <f t="shared" si="4"/>
        <v>Complete</v>
      </c>
      <c r="G5" s="3" t="str">
        <f>IF(COUNTIF($A$2:A5,A5)&gt;1,"Duplicate","Unique")</f>
        <v>Duplicate</v>
      </c>
    </row>
    <row r="6" spans="1:8" x14ac:dyDescent="0.25">
      <c r="A6" s="3" t="str">
        <f>RAW_DATA!E6</f>
        <v>setosa</v>
      </c>
      <c r="B6" s="3" t="str">
        <f t="shared" si="0"/>
        <v>setosa</v>
      </c>
      <c r="C6" s="3" t="str">
        <f t="shared" si="1"/>
        <v>setosa</v>
      </c>
      <c r="D6" s="3" t="str">
        <f t="shared" si="2"/>
        <v>setosa</v>
      </c>
      <c r="E6" s="3" t="str">
        <f t="shared" si="3"/>
        <v>Setosa</v>
      </c>
      <c r="F6" s="3" t="str">
        <f t="shared" si="4"/>
        <v>Complete</v>
      </c>
      <c r="G6" s="3" t="str">
        <f>IF(COUNTIF($A$2:A6,A6)&gt;1,"Duplicate","Unique")</f>
        <v>Duplicate</v>
      </c>
    </row>
    <row r="7" spans="1:8" x14ac:dyDescent="0.25">
      <c r="A7" s="3" t="str">
        <f>RAW_DATA!E7</f>
        <v>setosa</v>
      </c>
      <c r="B7" s="3" t="str">
        <f t="shared" si="0"/>
        <v>setosa</v>
      </c>
      <c r="C7" s="3" t="str">
        <f t="shared" si="1"/>
        <v>setosa</v>
      </c>
      <c r="D7" s="3" t="str">
        <f t="shared" si="2"/>
        <v>setosa</v>
      </c>
      <c r="E7" s="3" t="str">
        <f t="shared" si="3"/>
        <v>Setosa</v>
      </c>
      <c r="F7" s="3" t="str">
        <f t="shared" si="4"/>
        <v>Complete</v>
      </c>
      <c r="G7" s="3" t="str">
        <f>IF(COUNTIF($A$2:A7,A7)&gt;1,"Duplicate","Unique")</f>
        <v>Duplicate</v>
      </c>
    </row>
    <row r="8" spans="1:8" x14ac:dyDescent="0.25">
      <c r="A8" s="3" t="str">
        <f>RAW_DATA!E8</f>
        <v>setosa</v>
      </c>
      <c r="B8" s="3" t="str">
        <f t="shared" si="0"/>
        <v>setosa</v>
      </c>
      <c r="C8" s="3" t="str">
        <f t="shared" si="1"/>
        <v>setosa</v>
      </c>
      <c r="D8" s="3" t="str">
        <f t="shared" si="2"/>
        <v>setosa</v>
      </c>
      <c r="E8" s="3" t="str">
        <f t="shared" si="3"/>
        <v>Setosa</v>
      </c>
      <c r="F8" s="3" t="str">
        <f t="shared" si="4"/>
        <v>Complete</v>
      </c>
      <c r="G8" s="3" t="str">
        <f>IF(COUNTIF($A$2:A8,A8)&gt;1,"Duplicate","Unique")</f>
        <v>Duplicate</v>
      </c>
    </row>
    <row r="9" spans="1:8" x14ac:dyDescent="0.25">
      <c r="A9" s="3" t="str">
        <f>RAW_DATA!E9</f>
        <v>setosa</v>
      </c>
      <c r="B9" s="3" t="str">
        <f t="shared" si="0"/>
        <v>setosa</v>
      </c>
      <c r="C9" s="3" t="str">
        <f t="shared" si="1"/>
        <v>setosa</v>
      </c>
      <c r="D9" s="3" t="str">
        <f t="shared" si="2"/>
        <v>setosa</v>
      </c>
      <c r="E9" s="3" t="str">
        <f t="shared" si="3"/>
        <v>Setosa</v>
      </c>
      <c r="F9" s="3" t="str">
        <f t="shared" si="4"/>
        <v>Complete</v>
      </c>
      <c r="G9" s="3" t="str">
        <f>IF(COUNTIF($A$2:A9,A9)&gt;1,"Duplicate","Unique")</f>
        <v>Duplicate</v>
      </c>
    </row>
    <row r="10" spans="1:8" x14ac:dyDescent="0.25">
      <c r="A10" s="3" t="str">
        <f>RAW_DATA!E10</f>
        <v>setosa</v>
      </c>
      <c r="B10" s="3" t="str">
        <f t="shared" si="0"/>
        <v>setosa</v>
      </c>
      <c r="C10" s="3" t="str">
        <f t="shared" si="1"/>
        <v>setosa</v>
      </c>
      <c r="D10" s="3" t="str">
        <f t="shared" si="2"/>
        <v>setosa</v>
      </c>
      <c r="E10" s="3" t="str">
        <f t="shared" si="3"/>
        <v>Setosa</v>
      </c>
      <c r="F10" s="3" t="str">
        <f t="shared" si="4"/>
        <v>Complete</v>
      </c>
      <c r="G10" s="3" t="str">
        <f>IF(COUNTIF($A$2:A10,A10)&gt;1,"Duplicate","Unique")</f>
        <v>Duplicate</v>
      </c>
    </row>
    <row r="11" spans="1:8" x14ac:dyDescent="0.25">
      <c r="A11" s="3" t="str">
        <f>RAW_DATA!E11</f>
        <v>setosa</v>
      </c>
      <c r="B11" s="3" t="str">
        <f t="shared" si="0"/>
        <v>setosa</v>
      </c>
      <c r="C11" s="3" t="str">
        <f t="shared" si="1"/>
        <v>setosa</v>
      </c>
      <c r="D11" s="3" t="str">
        <f t="shared" si="2"/>
        <v>setosa</v>
      </c>
      <c r="E11" s="3" t="str">
        <f t="shared" si="3"/>
        <v>Setosa</v>
      </c>
      <c r="F11" s="3" t="str">
        <f t="shared" si="4"/>
        <v>Complete</v>
      </c>
      <c r="G11" s="3" t="str">
        <f>IF(COUNTIF($A$2:A11,A11)&gt;1,"Duplicate","Unique")</f>
        <v>Duplicate</v>
      </c>
    </row>
    <row r="12" spans="1:8" x14ac:dyDescent="0.25">
      <c r="A12" s="3" t="str">
        <f>RAW_DATA!E12</f>
        <v>setosa</v>
      </c>
      <c r="B12" s="3" t="str">
        <f t="shared" si="0"/>
        <v>setosa</v>
      </c>
      <c r="C12" s="3" t="str">
        <f t="shared" si="1"/>
        <v>setosa</v>
      </c>
      <c r="D12" s="3" t="str">
        <f t="shared" si="2"/>
        <v>setosa</v>
      </c>
      <c r="E12" s="3" t="str">
        <f t="shared" si="3"/>
        <v>Setosa</v>
      </c>
      <c r="F12" s="3" t="str">
        <f t="shared" si="4"/>
        <v>Complete</v>
      </c>
      <c r="G12" s="3" t="str">
        <f>IF(COUNTIF($A$2:A12,A12)&gt;1,"Duplicate","Unique")</f>
        <v>Duplicate</v>
      </c>
    </row>
    <row r="13" spans="1:8" x14ac:dyDescent="0.25">
      <c r="A13" s="3" t="str">
        <f>RAW_DATA!E13</f>
        <v>setosa</v>
      </c>
      <c r="B13" s="3" t="str">
        <f t="shared" si="0"/>
        <v>setosa</v>
      </c>
      <c r="C13" s="3" t="str">
        <f t="shared" si="1"/>
        <v>setosa</v>
      </c>
      <c r="D13" s="3" t="str">
        <f t="shared" si="2"/>
        <v>setosa</v>
      </c>
      <c r="E13" s="3" t="str">
        <f t="shared" si="3"/>
        <v>Setosa</v>
      </c>
      <c r="F13" s="3" t="str">
        <f t="shared" si="4"/>
        <v>Complete</v>
      </c>
      <c r="G13" s="3" t="str">
        <f>IF(COUNTIF($A$2:A13,A13)&gt;1,"Duplicate","Unique")</f>
        <v>Duplicate</v>
      </c>
    </row>
    <row r="14" spans="1:8" x14ac:dyDescent="0.25">
      <c r="A14" s="3" t="str">
        <f>RAW_DATA!E14</f>
        <v>setosa</v>
      </c>
      <c r="B14" s="3" t="str">
        <f t="shared" si="0"/>
        <v>setosa</v>
      </c>
      <c r="C14" s="3" t="str">
        <f t="shared" si="1"/>
        <v>setosa</v>
      </c>
      <c r="D14" s="3" t="str">
        <f t="shared" si="2"/>
        <v>setosa</v>
      </c>
      <c r="E14" s="3" t="str">
        <f t="shared" si="3"/>
        <v>Setosa</v>
      </c>
      <c r="F14" s="3" t="str">
        <f t="shared" si="4"/>
        <v>Complete</v>
      </c>
      <c r="G14" s="3" t="str">
        <f>IF(COUNTIF($A$2:A14,A14)&gt;1,"Duplicate","Unique")</f>
        <v>Duplicate</v>
      </c>
    </row>
    <row r="15" spans="1:8" x14ac:dyDescent="0.25">
      <c r="A15" s="3" t="str">
        <f>RAW_DATA!E15</f>
        <v>setosa</v>
      </c>
      <c r="B15" s="3" t="str">
        <f t="shared" si="0"/>
        <v>setosa</v>
      </c>
      <c r="C15" s="3" t="str">
        <f t="shared" si="1"/>
        <v>setosa</v>
      </c>
      <c r="D15" s="3" t="str">
        <f t="shared" si="2"/>
        <v>setosa</v>
      </c>
      <c r="E15" s="3" t="str">
        <f t="shared" si="3"/>
        <v>Setosa</v>
      </c>
      <c r="F15" s="3" t="str">
        <f t="shared" si="4"/>
        <v>Complete</v>
      </c>
      <c r="G15" s="3" t="str">
        <f>IF(COUNTIF($A$2:A15,A15)&gt;1,"Duplicate","Unique")</f>
        <v>Duplicate</v>
      </c>
    </row>
    <row r="16" spans="1:8" x14ac:dyDescent="0.25">
      <c r="A16" s="3" t="str">
        <f>RAW_DATA!E16</f>
        <v>setosa</v>
      </c>
      <c r="B16" s="3" t="str">
        <f t="shared" si="0"/>
        <v>setosa</v>
      </c>
      <c r="C16" s="3" t="str">
        <f t="shared" si="1"/>
        <v>setosa</v>
      </c>
      <c r="D16" s="3" t="str">
        <f t="shared" si="2"/>
        <v>setosa</v>
      </c>
      <c r="E16" s="3" t="str">
        <f t="shared" si="3"/>
        <v>Setosa</v>
      </c>
      <c r="F16" s="3" t="str">
        <f t="shared" si="4"/>
        <v>Complete</v>
      </c>
      <c r="G16" s="3" t="str">
        <f>IF(COUNTIF($A$2:A16,A16)&gt;1,"Duplicate","Unique")</f>
        <v>Duplicate</v>
      </c>
    </row>
    <row r="17" spans="1:7" x14ac:dyDescent="0.25">
      <c r="A17" s="3" t="str">
        <f>RAW_DATA!E17</f>
        <v>setosa</v>
      </c>
      <c r="B17" s="3" t="str">
        <f t="shared" si="0"/>
        <v>setosa</v>
      </c>
      <c r="C17" s="3" t="str">
        <f t="shared" si="1"/>
        <v>setosa</v>
      </c>
      <c r="D17" s="3" t="str">
        <f t="shared" si="2"/>
        <v>setosa</v>
      </c>
      <c r="E17" s="3" t="str">
        <f t="shared" si="3"/>
        <v>Setosa</v>
      </c>
      <c r="F17" s="3" t="str">
        <f t="shared" si="4"/>
        <v>Complete</v>
      </c>
      <c r="G17" s="3" t="str">
        <f>IF(COUNTIF($A$2:A17,A17)&gt;1,"Duplicate","Unique")</f>
        <v>Duplicate</v>
      </c>
    </row>
    <row r="18" spans="1:7" x14ac:dyDescent="0.25">
      <c r="A18" s="3" t="str">
        <f>RAW_DATA!E18</f>
        <v>setosa</v>
      </c>
      <c r="B18" s="3" t="str">
        <f t="shared" si="0"/>
        <v>setosa</v>
      </c>
      <c r="C18" s="3" t="str">
        <f t="shared" si="1"/>
        <v>setosa</v>
      </c>
      <c r="D18" s="3" t="str">
        <f t="shared" si="2"/>
        <v>setosa</v>
      </c>
      <c r="E18" s="3" t="str">
        <f t="shared" si="3"/>
        <v>Setosa</v>
      </c>
      <c r="F18" s="3" t="str">
        <f t="shared" si="4"/>
        <v>Complete</v>
      </c>
      <c r="G18" s="3" t="str">
        <f>IF(COUNTIF($A$2:A18,A18)&gt;1,"Duplicate","Unique")</f>
        <v>Duplicate</v>
      </c>
    </row>
    <row r="19" spans="1:7" x14ac:dyDescent="0.25">
      <c r="A19" s="3" t="str">
        <f>RAW_DATA!E19</f>
        <v>setosa</v>
      </c>
      <c r="B19" s="3" t="str">
        <f t="shared" si="0"/>
        <v>setosa</v>
      </c>
      <c r="C19" s="3" t="str">
        <f t="shared" si="1"/>
        <v>setosa</v>
      </c>
      <c r="D19" s="3" t="str">
        <f t="shared" si="2"/>
        <v>setosa</v>
      </c>
      <c r="E19" s="3" t="str">
        <f t="shared" si="3"/>
        <v>Setosa</v>
      </c>
      <c r="F19" s="3" t="str">
        <f t="shared" si="4"/>
        <v>Complete</v>
      </c>
      <c r="G19" s="3" t="str">
        <f>IF(COUNTIF($A$2:A19,A19)&gt;1,"Duplicate","Unique")</f>
        <v>Duplicate</v>
      </c>
    </row>
    <row r="20" spans="1:7" x14ac:dyDescent="0.25">
      <c r="A20" s="3" t="str">
        <f>RAW_DATA!E20</f>
        <v>setosa</v>
      </c>
      <c r="B20" s="3" t="str">
        <f t="shared" si="0"/>
        <v>setosa</v>
      </c>
      <c r="C20" s="3" t="str">
        <f t="shared" si="1"/>
        <v>setosa</v>
      </c>
      <c r="D20" s="3" t="str">
        <f t="shared" si="2"/>
        <v>setosa</v>
      </c>
      <c r="E20" s="3" t="str">
        <f t="shared" si="3"/>
        <v>Setosa</v>
      </c>
      <c r="F20" s="3" t="str">
        <f t="shared" si="4"/>
        <v>Complete</v>
      </c>
      <c r="G20" s="3" t="str">
        <f>IF(COUNTIF($A$2:A20,A20)&gt;1,"Duplicate","Unique")</f>
        <v>Duplicate</v>
      </c>
    </row>
    <row r="21" spans="1:7" x14ac:dyDescent="0.25">
      <c r="A21" s="3" t="str">
        <f>RAW_DATA!E21</f>
        <v>setosa</v>
      </c>
      <c r="B21" s="3" t="str">
        <f t="shared" si="0"/>
        <v>setosa</v>
      </c>
      <c r="C21" s="3" t="str">
        <f t="shared" si="1"/>
        <v>setosa</v>
      </c>
      <c r="D21" s="3" t="str">
        <f t="shared" si="2"/>
        <v>setosa</v>
      </c>
      <c r="E21" s="3" t="str">
        <f t="shared" si="3"/>
        <v>Setosa</v>
      </c>
      <c r="F21" s="3" t="str">
        <f t="shared" si="4"/>
        <v>Complete</v>
      </c>
      <c r="G21" s="3" t="str">
        <f>IF(COUNTIF($A$2:A21,A21)&gt;1,"Duplicate","Unique")</f>
        <v>Duplicate</v>
      </c>
    </row>
    <row r="22" spans="1:7" x14ac:dyDescent="0.25">
      <c r="A22" s="3" t="str">
        <f>RAW_DATA!E22</f>
        <v>setosa</v>
      </c>
      <c r="B22" s="3" t="str">
        <f t="shared" si="0"/>
        <v>setosa</v>
      </c>
      <c r="C22" s="3" t="str">
        <f t="shared" si="1"/>
        <v>setosa</v>
      </c>
      <c r="D22" s="3" t="str">
        <f t="shared" si="2"/>
        <v>setosa</v>
      </c>
      <c r="E22" s="3" t="str">
        <f t="shared" si="3"/>
        <v>Setosa</v>
      </c>
      <c r="F22" s="3" t="str">
        <f t="shared" si="4"/>
        <v>Complete</v>
      </c>
      <c r="G22" s="3" t="str">
        <f>IF(COUNTIF($A$2:A22,A22)&gt;1,"Duplicate","Unique")</f>
        <v>Duplicate</v>
      </c>
    </row>
    <row r="23" spans="1:7" x14ac:dyDescent="0.25">
      <c r="A23" s="3" t="str">
        <f>RAW_DATA!E23</f>
        <v>setosa</v>
      </c>
      <c r="B23" s="3" t="str">
        <f t="shared" si="0"/>
        <v>setosa</v>
      </c>
      <c r="C23" s="3" t="str">
        <f t="shared" si="1"/>
        <v>setosa</v>
      </c>
      <c r="D23" s="3" t="str">
        <f t="shared" si="2"/>
        <v>setosa</v>
      </c>
      <c r="E23" s="3" t="str">
        <f t="shared" si="3"/>
        <v>Setosa</v>
      </c>
      <c r="F23" s="3" t="str">
        <f t="shared" si="4"/>
        <v>Complete</v>
      </c>
      <c r="G23" s="3" t="str">
        <f>IF(COUNTIF($A$2:A23,A23)&gt;1,"Duplicate","Unique")</f>
        <v>Duplicate</v>
      </c>
    </row>
    <row r="24" spans="1:7" x14ac:dyDescent="0.25">
      <c r="A24" s="3" t="str">
        <f>RAW_DATA!E24</f>
        <v>setosa</v>
      </c>
      <c r="B24" s="3" t="str">
        <f t="shared" si="0"/>
        <v>setosa</v>
      </c>
      <c r="C24" s="3" t="str">
        <f t="shared" si="1"/>
        <v>setosa</v>
      </c>
      <c r="D24" s="3" t="str">
        <f t="shared" si="2"/>
        <v>setosa</v>
      </c>
      <c r="E24" s="3" t="str">
        <f t="shared" si="3"/>
        <v>Setosa</v>
      </c>
      <c r="F24" s="3" t="str">
        <f t="shared" si="4"/>
        <v>Complete</v>
      </c>
      <c r="G24" s="3" t="str">
        <f>IF(COUNTIF($A$2:A24,A24)&gt;1,"Duplicate","Unique")</f>
        <v>Duplicate</v>
      </c>
    </row>
    <row r="25" spans="1:7" x14ac:dyDescent="0.25">
      <c r="A25" s="3" t="str">
        <f>RAW_DATA!E25</f>
        <v>setosa</v>
      </c>
      <c r="B25" s="3" t="str">
        <f t="shared" si="0"/>
        <v>setosa</v>
      </c>
      <c r="C25" s="3" t="str">
        <f t="shared" si="1"/>
        <v>setosa</v>
      </c>
      <c r="D25" s="3" t="str">
        <f t="shared" si="2"/>
        <v>setosa</v>
      </c>
      <c r="E25" s="3" t="str">
        <f t="shared" si="3"/>
        <v>Setosa</v>
      </c>
      <c r="F25" s="3" t="str">
        <f t="shared" si="4"/>
        <v>Complete</v>
      </c>
      <c r="G25" s="3" t="str">
        <f>IF(COUNTIF($A$2:A25,A25)&gt;1,"Duplicate","Unique")</f>
        <v>Duplicate</v>
      </c>
    </row>
    <row r="26" spans="1:7" x14ac:dyDescent="0.25">
      <c r="A26" s="3" t="str">
        <f>RAW_DATA!E26</f>
        <v>setosa</v>
      </c>
      <c r="B26" s="3" t="str">
        <f t="shared" si="0"/>
        <v>setosa</v>
      </c>
      <c r="C26" s="3" t="str">
        <f t="shared" si="1"/>
        <v>setosa</v>
      </c>
      <c r="D26" s="3" t="str">
        <f t="shared" si="2"/>
        <v>setosa</v>
      </c>
      <c r="E26" s="3" t="str">
        <f t="shared" si="3"/>
        <v>Setosa</v>
      </c>
      <c r="F26" s="3" t="str">
        <f t="shared" si="4"/>
        <v>Complete</v>
      </c>
      <c r="G26" s="3" t="str">
        <f>IF(COUNTIF($A$2:A26,A26)&gt;1,"Duplicate","Unique")</f>
        <v>Duplicate</v>
      </c>
    </row>
    <row r="27" spans="1:7" x14ac:dyDescent="0.25">
      <c r="A27" s="3" t="str">
        <f>RAW_DATA!E27</f>
        <v>setosa</v>
      </c>
      <c r="B27" s="3" t="str">
        <f t="shared" si="0"/>
        <v>setosa</v>
      </c>
      <c r="C27" s="3" t="str">
        <f t="shared" si="1"/>
        <v>setosa</v>
      </c>
      <c r="D27" s="3" t="str">
        <f t="shared" si="2"/>
        <v>setosa</v>
      </c>
      <c r="E27" s="3" t="str">
        <f t="shared" si="3"/>
        <v>Setosa</v>
      </c>
      <c r="F27" s="3" t="str">
        <f t="shared" si="4"/>
        <v>Complete</v>
      </c>
      <c r="G27" s="3" t="str">
        <f>IF(COUNTIF($A$2:A27,A27)&gt;1,"Duplicate","Unique")</f>
        <v>Duplicate</v>
      </c>
    </row>
    <row r="28" spans="1:7" x14ac:dyDescent="0.25">
      <c r="A28" s="3" t="str">
        <f>RAW_DATA!E28</f>
        <v>setosa</v>
      </c>
      <c r="B28" s="3" t="str">
        <f t="shared" si="0"/>
        <v>setosa</v>
      </c>
      <c r="C28" s="3" t="str">
        <f t="shared" si="1"/>
        <v>setosa</v>
      </c>
      <c r="D28" s="3" t="str">
        <f t="shared" si="2"/>
        <v>setosa</v>
      </c>
      <c r="E28" s="3" t="str">
        <f t="shared" si="3"/>
        <v>Setosa</v>
      </c>
      <c r="F28" s="3" t="str">
        <f t="shared" si="4"/>
        <v>Complete</v>
      </c>
      <c r="G28" s="3" t="str">
        <f>IF(COUNTIF($A$2:A28,A28)&gt;1,"Duplicate","Unique")</f>
        <v>Duplicate</v>
      </c>
    </row>
    <row r="29" spans="1:7" x14ac:dyDescent="0.25">
      <c r="A29" s="3" t="str">
        <f>RAW_DATA!E29</f>
        <v>setosa</v>
      </c>
      <c r="B29" s="3" t="str">
        <f t="shared" si="0"/>
        <v>setosa</v>
      </c>
      <c r="C29" s="3" t="str">
        <f t="shared" si="1"/>
        <v>setosa</v>
      </c>
      <c r="D29" s="3" t="str">
        <f t="shared" si="2"/>
        <v>setosa</v>
      </c>
      <c r="E29" s="3" t="str">
        <f t="shared" si="3"/>
        <v>Setosa</v>
      </c>
      <c r="F29" s="3" t="str">
        <f t="shared" si="4"/>
        <v>Complete</v>
      </c>
      <c r="G29" s="3" t="str">
        <f>IF(COUNTIF($A$2:A29,A29)&gt;1,"Duplicate","Unique")</f>
        <v>Duplicate</v>
      </c>
    </row>
    <row r="30" spans="1:7" x14ac:dyDescent="0.25">
      <c r="A30" s="3" t="str">
        <f>RAW_DATA!E30</f>
        <v>setosa</v>
      </c>
      <c r="B30" s="3" t="str">
        <f t="shared" si="0"/>
        <v>setosa</v>
      </c>
      <c r="C30" s="3" t="str">
        <f t="shared" si="1"/>
        <v>setosa</v>
      </c>
      <c r="D30" s="3" t="str">
        <f t="shared" si="2"/>
        <v>setosa</v>
      </c>
      <c r="E30" s="3" t="str">
        <f t="shared" si="3"/>
        <v>Setosa</v>
      </c>
      <c r="F30" s="3" t="str">
        <f t="shared" si="4"/>
        <v>Complete</v>
      </c>
      <c r="G30" s="3" t="str">
        <f>IF(COUNTIF($A$2:A30,A30)&gt;1,"Duplicate","Unique")</f>
        <v>Duplicate</v>
      </c>
    </row>
    <row r="31" spans="1:7" x14ac:dyDescent="0.25">
      <c r="A31" s="3" t="str">
        <f>RAW_DATA!E31</f>
        <v>setosa</v>
      </c>
      <c r="B31" s="3" t="str">
        <f t="shared" si="0"/>
        <v>setosa</v>
      </c>
      <c r="C31" s="3" t="str">
        <f t="shared" si="1"/>
        <v>setosa</v>
      </c>
      <c r="D31" s="3" t="str">
        <f t="shared" si="2"/>
        <v>setosa</v>
      </c>
      <c r="E31" s="3" t="str">
        <f t="shared" si="3"/>
        <v>Setosa</v>
      </c>
      <c r="F31" s="3" t="str">
        <f t="shared" si="4"/>
        <v>Complete</v>
      </c>
      <c r="G31" s="3" t="str">
        <f>IF(COUNTIF($A$2:A31,A31)&gt;1,"Duplicate","Unique")</f>
        <v>Duplicate</v>
      </c>
    </row>
    <row r="32" spans="1:7" x14ac:dyDescent="0.25">
      <c r="A32" s="3" t="str">
        <f>RAW_DATA!E32</f>
        <v>setosa</v>
      </c>
      <c r="B32" s="3" t="str">
        <f t="shared" si="0"/>
        <v>setosa</v>
      </c>
      <c r="C32" s="3" t="str">
        <f t="shared" si="1"/>
        <v>setosa</v>
      </c>
      <c r="D32" s="3" t="str">
        <f t="shared" si="2"/>
        <v>setosa</v>
      </c>
      <c r="E32" s="3" t="str">
        <f t="shared" si="3"/>
        <v>Setosa</v>
      </c>
      <c r="F32" s="3" t="str">
        <f t="shared" si="4"/>
        <v>Complete</v>
      </c>
      <c r="G32" s="3" t="str">
        <f>IF(COUNTIF($A$2:A32,A32)&gt;1,"Duplicate","Unique")</f>
        <v>Duplicate</v>
      </c>
    </row>
    <row r="33" spans="1:7" x14ac:dyDescent="0.25">
      <c r="A33" s="3" t="str">
        <f>RAW_DATA!E33</f>
        <v>setosa</v>
      </c>
      <c r="B33" s="3" t="str">
        <f t="shared" si="0"/>
        <v>setosa</v>
      </c>
      <c r="C33" s="3" t="str">
        <f t="shared" si="1"/>
        <v>setosa</v>
      </c>
      <c r="D33" s="3" t="str">
        <f t="shared" si="2"/>
        <v>setosa</v>
      </c>
      <c r="E33" s="3" t="str">
        <f t="shared" si="3"/>
        <v>Setosa</v>
      </c>
      <c r="F33" s="3" t="str">
        <f t="shared" si="4"/>
        <v>Complete</v>
      </c>
      <c r="G33" s="3" t="str">
        <f>IF(COUNTIF($A$2:A33,A33)&gt;1,"Duplicate","Unique")</f>
        <v>Duplicate</v>
      </c>
    </row>
    <row r="34" spans="1:7" x14ac:dyDescent="0.25">
      <c r="A34" s="3" t="str">
        <f>RAW_DATA!E34</f>
        <v>setosa</v>
      </c>
      <c r="B34" s="3" t="str">
        <f t="shared" si="0"/>
        <v>setosa</v>
      </c>
      <c r="C34" s="3" t="str">
        <f t="shared" si="1"/>
        <v>setosa</v>
      </c>
      <c r="D34" s="3" t="str">
        <f t="shared" si="2"/>
        <v>setosa</v>
      </c>
      <c r="E34" s="3" t="str">
        <f t="shared" si="3"/>
        <v>Setosa</v>
      </c>
      <c r="F34" s="3" t="str">
        <f t="shared" si="4"/>
        <v>Complete</v>
      </c>
      <c r="G34" s="3" t="str">
        <f>IF(COUNTIF($A$2:A34,A34)&gt;1,"Duplicate","Unique")</f>
        <v>Duplicate</v>
      </c>
    </row>
    <row r="35" spans="1:7" x14ac:dyDescent="0.25">
      <c r="A35" s="3" t="str">
        <f>RAW_DATA!E35</f>
        <v>setosa</v>
      </c>
      <c r="B35" s="3" t="str">
        <f t="shared" si="0"/>
        <v>setosa</v>
      </c>
      <c r="C35" s="3" t="str">
        <f t="shared" si="1"/>
        <v>setosa</v>
      </c>
      <c r="D35" s="3" t="str">
        <f t="shared" si="2"/>
        <v>setosa</v>
      </c>
      <c r="E35" s="3" t="str">
        <f t="shared" si="3"/>
        <v>Setosa</v>
      </c>
      <c r="F35" s="3" t="str">
        <f t="shared" si="4"/>
        <v>Complete</v>
      </c>
      <c r="G35" s="3" t="str">
        <f>IF(COUNTIF($A$2:A35,A35)&gt;1,"Duplicate","Unique")</f>
        <v>Duplicate</v>
      </c>
    </row>
    <row r="36" spans="1:7" x14ac:dyDescent="0.25">
      <c r="A36" s="3" t="str">
        <f>RAW_DATA!E36</f>
        <v>setosa</v>
      </c>
      <c r="B36" s="3" t="str">
        <f t="shared" si="0"/>
        <v>setosa</v>
      </c>
      <c r="C36" s="3" t="str">
        <f t="shared" si="1"/>
        <v>setosa</v>
      </c>
      <c r="D36" s="3" t="str">
        <f t="shared" si="2"/>
        <v>setosa</v>
      </c>
      <c r="E36" s="3" t="str">
        <f t="shared" si="3"/>
        <v>Setosa</v>
      </c>
      <c r="F36" s="3" t="str">
        <f t="shared" si="4"/>
        <v>Complete</v>
      </c>
      <c r="G36" s="3" t="str">
        <f>IF(COUNTIF($A$2:A36,A36)&gt;1,"Duplicate","Unique")</f>
        <v>Duplicate</v>
      </c>
    </row>
    <row r="37" spans="1:7" x14ac:dyDescent="0.25">
      <c r="A37" s="3" t="str">
        <f>RAW_DATA!E37</f>
        <v>setosa</v>
      </c>
      <c r="B37" s="3" t="str">
        <f t="shared" si="0"/>
        <v>setosa</v>
      </c>
      <c r="C37" s="3" t="str">
        <f t="shared" si="1"/>
        <v>setosa</v>
      </c>
      <c r="D37" s="3" t="str">
        <f t="shared" si="2"/>
        <v>setosa</v>
      </c>
      <c r="E37" s="3" t="str">
        <f t="shared" si="3"/>
        <v>Setosa</v>
      </c>
      <c r="F37" s="3" t="str">
        <f t="shared" si="4"/>
        <v>Complete</v>
      </c>
      <c r="G37" s="3" t="str">
        <f>IF(COUNTIF($A$2:A37,A37)&gt;1,"Duplicate","Unique")</f>
        <v>Duplicate</v>
      </c>
    </row>
    <row r="38" spans="1:7" x14ac:dyDescent="0.25">
      <c r="A38" s="3" t="str">
        <f>RAW_DATA!E38</f>
        <v>setosa</v>
      </c>
      <c r="B38" s="3" t="str">
        <f t="shared" si="0"/>
        <v>setosa</v>
      </c>
      <c r="C38" s="3" t="str">
        <f t="shared" si="1"/>
        <v>setosa</v>
      </c>
      <c r="D38" s="3" t="str">
        <f t="shared" si="2"/>
        <v>setosa</v>
      </c>
      <c r="E38" s="3" t="str">
        <f t="shared" si="3"/>
        <v>Setosa</v>
      </c>
      <c r="F38" s="3" t="str">
        <f t="shared" si="4"/>
        <v>Complete</v>
      </c>
      <c r="G38" s="3" t="str">
        <f>IF(COUNTIF($A$2:A38,A38)&gt;1,"Duplicate","Unique")</f>
        <v>Duplicate</v>
      </c>
    </row>
    <row r="39" spans="1:7" x14ac:dyDescent="0.25">
      <c r="A39" s="3" t="str">
        <f>RAW_DATA!E39</f>
        <v>setosa</v>
      </c>
      <c r="B39" s="3" t="str">
        <f t="shared" si="0"/>
        <v>setosa</v>
      </c>
      <c r="C39" s="3" t="str">
        <f t="shared" si="1"/>
        <v>setosa</v>
      </c>
      <c r="D39" s="3" t="str">
        <f t="shared" si="2"/>
        <v>setosa</v>
      </c>
      <c r="E39" s="3" t="str">
        <f t="shared" si="3"/>
        <v>Setosa</v>
      </c>
      <c r="F39" s="3" t="str">
        <f t="shared" si="4"/>
        <v>Complete</v>
      </c>
      <c r="G39" s="3" t="str">
        <f>IF(COUNTIF($A$2:A39,A39)&gt;1,"Duplicate","Unique")</f>
        <v>Duplicate</v>
      </c>
    </row>
    <row r="40" spans="1:7" x14ac:dyDescent="0.25">
      <c r="A40" s="3" t="str">
        <f>RAW_DATA!E40</f>
        <v>setosa</v>
      </c>
      <c r="B40" s="3" t="str">
        <f t="shared" si="0"/>
        <v>setosa</v>
      </c>
      <c r="C40" s="3" t="str">
        <f t="shared" si="1"/>
        <v>setosa</v>
      </c>
      <c r="D40" s="3" t="str">
        <f t="shared" si="2"/>
        <v>setosa</v>
      </c>
      <c r="E40" s="3" t="str">
        <f t="shared" si="3"/>
        <v>Setosa</v>
      </c>
      <c r="F40" s="3" t="str">
        <f t="shared" si="4"/>
        <v>Complete</v>
      </c>
      <c r="G40" s="3" t="str">
        <f>IF(COUNTIF($A$2:A40,A40)&gt;1,"Duplicate","Unique")</f>
        <v>Duplicate</v>
      </c>
    </row>
    <row r="41" spans="1:7" x14ac:dyDescent="0.25">
      <c r="A41" s="3" t="str">
        <f>RAW_DATA!E41</f>
        <v>setosa</v>
      </c>
      <c r="B41" s="3" t="str">
        <f t="shared" si="0"/>
        <v>setosa</v>
      </c>
      <c r="C41" s="3" t="str">
        <f t="shared" si="1"/>
        <v>setosa</v>
      </c>
      <c r="D41" s="3" t="str">
        <f t="shared" si="2"/>
        <v>setosa</v>
      </c>
      <c r="E41" s="3" t="str">
        <f t="shared" si="3"/>
        <v>Setosa</v>
      </c>
      <c r="F41" s="3" t="str">
        <f t="shared" si="4"/>
        <v>Complete</v>
      </c>
      <c r="G41" s="3" t="str">
        <f>IF(COUNTIF($A$2:A41,A41)&gt;1,"Duplicate","Unique")</f>
        <v>Duplicate</v>
      </c>
    </row>
    <row r="42" spans="1:7" x14ac:dyDescent="0.25">
      <c r="A42" s="3" t="str">
        <f>RAW_DATA!E42</f>
        <v>setosa</v>
      </c>
      <c r="B42" s="3" t="str">
        <f t="shared" si="0"/>
        <v>setosa</v>
      </c>
      <c r="C42" s="3" t="str">
        <f t="shared" si="1"/>
        <v>setosa</v>
      </c>
      <c r="D42" s="3" t="str">
        <f t="shared" si="2"/>
        <v>setosa</v>
      </c>
      <c r="E42" s="3" t="str">
        <f t="shared" si="3"/>
        <v>Setosa</v>
      </c>
      <c r="F42" s="3" t="str">
        <f t="shared" si="4"/>
        <v>Complete</v>
      </c>
      <c r="G42" s="3" t="str">
        <f>IF(COUNTIF($A$2:A42,A42)&gt;1,"Duplicate","Unique")</f>
        <v>Duplicate</v>
      </c>
    </row>
    <row r="43" spans="1:7" x14ac:dyDescent="0.25">
      <c r="A43" s="3" t="str">
        <f>RAW_DATA!E43</f>
        <v>setosa</v>
      </c>
      <c r="B43" s="3" t="str">
        <f t="shared" si="0"/>
        <v>setosa</v>
      </c>
      <c r="C43" s="3" t="str">
        <f t="shared" si="1"/>
        <v>setosa</v>
      </c>
      <c r="D43" s="3" t="str">
        <f t="shared" si="2"/>
        <v>setosa</v>
      </c>
      <c r="E43" s="3" t="str">
        <f t="shared" si="3"/>
        <v>Setosa</v>
      </c>
      <c r="F43" s="3" t="str">
        <f t="shared" si="4"/>
        <v>Complete</v>
      </c>
      <c r="G43" s="3" t="str">
        <f>IF(COUNTIF($A$2:A43,A43)&gt;1,"Duplicate","Unique")</f>
        <v>Duplicate</v>
      </c>
    </row>
    <row r="44" spans="1:7" x14ac:dyDescent="0.25">
      <c r="A44" s="3" t="str">
        <f>RAW_DATA!E44</f>
        <v>setosa</v>
      </c>
      <c r="B44" s="3" t="str">
        <f t="shared" si="0"/>
        <v>setosa</v>
      </c>
      <c r="C44" s="3" t="str">
        <f t="shared" si="1"/>
        <v>setosa</v>
      </c>
      <c r="D44" s="3" t="str">
        <f t="shared" si="2"/>
        <v>setosa</v>
      </c>
      <c r="E44" s="3" t="str">
        <f t="shared" si="3"/>
        <v>Setosa</v>
      </c>
      <c r="F44" s="3" t="str">
        <f t="shared" si="4"/>
        <v>Complete</v>
      </c>
      <c r="G44" s="3" t="str">
        <f>IF(COUNTIF($A$2:A44,A44)&gt;1,"Duplicate","Unique")</f>
        <v>Duplicate</v>
      </c>
    </row>
    <row r="45" spans="1:7" x14ac:dyDescent="0.25">
      <c r="A45" s="3" t="str">
        <f>RAW_DATA!E45</f>
        <v>setosa</v>
      </c>
      <c r="B45" s="3" t="str">
        <f t="shared" si="0"/>
        <v>setosa</v>
      </c>
      <c r="C45" s="3" t="str">
        <f t="shared" si="1"/>
        <v>setosa</v>
      </c>
      <c r="D45" s="3" t="str">
        <f t="shared" si="2"/>
        <v>setosa</v>
      </c>
      <c r="E45" s="3" t="str">
        <f t="shared" si="3"/>
        <v>Setosa</v>
      </c>
      <c r="F45" s="3" t="str">
        <f t="shared" si="4"/>
        <v>Complete</v>
      </c>
      <c r="G45" s="3" t="str">
        <f>IF(COUNTIF($A$2:A45,A45)&gt;1,"Duplicate","Unique")</f>
        <v>Duplicate</v>
      </c>
    </row>
    <row r="46" spans="1:7" x14ac:dyDescent="0.25">
      <c r="A46" s="3" t="str">
        <f>RAW_DATA!E46</f>
        <v>setosa</v>
      </c>
      <c r="B46" s="3" t="str">
        <f t="shared" si="0"/>
        <v>setosa</v>
      </c>
      <c r="C46" s="3" t="str">
        <f t="shared" si="1"/>
        <v>setosa</v>
      </c>
      <c r="D46" s="3" t="str">
        <f t="shared" si="2"/>
        <v>setosa</v>
      </c>
      <c r="E46" s="3" t="str">
        <f t="shared" si="3"/>
        <v>Setosa</v>
      </c>
      <c r="F46" s="3" t="str">
        <f t="shared" si="4"/>
        <v>Complete</v>
      </c>
      <c r="G46" s="3" t="str">
        <f>IF(COUNTIF($A$2:A46,A46)&gt;1,"Duplicate","Unique")</f>
        <v>Duplicate</v>
      </c>
    </row>
    <row r="47" spans="1:7" x14ac:dyDescent="0.25">
      <c r="A47" s="3" t="str">
        <f>RAW_DATA!E47</f>
        <v>setosa</v>
      </c>
      <c r="B47" s="3" t="str">
        <f t="shared" si="0"/>
        <v>setosa</v>
      </c>
      <c r="C47" s="3" t="str">
        <f t="shared" si="1"/>
        <v>setosa</v>
      </c>
      <c r="D47" s="3" t="str">
        <f t="shared" si="2"/>
        <v>setosa</v>
      </c>
      <c r="E47" s="3" t="str">
        <f t="shared" si="3"/>
        <v>Setosa</v>
      </c>
      <c r="F47" s="3" t="str">
        <f t="shared" si="4"/>
        <v>Complete</v>
      </c>
      <c r="G47" s="3" t="str">
        <f>IF(COUNTIF($A$2:A47,A47)&gt;1,"Duplicate","Unique")</f>
        <v>Duplicate</v>
      </c>
    </row>
    <row r="48" spans="1:7" x14ac:dyDescent="0.25">
      <c r="A48" s="3" t="str">
        <f>RAW_DATA!E48</f>
        <v>setosa</v>
      </c>
      <c r="B48" s="3" t="str">
        <f t="shared" si="0"/>
        <v>setosa</v>
      </c>
      <c r="C48" s="3" t="str">
        <f t="shared" si="1"/>
        <v>setosa</v>
      </c>
      <c r="D48" s="3" t="str">
        <f t="shared" si="2"/>
        <v>setosa</v>
      </c>
      <c r="E48" s="3" t="str">
        <f t="shared" si="3"/>
        <v>Setosa</v>
      </c>
      <c r="F48" s="3" t="str">
        <f t="shared" si="4"/>
        <v>Complete</v>
      </c>
      <c r="G48" s="3" t="str">
        <f>IF(COUNTIF($A$2:A48,A48)&gt;1,"Duplicate","Unique")</f>
        <v>Duplicate</v>
      </c>
    </row>
    <row r="49" spans="1:7" x14ac:dyDescent="0.25">
      <c r="A49" s="3" t="str">
        <f>RAW_DATA!E49</f>
        <v>setosa</v>
      </c>
      <c r="B49" s="3" t="str">
        <f t="shared" si="0"/>
        <v>setosa</v>
      </c>
      <c r="C49" s="3" t="str">
        <f t="shared" si="1"/>
        <v>setosa</v>
      </c>
      <c r="D49" s="3" t="str">
        <f t="shared" si="2"/>
        <v>setosa</v>
      </c>
      <c r="E49" s="3" t="str">
        <f t="shared" si="3"/>
        <v>Setosa</v>
      </c>
      <c r="F49" s="3" t="str">
        <f t="shared" si="4"/>
        <v>Complete</v>
      </c>
      <c r="G49" s="3" t="str">
        <f>IF(COUNTIF($A$2:A49,A49)&gt;1,"Duplicate","Unique")</f>
        <v>Duplicate</v>
      </c>
    </row>
    <row r="50" spans="1:7" x14ac:dyDescent="0.25">
      <c r="A50" s="3" t="str">
        <f>RAW_DATA!E50</f>
        <v>setosa</v>
      </c>
      <c r="B50" s="3" t="str">
        <f t="shared" si="0"/>
        <v>setosa</v>
      </c>
      <c r="C50" s="3" t="str">
        <f t="shared" si="1"/>
        <v>setosa</v>
      </c>
      <c r="D50" s="3" t="str">
        <f t="shared" si="2"/>
        <v>setosa</v>
      </c>
      <c r="E50" s="3" t="str">
        <f t="shared" si="3"/>
        <v>Setosa</v>
      </c>
      <c r="F50" s="3" t="str">
        <f t="shared" si="4"/>
        <v>Complete</v>
      </c>
      <c r="G50" s="3" t="str">
        <f>IF(COUNTIF($A$2:A50,A50)&gt;1,"Duplicate","Unique")</f>
        <v>Duplicate</v>
      </c>
    </row>
    <row r="51" spans="1:7" x14ac:dyDescent="0.25">
      <c r="A51" s="3" t="str">
        <f>RAW_DATA!E51</f>
        <v>setosa</v>
      </c>
      <c r="B51" s="3" t="str">
        <f t="shared" si="0"/>
        <v>setosa</v>
      </c>
      <c r="C51" s="3" t="str">
        <f t="shared" si="1"/>
        <v>setosa</v>
      </c>
      <c r="D51" s="3" t="str">
        <f t="shared" si="2"/>
        <v>setosa</v>
      </c>
      <c r="E51" s="3" t="str">
        <f t="shared" si="3"/>
        <v>Setosa</v>
      </c>
      <c r="F51" s="3" t="str">
        <f t="shared" si="4"/>
        <v>Complete</v>
      </c>
      <c r="G51" s="3" t="str">
        <f>IF(COUNTIF($A$2:A51,A51)&gt;1,"Duplicate","Unique")</f>
        <v>Duplicate</v>
      </c>
    </row>
    <row r="52" spans="1:7" x14ac:dyDescent="0.25">
      <c r="A52" s="3" t="str">
        <f>RAW_DATA!E52</f>
        <v>versicolor</v>
      </c>
      <c r="B52" s="3" t="str">
        <f t="shared" si="0"/>
        <v>versicolor</v>
      </c>
      <c r="C52" s="3" t="str">
        <f t="shared" si="1"/>
        <v>versicolor</v>
      </c>
      <c r="D52" s="3" t="str">
        <f t="shared" si="2"/>
        <v>versicolor</v>
      </c>
      <c r="E52" s="3" t="str">
        <f t="shared" si="3"/>
        <v>versicolor</v>
      </c>
      <c r="F52" s="3" t="str">
        <f t="shared" si="4"/>
        <v>Complete</v>
      </c>
      <c r="G52" s="3" t="str">
        <f>IF(COUNTIF($A$2:A52,A52)&gt;1,"Duplicate","Unique")</f>
        <v>Unique</v>
      </c>
    </row>
    <row r="53" spans="1:7" x14ac:dyDescent="0.25">
      <c r="A53" s="3" t="str">
        <f>RAW_DATA!E53</f>
        <v>versicolor</v>
      </c>
      <c r="B53" s="3" t="str">
        <f t="shared" si="0"/>
        <v>versicolor</v>
      </c>
      <c r="C53" s="3" t="str">
        <f t="shared" si="1"/>
        <v>versicolor</v>
      </c>
      <c r="D53" s="3" t="str">
        <f t="shared" si="2"/>
        <v>versicolor</v>
      </c>
      <c r="E53" s="3" t="str">
        <f t="shared" si="3"/>
        <v>versicolor</v>
      </c>
      <c r="F53" s="3" t="str">
        <f t="shared" si="4"/>
        <v>Complete</v>
      </c>
      <c r="G53" s="3" t="str">
        <f>IF(COUNTIF($A$2:A53,A53)&gt;1,"Duplicate","Unique")</f>
        <v>Duplicate</v>
      </c>
    </row>
    <row r="54" spans="1:7" x14ac:dyDescent="0.25">
      <c r="A54" s="3" t="str">
        <f>RAW_DATA!E54</f>
        <v>versicolor</v>
      </c>
      <c r="B54" s="3" t="str">
        <f t="shared" si="0"/>
        <v>versicolor</v>
      </c>
      <c r="C54" s="3" t="str">
        <f t="shared" si="1"/>
        <v>versicolor</v>
      </c>
      <c r="D54" s="3" t="str">
        <f t="shared" si="2"/>
        <v>versicolor</v>
      </c>
      <c r="E54" s="3" t="str">
        <f t="shared" si="3"/>
        <v>versicolor</v>
      </c>
      <c r="F54" s="3" t="str">
        <f t="shared" si="4"/>
        <v>Complete</v>
      </c>
      <c r="G54" s="3" t="str">
        <f>IF(COUNTIF($A$2:A54,A54)&gt;1,"Duplicate","Unique")</f>
        <v>Duplicate</v>
      </c>
    </row>
    <row r="55" spans="1:7" x14ac:dyDescent="0.25">
      <c r="A55" s="3" t="str">
        <f>RAW_DATA!E55</f>
        <v>versicolor</v>
      </c>
      <c r="B55" s="3" t="str">
        <f t="shared" si="0"/>
        <v>versicolor</v>
      </c>
      <c r="C55" s="3" t="str">
        <f t="shared" si="1"/>
        <v>versicolor</v>
      </c>
      <c r="D55" s="3" t="str">
        <f t="shared" si="2"/>
        <v>versicolor</v>
      </c>
      <c r="E55" s="3" t="str">
        <f t="shared" si="3"/>
        <v>versicolor</v>
      </c>
      <c r="F55" s="3" t="str">
        <f t="shared" si="4"/>
        <v>Complete</v>
      </c>
      <c r="G55" s="3" t="str">
        <f>IF(COUNTIF($A$2:A55,A55)&gt;1,"Duplicate","Unique")</f>
        <v>Duplicate</v>
      </c>
    </row>
    <row r="56" spans="1:7" x14ac:dyDescent="0.25">
      <c r="A56" s="3" t="str">
        <f>RAW_DATA!E56</f>
        <v>versicolor</v>
      </c>
      <c r="B56" s="3" t="str">
        <f t="shared" si="0"/>
        <v>versicolor</v>
      </c>
      <c r="C56" s="3" t="str">
        <f t="shared" si="1"/>
        <v>versicolor</v>
      </c>
      <c r="D56" s="3" t="str">
        <f t="shared" si="2"/>
        <v>versicolor</v>
      </c>
      <c r="E56" s="3" t="str">
        <f t="shared" si="3"/>
        <v>versicolor</v>
      </c>
      <c r="F56" s="3" t="str">
        <f t="shared" si="4"/>
        <v>Complete</v>
      </c>
      <c r="G56" s="3" t="str">
        <f>IF(COUNTIF($A$2:A56,A56)&gt;1,"Duplicate","Unique")</f>
        <v>Duplicate</v>
      </c>
    </row>
    <row r="57" spans="1:7" x14ac:dyDescent="0.25">
      <c r="A57" s="3" t="str">
        <f>RAW_DATA!E57</f>
        <v>versicolor</v>
      </c>
      <c r="B57" s="3" t="str">
        <f t="shared" si="0"/>
        <v>versicolor</v>
      </c>
      <c r="C57" s="3" t="str">
        <f t="shared" si="1"/>
        <v>versicolor</v>
      </c>
      <c r="D57" s="3" t="str">
        <f t="shared" si="2"/>
        <v>versicolor</v>
      </c>
      <c r="E57" s="3" t="str">
        <f t="shared" si="3"/>
        <v>versicolor</v>
      </c>
      <c r="F57" s="3" t="str">
        <f t="shared" si="4"/>
        <v>Complete</v>
      </c>
      <c r="G57" s="3" t="str">
        <f>IF(COUNTIF($A$2:A57,A57)&gt;1,"Duplicate","Unique")</f>
        <v>Duplicate</v>
      </c>
    </row>
    <row r="58" spans="1:7" x14ac:dyDescent="0.25">
      <c r="A58" s="3" t="str">
        <f>RAW_DATA!E58</f>
        <v>versicolor</v>
      </c>
      <c r="B58" s="3" t="str">
        <f t="shared" si="0"/>
        <v>versicolor</v>
      </c>
      <c r="C58" s="3" t="str">
        <f t="shared" si="1"/>
        <v>versicolor</v>
      </c>
      <c r="D58" s="3" t="str">
        <f t="shared" si="2"/>
        <v>versicolor</v>
      </c>
      <c r="E58" s="3" t="str">
        <f t="shared" si="3"/>
        <v>versicolor</v>
      </c>
      <c r="F58" s="3" t="str">
        <f t="shared" si="4"/>
        <v>Complete</v>
      </c>
      <c r="G58" s="3" t="str">
        <f>IF(COUNTIF($A$2:A58,A58)&gt;1,"Duplicate","Unique")</f>
        <v>Duplicate</v>
      </c>
    </row>
    <row r="59" spans="1:7" x14ac:dyDescent="0.25">
      <c r="A59" s="3" t="str">
        <f>RAW_DATA!E59</f>
        <v>versicolor</v>
      </c>
      <c r="B59" s="3" t="str">
        <f t="shared" si="0"/>
        <v>versicolor</v>
      </c>
      <c r="C59" s="3" t="str">
        <f t="shared" si="1"/>
        <v>versicolor</v>
      </c>
      <c r="D59" s="3" t="str">
        <f t="shared" si="2"/>
        <v>versicolor</v>
      </c>
      <c r="E59" s="3" t="str">
        <f t="shared" si="3"/>
        <v>versicolor</v>
      </c>
      <c r="F59" s="3" t="str">
        <f t="shared" si="4"/>
        <v>Complete</v>
      </c>
      <c r="G59" s="3" t="str">
        <f>IF(COUNTIF($A$2:A59,A59)&gt;1,"Duplicate","Unique")</f>
        <v>Duplicate</v>
      </c>
    </row>
    <row r="60" spans="1:7" x14ac:dyDescent="0.25">
      <c r="A60" s="3" t="str">
        <f>RAW_DATA!E60</f>
        <v>versicolor</v>
      </c>
      <c r="B60" s="3" t="str">
        <f t="shared" si="0"/>
        <v>versicolor</v>
      </c>
      <c r="C60" s="3" t="str">
        <f t="shared" si="1"/>
        <v>versicolor</v>
      </c>
      <c r="D60" s="3" t="str">
        <f t="shared" si="2"/>
        <v>versicolor</v>
      </c>
      <c r="E60" s="3" t="str">
        <f t="shared" si="3"/>
        <v>versicolor</v>
      </c>
      <c r="F60" s="3" t="str">
        <f t="shared" si="4"/>
        <v>Complete</v>
      </c>
      <c r="G60" s="3" t="str">
        <f>IF(COUNTIF($A$2:A60,A60)&gt;1,"Duplicate","Unique")</f>
        <v>Duplicate</v>
      </c>
    </row>
    <row r="61" spans="1:7" x14ac:dyDescent="0.25">
      <c r="A61" s="3" t="str">
        <f>RAW_DATA!E61</f>
        <v>versicolor</v>
      </c>
      <c r="B61" s="3" t="str">
        <f t="shared" si="0"/>
        <v>versicolor</v>
      </c>
      <c r="C61" s="3" t="str">
        <f t="shared" si="1"/>
        <v>versicolor</v>
      </c>
      <c r="D61" s="3" t="str">
        <f t="shared" si="2"/>
        <v>versicolor</v>
      </c>
      <c r="E61" s="3" t="str">
        <f t="shared" si="3"/>
        <v>versicolor</v>
      </c>
      <c r="F61" s="3" t="str">
        <f t="shared" si="4"/>
        <v>Complete</v>
      </c>
      <c r="G61" s="3" t="str">
        <f>IF(COUNTIF($A$2:A61,A61)&gt;1,"Duplicate","Unique")</f>
        <v>Duplicate</v>
      </c>
    </row>
    <row r="62" spans="1:7" x14ac:dyDescent="0.25">
      <c r="A62" s="3" t="str">
        <f>RAW_DATA!E62</f>
        <v>versicolor</v>
      </c>
      <c r="B62" s="3" t="str">
        <f t="shared" si="0"/>
        <v>versicolor</v>
      </c>
      <c r="C62" s="3" t="str">
        <f t="shared" si="1"/>
        <v>versicolor</v>
      </c>
      <c r="D62" s="3" t="str">
        <f t="shared" si="2"/>
        <v>versicolor</v>
      </c>
      <c r="E62" s="3" t="str">
        <f t="shared" si="3"/>
        <v>versicolor</v>
      </c>
      <c r="F62" s="3" t="str">
        <f t="shared" si="4"/>
        <v>Complete</v>
      </c>
      <c r="G62" s="3" t="str">
        <f>IF(COUNTIF($A$2:A62,A62)&gt;1,"Duplicate","Unique")</f>
        <v>Duplicate</v>
      </c>
    </row>
    <row r="63" spans="1:7" x14ac:dyDescent="0.25">
      <c r="A63" s="3" t="str">
        <f>RAW_DATA!E63</f>
        <v>versicolor</v>
      </c>
      <c r="B63" s="3" t="str">
        <f t="shared" si="0"/>
        <v>versicolor</v>
      </c>
      <c r="C63" s="3" t="str">
        <f t="shared" si="1"/>
        <v>versicolor</v>
      </c>
      <c r="D63" s="3" t="str">
        <f t="shared" si="2"/>
        <v>versicolor</v>
      </c>
      <c r="E63" s="3" t="str">
        <f t="shared" si="3"/>
        <v>versicolor</v>
      </c>
      <c r="F63" s="3" t="str">
        <f t="shared" si="4"/>
        <v>Complete</v>
      </c>
      <c r="G63" s="3" t="str">
        <f>IF(COUNTIF($A$2:A63,A63)&gt;1,"Duplicate","Unique")</f>
        <v>Duplicate</v>
      </c>
    </row>
    <row r="64" spans="1:7" x14ac:dyDescent="0.25">
      <c r="A64" s="3" t="str">
        <f>RAW_DATA!E64</f>
        <v>versicolor</v>
      </c>
      <c r="B64" s="3" t="str">
        <f t="shared" si="0"/>
        <v>versicolor</v>
      </c>
      <c r="C64" s="3" t="str">
        <f t="shared" si="1"/>
        <v>versicolor</v>
      </c>
      <c r="D64" s="3" t="str">
        <f t="shared" si="2"/>
        <v>versicolor</v>
      </c>
      <c r="E64" s="3" t="str">
        <f t="shared" si="3"/>
        <v>versicolor</v>
      </c>
      <c r="F64" s="3" t="str">
        <f t="shared" si="4"/>
        <v>Complete</v>
      </c>
      <c r="G64" s="3" t="str">
        <f>IF(COUNTIF($A$2:A64,A64)&gt;1,"Duplicate","Unique")</f>
        <v>Duplicate</v>
      </c>
    </row>
    <row r="65" spans="1:7" x14ac:dyDescent="0.25">
      <c r="A65" s="3" t="str">
        <f>RAW_DATA!E65</f>
        <v>versicolor</v>
      </c>
      <c r="B65" s="3" t="str">
        <f t="shared" si="0"/>
        <v>versicolor</v>
      </c>
      <c r="C65" s="3" t="str">
        <f t="shared" si="1"/>
        <v>versicolor</v>
      </c>
      <c r="D65" s="3" t="str">
        <f t="shared" si="2"/>
        <v>versicolor</v>
      </c>
      <c r="E65" s="3" t="str">
        <f t="shared" si="3"/>
        <v>versicolor</v>
      </c>
      <c r="F65" s="3" t="str">
        <f t="shared" si="4"/>
        <v>Complete</v>
      </c>
      <c r="G65" s="3" t="str">
        <f>IF(COUNTIF($A$2:A65,A65)&gt;1,"Duplicate","Unique")</f>
        <v>Duplicate</v>
      </c>
    </row>
    <row r="66" spans="1:7" x14ac:dyDescent="0.25">
      <c r="A66" s="3" t="str">
        <f>RAW_DATA!E66</f>
        <v>versicolor</v>
      </c>
      <c r="B66" s="3" t="str">
        <f t="shared" si="0"/>
        <v>versicolor</v>
      </c>
      <c r="C66" s="3" t="str">
        <f t="shared" si="1"/>
        <v>versicolor</v>
      </c>
      <c r="D66" s="3" t="str">
        <f t="shared" si="2"/>
        <v>versicolor</v>
      </c>
      <c r="E66" s="3" t="str">
        <f t="shared" si="3"/>
        <v>versicolor</v>
      </c>
      <c r="F66" s="3" t="str">
        <f t="shared" si="4"/>
        <v>Complete</v>
      </c>
      <c r="G66" s="3" t="str">
        <f>IF(COUNTIF($A$2:A66,A66)&gt;1,"Duplicate","Unique")</f>
        <v>Duplicate</v>
      </c>
    </row>
    <row r="67" spans="1:7" x14ac:dyDescent="0.25">
      <c r="A67" s="3" t="str">
        <f>RAW_DATA!E67</f>
        <v>versicolor</v>
      </c>
      <c r="B67" s="3" t="str">
        <f t="shared" ref="B67:B130" si="5">TRIM(A67)</f>
        <v>versicolor</v>
      </c>
      <c r="C67" s="3" t="str">
        <f t="shared" ref="C67:C130" si="6">CLEAN(A67)</f>
        <v>versicolor</v>
      </c>
      <c r="D67" s="3" t="str">
        <f t="shared" ref="D67:D130" si="7">TRIM(CLEAN(A67))</f>
        <v>versicolor</v>
      </c>
      <c r="E67" s="3" t="str">
        <f t="shared" ref="E67:E130" si="8">SUBSTITUTE(D67,"setosa","Setosa")</f>
        <v>versicolor</v>
      </c>
      <c r="F67" s="3" t="str">
        <f t="shared" ref="F67:F130" si="9">IF(ISBLANK(A67),"Missing","Complete")</f>
        <v>Complete</v>
      </c>
      <c r="G67" s="3" t="str">
        <f>IF(COUNTIF($A$2:A67,A67)&gt;1,"Duplicate","Unique")</f>
        <v>Duplicate</v>
      </c>
    </row>
    <row r="68" spans="1:7" x14ac:dyDescent="0.25">
      <c r="A68" s="3" t="str">
        <f>RAW_DATA!E68</f>
        <v>versicolor</v>
      </c>
      <c r="B68" s="3" t="str">
        <f t="shared" si="5"/>
        <v>versicolor</v>
      </c>
      <c r="C68" s="3" t="str">
        <f t="shared" si="6"/>
        <v>versicolor</v>
      </c>
      <c r="D68" s="3" t="str">
        <f t="shared" si="7"/>
        <v>versicolor</v>
      </c>
      <c r="E68" s="3" t="str">
        <f t="shared" si="8"/>
        <v>versicolor</v>
      </c>
      <c r="F68" s="3" t="str">
        <f t="shared" si="9"/>
        <v>Complete</v>
      </c>
      <c r="G68" s="3" t="str">
        <f>IF(COUNTIF($A$2:A68,A68)&gt;1,"Duplicate","Unique")</f>
        <v>Duplicate</v>
      </c>
    </row>
    <row r="69" spans="1:7" x14ac:dyDescent="0.25">
      <c r="A69" s="3" t="str">
        <f>RAW_DATA!E69</f>
        <v>versicolor</v>
      </c>
      <c r="B69" s="3" t="str">
        <f t="shared" si="5"/>
        <v>versicolor</v>
      </c>
      <c r="C69" s="3" t="str">
        <f t="shared" si="6"/>
        <v>versicolor</v>
      </c>
      <c r="D69" s="3" t="str">
        <f t="shared" si="7"/>
        <v>versicolor</v>
      </c>
      <c r="E69" s="3" t="str">
        <f t="shared" si="8"/>
        <v>versicolor</v>
      </c>
      <c r="F69" s="3" t="str">
        <f t="shared" si="9"/>
        <v>Complete</v>
      </c>
      <c r="G69" s="3" t="str">
        <f>IF(COUNTIF($A$2:A69,A69)&gt;1,"Duplicate","Unique")</f>
        <v>Duplicate</v>
      </c>
    </row>
    <row r="70" spans="1:7" x14ac:dyDescent="0.25">
      <c r="A70" s="3" t="str">
        <f>RAW_DATA!E70</f>
        <v>versicolor</v>
      </c>
      <c r="B70" s="3" t="str">
        <f t="shared" si="5"/>
        <v>versicolor</v>
      </c>
      <c r="C70" s="3" t="str">
        <f t="shared" si="6"/>
        <v>versicolor</v>
      </c>
      <c r="D70" s="3" t="str">
        <f t="shared" si="7"/>
        <v>versicolor</v>
      </c>
      <c r="E70" s="3" t="str">
        <f t="shared" si="8"/>
        <v>versicolor</v>
      </c>
      <c r="F70" s="3" t="str">
        <f t="shared" si="9"/>
        <v>Complete</v>
      </c>
      <c r="G70" s="3" t="str">
        <f>IF(COUNTIF($A$2:A70,A70)&gt;1,"Duplicate","Unique")</f>
        <v>Duplicate</v>
      </c>
    </row>
    <row r="71" spans="1:7" x14ac:dyDescent="0.25">
      <c r="A71" s="3" t="str">
        <f>RAW_DATA!E71</f>
        <v>versicolor</v>
      </c>
      <c r="B71" s="3" t="str">
        <f t="shared" si="5"/>
        <v>versicolor</v>
      </c>
      <c r="C71" s="3" t="str">
        <f t="shared" si="6"/>
        <v>versicolor</v>
      </c>
      <c r="D71" s="3" t="str">
        <f t="shared" si="7"/>
        <v>versicolor</v>
      </c>
      <c r="E71" s="3" t="str">
        <f t="shared" si="8"/>
        <v>versicolor</v>
      </c>
      <c r="F71" s="3" t="str">
        <f t="shared" si="9"/>
        <v>Complete</v>
      </c>
      <c r="G71" s="3" t="str">
        <f>IF(COUNTIF($A$2:A71,A71)&gt;1,"Duplicate","Unique")</f>
        <v>Duplicate</v>
      </c>
    </row>
    <row r="72" spans="1:7" x14ac:dyDescent="0.25">
      <c r="A72" s="3" t="str">
        <f>RAW_DATA!E72</f>
        <v>versicolor</v>
      </c>
      <c r="B72" s="3" t="str">
        <f t="shared" si="5"/>
        <v>versicolor</v>
      </c>
      <c r="C72" s="3" t="str">
        <f t="shared" si="6"/>
        <v>versicolor</v>
      </c>
      <c r="D72" s="3" t="str">
        <f t="shared" si="7"/>
        <v>versicolor</v>
      </c>
      <c r="E72" s="3" t="str">
        <f t="shared" si="8"/>
        <v>versicolor</v>
      </c>
      <c r="F72" s="3" t="str">
        <f t="shared" si="9"/>
        <v>Complete</v>
      </c>
      <c r="G72" s="3" t="str">
        <f>IF(COUNTIF($A$2:A72,A72)&gt;1,"Duplicate","Unique")</f>
        <v>Duplicate</v>
      </c>
    </row>
    <row r="73" spans="1:7" x14ac:dyDescent="0.25">
      <c r="A73" s="3" t="str">
        <f>RAW_DATA!E73</f>
        <v>versicolor</v>
      </c>
      <c r="B73" s="3" t="str">
        <f t="shared" si="5"/>
        <v>versicolor</v>
      </c>
      <c r="C73" s="3" t="str">
        <f t="shared" si="6"/>
        <v>versicolor</v>
      </c>
      <c r="D73" s="3" t="str">
        <f t="shared" si="7"/>
        <v>versicolor</v>
      </c>
      <c r="E73" s="3" t="str">
        <f t="shared" si="8"/>
        <v>versicolor</v>
      </c>
      <c r="F73" s="3" t="str">
        <f t="shared" si="9"/>
        <v>Complete</v>
      </c>
      <c r="G73" s="3" t="str">
        <f>IF(COUNTIF($A$2:A73,A73)&gt;1,"Duplicate","Unique")</f>
        <v>Duplicate</v>
      </c>
    </row>
    <row r="74" spans="1:7" x14ac:dyDescent="0.25">
      <c r="A74" s="3" t="str">
        <f>RAW_DATA!E74</f>
        <v>versicolor</v>
      </c>
      <c r="B74" s="3" t="str">
        <f t="shared" si="5"/>
        <v>versicolor</v>
      </c>
      <c r="C74" s="3" t="str">
        <f t="shared" si="6"/>
        <v>versicolor</v>
      </c>
      <c r="D74" s="3" t="str">
        <f t="shared" si="7"/>
        <v>versicolor</v>
      </c>
      <c r="E74" s="3" t="str">
        <f t="shared" si="8"/>
        <v>versicolor</v>
      </c>
      <c r="F74" s="3" t="str">
        <f t="shared" si="9"/>
        <v>Complete</v>
      </c>
      <c r="G74" s="3" t="str">
        <f>IF(COUNTIF($A$2:A74,A74)&gt;1,"Duplicate","Unique")</f>
        <v>Duplicate</v>
      </c>
    </row>
    <row r="75" spans="1:7" x14ac:dyDescent="0.25">
      <c r="A75" s="3" t="str">
        <f>RAW_DATA!E75</f>
        <v>versicolor</v>
      </c>
      <c r="B75" s="3" t="str">
        <f t="shared" si="5"/>
        <v>versicolor</v>
      </c>
      <c r="C75" s="3" t="str">
        <f t="shared" si="6"/>
        <v>versicolor</v>
      </c>
      <c r="D75" s="3" t="str">
        <f t="shared" si="7"/>
        <v>versicolor</v>
      </c>
      <c r="E75" s="3" t="str">
        <f t="shared" si="8"/>
        <v>versicolor</v>
      </c>
      <c r="F75" s="3" t="str">
        <f t="shared" si="9"/>
        <v>Complete</v>
      </c>
      <c r="G75" s="3" t="str">
        <f>IF(COUNTIF($A$2:A75,A75)&gt;1,"Duplicate","Unique")</f>
        <v>Duplicate</v>
      </c>
    </row>
    <row r="76" spans="1:7" x14ac:dyDescent="0.25">
      <c r="A76" s="3" t="str">
        <f>RAW_DATA!E76</f>
        <v>versicolor</v>
      </c>
      <c r="B76" s="3" t="str">
        <f t="shared" si="5"/>
        <v>versicolor</v>
      </c>
      <c r="C76" s="3" t="str">
        <f t="shared" si="6"/>
        <v>versicolor</v>
      </c>
      <c r="D76" s="3" t="str">
        <f t="shared" si="7"/>
        <v>versicolor</v>
      </c>
      <c r="E76" s="3" t="str">
        <f t="shared" si="8"/>
        <v>versicolor</v>
      </c>
      <c r="F76" s="3" t="str">
        <f t="shared" si="9"/>
        <v>Complete</v>
      </c>
      <c r="G76" s="3" t="str">
        <f>IF(COUNTIF($A$2:A76,A76)&gt;1,"Duplicate","Unique")</f>
        <v>Duplicate</v>
      </c>
    </row>
    <row r="77" spans="1:7" x14ac:dyDescent="0.25">
      <c r="A77" s="3" t="str">
        <f>RAW_DATA!E77</f>
        <v>versicolor</v>
      </c>
      <c r="B77" s="3" t="str">
        <f t="shared" si="5"/>
        <v>versicolor</v>
      </c>
      <c r="C77" s="3" t="str">
        <f t="shared" si="6"/>
        <v>versicolor</v>
      </c>
      <c r="D77" s="3" t="str">
        <f t="shared" si="7"/>
        <v>versicolor</v>
      </c>
      <c r="E77" s="3" t="str">
        <f t="shared" si="8"/>
        <v>versicolor</v>
      </c>
      <c r="F77" s="3" t="str">
        <f t="shared" si="9"/>
        <v>Complete</v>
      </c>
      <c r="G77" s="3" t="str">
        <f>IF(COUNTIF($A$2:A77,A77)&gt;1,"Duplicate","Unique")</f>
        <v>Duplicate</v>
      </c>
    </row>
    <row r="78" spans="1:7" x14ac:dyDescent="0.25">
      <c r="A78" s="3" t="str">
        <f>RAW_DATA!E78</f>
        <v>versicolor</v>
      </c>
      <c r="B78" s="3" t="str">
        <f t="shared" si="5"/>
        <v>versicolor</v>
      </c>
      <c r="C78" s="3" t="str">
        <f t="shared" si="6"/>
        <v>versicolor</v>
      </c>
      <c r="D78" s="3" t="str">
        <f t="shared" si="7"/>
        <v>versicolor</v>
      </c>
      <c r="E78" s="3" t="str">
        <f t="shared" si="8"/>
        <v>versicolor</v>
      </c>
      <c r="F78" s="3" t="str">
        <f t="shared" si="9"/>
        <v>Complete</v>
      </c>
      <c r="G78" s="3" t="str">
        <f>IF(COUNTIF($A$2:A78,A78)&gt;1,"Duplicate","Unique")</f>
        <v>Duplicate</v>
      </c>
    </row>
    <row r="79" spans="1:7" x14ac:dyDescent="0.25">
      <c r="A79" s="3" t="str">
        <f>RAW_DATA!E79</f>
        <v>versicolor</v>
      </c>
      <c r="B79" s="3" t="str">
        <f t="shared" si="5"/>
        <v>versicolor</v>
      </c>
      <c r="C79" s="3" t="str">
        <f t="shared" si="6"/>
        <v>versicolor</v>
      </c>
      <c r="D79" s="3" t="str">
        <f t="shared" si="7"/>
        <v>versicolor</v>
      </c>
      <c r="E79" s="3" t="str">
        <f t="shared" si="8"/>
        <v>versicolor</v>
      </c>
      <c r="F79" s="3" t="str">
        <f t="shared" si="9"/>
        <v>Complete</v>
      </c>
      <c r="G79" s="3" t="str">
        <f>IF(COUNTIF($A$2:A79,A79)&gt;1,"Duplicate","Unique")</f>
        <v>Duplicate</v>
      </c>
    </row>
    <row r="80" spans="1:7" x14ac:dyDescent="0.25">
      <c r="A80" s="3" t="str">
        <f>RAW_DATA!E80</f>
        <v>versicolor</v>
      </c>
      <c r="B80" s="3" t="str">
        <f t="shared" si="5"/>
        <v>versicolor</v>
      </c>
      <c r="C80" s="3" t="str">
        <f t="shared" si="6"/>
        <v>versicolor</v>
      </c>
      <c r="D80" s="3" t="str">
        <f t="shared" si="7"/>
        <v>versicolor</v>
      </c>
      <c r="E80" s="3" t="str">
        <f t="shared" si="8"/>
        <v>versicolor</v>
      </c>
      <c r="F80" s="3" t="str">
        <f t="shared" si="9"/>
        <v>Complete</v>
      </c>
      <c r="G80" s="3" t="str">
        <f>IF(COUNTIF($A$2:A80,A80)&gt;1,"Duplicate","Unique")</f>
        <v>Duplicate</v>
      </c>
    </row>
    <row r="81" spans="1:7" x14ac:dyDescent="0.25">
      <c r="A81" s="3" t="str">
        <f>RAW_DATA!E81</f>
        <v>versicolor</v>
      </c>
      <c r="B81" s="3" t="str">
        <f t="shared" si="5"/>
        <v>versicolor</v>
      </c>
      <c r="C81" s="3" t="str">
        <f t="shared" si="6"/>
        <v>versicolor</v>
      </c>
      <c r="D81" s="3" t="str">
        <f t="shared" si="7"/>
        <v>versicolor</v>
      </c>
      <c r="E81" s="3" t="str">
        <f t="shared" si="8"/>
        <v>versicolor</v>
      </c>
      <c r="F81" s="3" t="str">
        <f t="shared" si="9"/>
        <v>Complete</v>
      </c>
      <c r="G81" s="3" t="str">
        <f>IF(COUNTIF($A$2:A81,A81)&gt;1,"Duplicate","Unique")</f>
        <v>Duplicate</v>
      </c>
    </row>
    <row r="82" spans="1:7" x14ac:dyDescent="0.25">
      <c r="A82" s="3" t="str">
        <f>RAW_DATA!E82</f>
        <v>versicolor</v>
      </c>
      <c r="B82" s="3" t="str">
        <f t="shared" si="5"/>
        <v>versicolor</v>
      </c>
      <c r="C82" s="3" t="str">
        <f t="shared" si="6"/>
        <v>versicolor</v>
      </c>
      <c r="D82" s="3" t="str">
        <f t="shared" si="7"/>
        <v>versicolor</v>
      </c>
      <c r="E82" s="3" t="str">
        <f t="shared" si="8"/>
        <v>versicolor</v>
      </c>
      <c r="F82" s="3" t="str">
        <f t="shared" si="9"/>
        <v>Complete</v>
      </c>
      <c r="G82" s="3" t="str">
        <f>IF(COUNTIF($A$2:A82,A82)&gt;1,"Duplicate","Unique")</f>
        <v>Duplicate</v>
      </c>
    </row>
    <row r="83" spans="1:7" x14ac:dyDescent="0.25">
      <c r="A83" s="3" t="str">
        <f>RAW_DATA!E83</f>
        <v>versicolor</v>
      </c>
      <c r="B83" s="3" t="str">
        <f t="shared" si="5"/>
        <v>versicolor</v>
      </c>
      <c r="C83" s="3" t="str">
        <f t="shared" si="6"/>
        <v>versicolor</v>
      </c>
      <c r="D83" s="3" t="str">
        <f t="shared" si="7"/>
        <v>versicolor</v>
      </c>
      <c r="E83" s="3" t="str">
        <f t="shared" si="8"/>
        <v>versicolor</v>
      </c>
      <c r="F83" s="3" t="str">
        <f t="shared" si="9"/>
        <v>Complete</v>
      </c>
      <c r="G83" s="3" t="str">
        <f>IF(COUNTIF($A$2:A83,A83)&gt;1,"Duplicate","Unique")</f>
        <v>Duplicate</v>
      </c>
    </row>
    <row r="84" spans="1:7" x14ac:dyDescent="0.25">
      <c r="A84" s="3" t="str">
        <f>RAW_DATA!E84</f>
        <v>versicolor</v>
      </c>
      <c r="B84" s="3" t="str">
        <f t="shared" si="5"/>
        <v>versicolor</v>
      </c>
      <c r="C84" s="3" t="str">
        <f t="shared" si="6"/>
        <v>versicolor</v>
      </c>
      <c r="D84" s="3" t="str">
        <f t="shared" si="7"/>
        <v>versicolor</v>
      </c>
      <c r="E84" s="3" t="str">
        <f t="shared" si="8"/>
        <v>versicolor</v>
      </c>
      <c r="F84" s="3" t="str">
        <f t="shared" si="9"/>
        <v>Complete</v>
      </c>
      <c r="G84" s="3" t="str">
        <f>IF(COUNTIF($A$2:A84,A84)&gt;1,"Duplicate","Unique")</f>
        <v>Duplicate</v>
      </c>
    </row>
    <row r="85" spans="1:7" x14ac:dyDescent="0.25">
      <c r="A85" s="3" t="str">
        <f>RAW_DATA!E85</f>
        <v>versicolor</v>
      </c>
      <c r="B85" s="3" t="str">
        <f t="shared" si="5"/>
        <v>versicolor</v>
      </c>
      <c r="C85" s="3" t="str">
        <f t="shared" si="6"/>
        <v>versicolor</v>
      </c>
      <c r="D85" s="3" t="str">
        <f t="shared" si="7"/>
        <v>versicolor</v>
      </c>
      <c r="E85" s="3" t="str">
        <f t="shared" si="8"/>
        <v>versicolor</v>
      </c>
      <c r="F85" s="3" t="str">
        <f t="shared" si="9"/>
        <v>Complete</v>
      </c>
      <c r="G85" s="3" t="str">
        <f>IF(COUNTIF($A$2:A85,A85)&gt;1,"Duplicate","Unique")</f>
        <v>Duplicate</v>
      </c>
    </row>
    <row r="86" spans="1:7" x14ac:dyDescent="0.25">
      <c r="A86" s="3" t="str">
        <f>RAW_DATA!E86</f>
        <v>versicolor</v>
      </c>
      <c r="B86" s="3" t="str">
        <f t="shared" si="5"/>
        <v>versicolor</v>
      </c>
      <c r="C86" s="3" t="str">
        <f t="shared" si="6"/>
        <v>versicolor</v>
      </c>
      <c r="D86" s="3" t="str">
        <f t="shared" si="7"/>
        <v>versicolor</v>
      </c>
      <c r="E86" s="3" t="str">
        <f t="shared" si="8"/>
        <v>versicolor</v>
      </c>
      <c r="F86" s="3" t="str">
        <f t="shared" si="9"/>
        <v>Complete</v>
      </c>
      <c r="G86" s="3" t="str">
        <f>IF(COUNTIF($A$2:A86,A86)&gt;1,"Duplicate","Unique")</f>
        <v>Duplicate</v>
      </c>
    </row>
    <row r="87" spans="1:7" x14ac:dyDescent="0.25">
      <c r="A87" s="3" t="str">
        <f>RAW_DATA!E87</f>
        <v>versicolor</v>
      </c>
      <c r="B87" s="3" t="str">
        <f t="shared" si="5"/>
        <v>versicolor</v>
      </c>
      <c r="C87" s="3" t="str">
        <f t="shared" si="6"/>
        <v>versicolor</v>
      </c>
      <c r="D87" s="3" t="str">
        <f t="shared" si="7"/>
        <v>versicolor</v>
      </c>
      <c r="E87" s="3" t="str">
        <f t="shared" si="8"/>
        <v>versicolor</v>
      </c>
      <c r="F87" s="3" t="str">
        <f t="shared" si="9"/>
        <v>Complete</v>
      </c>
      <c r="G87" s="3" t="str">
        <f>IF(COUNTIF($A$2:A87,A87)&gt;1,"Duplicate","Unique")</f>
        <v>Duplicate</v>
      </c>
    </row>
    <row r="88" spans="1:7" x14ac:dyDescent="0.25">
      <c r="A88" s="3" t="str">
        <f>RAW_DATA!E88</f>
        <v>versicolor</v>
      </c>
      <c r="B88" s="3" t="str">
        <f t="shared" si="5"/>
        <v>versicolor</v>
      </c>
      <c r="C88" s="3" t="str">
        <f t="shared" si="6"/>
        <v>versicolor</v>
      </c>
      <c r="D88" s="3" t="str">
        <f t="shared" si="7"/>
        <v>versicolor</v>
      </c>
      <c r="E88" s="3" t="str">
        <f t="shared" si="8"/>
        <v>versicolor</v>
      </c>
      <c r="F88" s="3" t="str">
        <f t="shared" si="9"/>
        <v>Complete</v>
      </c>
      <c r="G88" s="3" t="str">
        <f>IF(COUNTIF($A$2:A88,A88)&gt;1,"Duplicate","Unique")</f>
        <v>Duplicate</v>
      </c>
    </row>
    <row r="89" spans="1:7" x14ac:dyDescent="0.25">
      <c r="A89" s="3" t="str">
        <f>RAW_DATA!E89</f>
        <v>versicolor</v>
      </c>
      <c r="B89" s="3" t="str">
        <f t="shared" si="5"/>
        <v>versicolor</v>
      </c>
      <c r="C89" s="3" t="str">
        <f t="shared" si="6"/>
        <v>versicolor</v>
      </c>
      <c r="D89" s="3" t="str">
        <f t="shared" si="7"/>
        <v>versicolor</v>
      </c>
      <c r="E89" s="3" t="str">
        <f t="shared" si="8"/>
        <v>versicolor</v>
      </c>
      <c r="F89" s="3" t="str">
        <f t="shared" si="9"/>
        <v>Complete</v>
      </c>
      <c r="G89" s="3" t="str">
        <f>IF(COUNTIF($A$2:A89,A89)&gt;1,"Duplicate","Unique")</f>
        <v>Duplicate</v>
      </c>
    </row>
    <row r="90" spans="1:7" x14ac:dyDescent="0.25">
      <c r="A90" s="3" t="str">
        <f>RAW_DATA!E90</f>
        <v>versicolor</v>
      </c>
      <c r="B90" s="3" t="str">
        <f t="shared" si="5"/>
        <v>versicolor</v>
      </c>
      <c r="C90" s="3" t="str">
        <f t="shared" si="6"/>
        <v>versicolor</v>
      </c>
      <c r="D90" s="3" t="str">
        <f t="shared" si="7"/>
        <v>versicolor</v>
      </c>
      <c r="E90" s="3" t="str">
        <f t="shared" si="8"/>
        <v>versicolor</v>
      </c>
      <c r="F90" s="3" t="str">
        <f t="shared" si="9"/>
        <v>Complete</v>
      </c>
      <c r="G90" s="3" t="str">
        <f>IF(COUNTIF($A$2:A90,A90)&gt;1,"Duplicate","Unique")</f>
        <v>Duplicate</v>
      </c>
    </row>
    <row r="91" spans="1:7" x14ac:dyDescent="0.25">
      <c r="A91" s="3" t="str">
        <f>RAW_DATA!E91</f>
        <v>versicolor</v>
      </c>
      <c r="B91" s="3" t="str">
        <f t="shared" si="5"/>
        <v>versicolor</v>
      </c>
      <c r="C91" s="3" t="str">
        <f t="shared" si="6"/>
        <v>versicolor</v>
      </c>
      <c r="D91" s="3" t="str">
        <f t="shared" si="7"/>
        <v>versicolor</v>
      </c>
      <c r="E91" s="3" t="str">
        <f t="shared" si="8"/>
        <v>versicolor</v>
      </c>
      <c r="F91" s="3" t="str">
        <f t="shared" si="9"/>
        <v>Complete</v>
      </c>
      <c r="G91" s="3" t="str">
        <f>IF(COUNTIF($A$2:A91,A91)&gt;1,"Duplicate","Unique")</f>
        <v>Duplicate</v>
      </c>
    </row>
    <row r="92" spans="1:7" x14ac:dyDescent="0.25">
      <c r="A92" s="3" t="str">
        <f>RAW_DATA!E92</f>
        <v>versicolor</v>
      </c>
      <c r="B92" s="3" t="str">
        <f t="shared" si="5"/>
        <v>versicolor</v>
      </c>
      <c r="C92" s="3" t="str">
        <f t="shared" si="6"/>
        <v>versicolor</v>
      </c>
      <c r="D92" s="3" t="str">
        <f t="shared" si="7"/>
        <v>versicolor</v>
      </c>
      <c r="E92" s="3" t="str">
        <f t="shared" si="8"/>
        <v>versicolor</v>
      </c>
      <c r="F92" s="3" t="str">
        <f t="shared" si="9"/>
        <v>Complete</v>
      </c>
      <c r="G92" s="3" t="str">
        <f>IF(COUNTIF($A$2:A92,A92)&gt;1,"Duplicate","Unique")</f>
        <v>Duplicate</v>
      </c>
    </row>
    <row r="93" spans="1:7" x14ac:dyDescent="0.25">
      <c r="A93" s="3" t="str">
        <f>RAW_DATA!E93</f>
        <v>versicolor</v>
      </c>
      <c r="B93" s="3" t="str">
        <f t="shared" si="5"/>
        <v>versicolor</v>
      </c>
      <c r="C93" s="3" t="str">
        <f t="shared" si="6"/>
        <v>versicolor</v>
      </c>
      <c r="D93" s="3" t="str">
        <f t="shared" si="7"/>
        <v>versicolor</v>
      </c>
      <c r="E93" s="3" t="str">
        <f t="shared" si="8"/>
        <v>versicolor</v>
      </c>
      <c r="F93" s="3" t="str">
        <f t="shared" si="9"/>
        <v>Complete</v>
      </c>
      <c r="G93" s="3" t="str">
        <f>IF(COUNTIF($A$2:A93,A93)&gt;1,"Duplicate","Unique")</f>
        <v>Duplicate</v>
      </c>
    </row>
    <row r="94" spans="1:7" x14ac:dyDescent="0.25">
      <c r="A94" s="3" t="str">
        <f>RAW_DATA!E94</f>
        <v>versicolor</v>
      </c>
      <c r="B94" s="3" t="str">
        <f t="shared" si="5"/>
        <v>versicolor</v>
      </c>
      <c r="C94" s="3" t="str">
        <f t="shared" si="6"/>
        <v>versicolor</v>
      </c>
      <c r="D94" s="3" t="str">
        <f t="shared" si="7"/>
        <v>versicolor</v>
      </c>
      <c r="E94" s="3" t="str">
        <f t="shared" si="8"/>
        <v>versicolor</v>
      </c>
      <c r="F94" s="3" t="str">
        <f t="shared" si="9"/>
        <v>Complete</v>
      </c>
      <c r="G94" s="3" t="str">
        <f>IF(COUNTIF($A$2:A94,A94)&gt;1,"Duplicate","Unique")</f>
        <v>Duplicate</v>
      </c>
    </row>
    <row r="95" spans="1:7" x14ac:dyDescent="0.25">
      <c r="A95" s="3" t="str">
        <f>RAW_DATA!E95</f>
        <v>versicolor</v>
      </c>
      <c r="B95" s="3" t="str">
        <f t="shared" si="5"/>
        <v>versicolor</v>
      </c>
      <c r="C95" s="3" t="str">
        <f t="shared" si="6"/>
        <v>versicolor</v>
      </c>
      <c r="D95" s="3" t="str">
        <f t="shared" si="7"/>
        <v>versicolor</v>
      </c>
      <c r="E95" s="3" t="str">
        <f t="shared" si="8"/>
        <v>versicolor</v>
      </c>
      <c r="F95" s="3" t="str">
        <f t="shared" si="9"/>
        <v>Complete</v>
      </c>
      <c r="G95" s="3" t="str">
        <f>IF(COUNTIF($A$2:A95,A95)&gt;1,"Duplicate","Unique")</f>
        <v>Duplicate</v>
      </c>
    </row>
    <row r="96" spans="1:7" x14ac:dyDescent="0.25">
      <c r="A96" s="3" t="str">
        <f>RAW_DATA!E96</f>
        <v>versicolor</v>
      </c>
      <c r="B96" s="3" t="str">
        <f t="shared" si="5"/>
        <v>versicolor</v>
      </c>
      <c r="C96" s="3" t="str">
        <f t="shared" si="6"/>
        <v>versicolor</v>
      </c>
      <c r="D96" s="3" t="str">
        <f t="shared" si="7"/>
        <v>versicolor</v>
      </c>
      <c r="E96" s="3" t="str">
        <f t="shared" si="8"/>
        <v>versicolor</v>
      </c>
      <c r="F96" s="3" t="str">
        <f t="shared" si="9"/>
        <v>Complete</v>
      </c>
      <c r="G96" s="3" t="str">
        <f>IF(COUNTIF($A$2:A96,A96)&gt;1,"Duplicate","Unique")</f>
        <v>Duplicate</v>
      </c>
    </row>
    <row r="97" spans="1:7" x14ac:dyDescent="0.25">
      <c r="A97" s="3" t="str">
        <f>RAW_DATA!E97</f>
        <v>versicolor</v>
      </c>
      <c r="B97" s="3" t="str">
        <f t="shared" si="5"/>
        <v>versicolor</v>
      </c>
      <c r="C97" s="3" t="str">
        <f t="shared" si="6"/>
        <v>versicolor</v>
      </c>
      <c r="D97" s="3" t="str">
        <f t="shared" si="7"/>
        <v>versicolor</v>
      </c>
      <c r="E97" s="3" t="str">
        <f t="shared" si="8"/>
        <v>versicolor</v>
      </c>
      <c r="F97" s="3" t="str">
        <f t="shared" si="9"/>
        <v>Complete</v>
      </c>
      <c r="G97" s="3" t="str">
        <f>IF(COUNTIF($A$2:A97,A97)&gt;1,"Duplicate","Unique")</f>
        <v>Duplicate</v>
      </c>
    </row>
    <row r="98" spans="1:7" x14ac:dyDescent="0.25">
      <c r="A98" s="3" t="str">
        <f>RAW_DATA!E98</f>
        <v>versicolor</v>
      </c>
      <c r="B98" s="3" t="str">
        <f t="shared" si="5"/>
        <v>versicolor</v>
      </c>
      <c r="C98" s="3" t="str">
        <f t="shared" si="6"/>
        <v>versicolor</v>
      </c>
      <c r="D98" s="3" t="str">
        <f t="shared" si="7"/>
        <v>versicolor</v>
      </c>
      <c r="E98" s="3" t="str">
        <f t="shared" si="8"/>
        <v>versicolor</v>
      </c>
      <c r="F98" s="3" t="str">
        <f t="shared" si="9"/>
        <v>Complete</v>
      </c>
      <c r="G98" s="3" t="str">
        <f>IF(COUNTIF($A$2:A98,A98)&gt;1,"Duplicate","Unique")</f>
        <v>Duplicate</v>
      </c>
    </row>
    <row r="99" spans="1:7" x14ac:dyDescent="0.25">
      <c r="A99" s="3" t="str">
        <f>RAW_DATA!E99</f>
        <v>versicolor</v>
      </c>
      <c r="B99" s="3" t="str">
        <f t="shared" si="5"/>
        <v>versicolor</v>
      </c>
      <c r="C99" s="3" t="str">
        <f t="shared" si="6"/>
        <v>versicolor</v>
      </c>
      <c r="D99" s="3" t="str">
        <f t="shared" si="7"/>
        <v>versicolor</v>
      </c>
      <c r="E99" s="3" t="str">
        <f t="shared" si="8"/>
        <v>versicolor</v>
      </c>
      <c r="F99" s="3" t="str">
        <f t="shared" si="9"/>
        <v>Complete</v>
      </c>
      <c r="G99" s="3" t="str">
        <f>IF(COUNTIF($A$2:A99,A99)&gt;1,"Duplicate","Unique")</f>
        <v>Duplicate</v>
      </c>
    </row>
    <row r="100" spans="1:7" x14ac:dyDescent="0.25">
      <c r="A100" s="3" t="str">
        <f>RAW_DATA!E100</f>
        <v>versicolor</v>
      </c>
      <c r="B100" s="3" t="str">
        <f t="shared" si="5"/>
        <v>versicolor</v>
      </c>
      <c r="C100" s="3" t="str">
        <f t="shared" si="6"/>
        <v>versicolor</v>
      </c>
      <c r="D100" s="3" t="str">
        <f t="shared" si="7"/>
        <v>versicolor</v>
      </c>
      <c r="E100" s="3" t="str">
        <f t="shared" si="8"/>
        <v>versicolor</v>
      </c>
      <c r="F100" s="3" t="str">
        <f t="shared" si="9"/>
        <v>Complete</v>
      </c>
      <c r="G100" s="3" t="str">
        <f>IF(COUNTIF($A$2:A100,A100)&gt;1,"Duplicate","Unique")</f>
        <v>Duplicate</v>
      </c>
    </row>
    <row r="101" spans="1:7" x14ac:dyDescent="0.25">
      <c r="A101" s="3" t="str">
        <f>RAW_DATA!E101</f>
        <v>versicolor</v>
      </c>
      <c r="B101" s="3" t="str">
        <f t="shared" si="5"/>
        <v>versicolor</v>
      </c>
      <c r="C101" s="3" t="str">
        <f t="shared" si="6"/>
        <v>versicolor</v>
      </c>
      <c r="D101" s="3" t="str">
        <f t="shared" si="7"/>
        <v>versicolor</v>
      </c>
      <c r="E101" s="3" t="str">
        <f t="shared" si="8"/>
        <v>versicolor</v>
      </c>
      <c r="F101" s="3" t="str">
        <f t="shared" si="9"/>
        <v>Complete</v>
      </c>
      <c r="G101" s="3" t="str">
        <f>IF(COUNTIF($A$2:A101,A101)&gt;1,"Duplicate","Unique")</f>
        <v>Duplicate</v>
      </c>
    </row>
    <row r="102" spans="1:7" x14ac:dyDescent="0.25">
      <c r="A102" s="3" t="str">
        <f>RAW_DATA!E102</f>
        <v>virginica</v>
      </c>
      <c r="B102" s="3" t="str">
        <f t="shared" si="5"/>
        <v>virginica</v>
      </c>
      <c r="C102" s="3" t="str">
        <f t="shared" si="6"/>
        <v>virginica</v>
      </c>
      <c r="D102" s="3" t="str">
        <f t="shared" si="7"/>
        <v>virginica</v>
      </c>
      <c r="E102" s="3" t="str">
        <f t="shared" si="8"/>
        <v>virginica</v>
      </c>
      <c r="F102" s="3" t="str">
        <f t="shared" si="9"/>
        <v>Complete</v>
      </c>
      <c r="G102" s="3" t="str">
        <f>IF(COUNTIF($A$2:A102,A102)&gt;1,"Duplicate","Unique")</f>
        <v>Unique</v>
      </c>
    </row>
    <row r="103" spans="1:7" x14ac:dyDescent="0.25">
      <c r="A103" s="3" t="str">
        <f>RAW_DATA!E103</f>
        <v>virginica</v>
      </c>
      <c r="B103" s="3" t="str">
        <f t="shared" si="5"/>
        <v>virginica</v>
      </c>
      <c r="C103" s="3" t="str">
        <f t="shared" si="6"/>
        <v>virginica</v>
      </c>
      <c r="D103" s="3" t="str">
        <f t="shared" si="7"/>
        <v>virginica</v>
      </c>
      <c r="E103" s="3" t="str">
        <f t="shared" si="8"/>
        <v>virginica</v>
      </c>
      <c r="F103" s="3" t="str">
        <f t="shared" si="9"/>
        <v>Complete</v>
      </c>
      <c r="G103" s="3" t="str">
        <f>IF(COUNTIF($A$2:A103,A103)&gt;1,"Duplicate","Unique")</f>
        <v>Duplicate</v>
      </c>
    </row>
    <row r="104" spans="1:7" x14ac:dyDescent="0.25">
      <c r="A104" s="3" t="str">
        <f>RAW_DATA!E104</f>
        <v>virginica</v>
      </c>
      <c r="B104" s="3" t="str">
        <f t="shared" si="5"/>
        <v>virginica</v>
      </c>
      <c r="C104" s="3" t="str">
        <f t="shared" si="6"/>
        <v>virginica</v>
      </c>
      <c r="D104" s="3" t="str">
        <f t="shared" si="7"/>
        <v>virginica</v>
      </c>
      <c r="E104" s="3" t="str">
        <f t="shared" si="8"/>
        <v>virginica</v>
      </c>
      <c r="F104" s="3" t="str">
        <f t="shared" si="9"/>
        <v>Complete</v>
      </c>
      <c r="G104" s="3" t="str">
        <f>IF(COUNTIF($A$2:A104,A104)&gt;1,"Duplicate","Unique")</f>
        <v>Duplicate</v>
      </c>
    </row>
    <row r="105" spans="1:7" x14ac:dyDescent="0.25">
      <c r="A105" s="3" t="str">
        <f>RAW_DATA!E105</f>
        <v>virginica</v>
      </c>
      <c r="B105" s="3" t="str">
        <f t="shared" si="5"/>
        <v>virginica</v>
      </c>
      <c r="C105" s="3" t="str">
        <f t="shared" si="6"/>
        <v>virginica</v>
      </c>
      <c r="D105" s="3" t="str">
        <f t="shared" si="7"/>
        <v>virginica</v>
      </c>
      <c r="E105" s="3" t="str">
        <f t="shared" si="8"/>
        <v>virginica</v>
      </c>
      <c r="F105" s="3" t="str">
        <f t="shared" si="9"/>
        <v>Complete</v>
      </c>
      <c r="G105" s="3" t="str">
        <f>IF(COUNTIF($A$2:A105,A105)&gt;1,"Duplicate","Unique")</f>
        <v>Duplicate</v>
      </c>
    </row>
    <row r="106" spans="1:7" x14ac:dyDescent="0.25">
      <c r="A106" s="3" t="str">
        <f>RAW_DATA!E106</f>
        <v>virginica</v>
      </c>
      <c r="B106" s="3" t="str">
        <f t="shared" si="5"/>
        <v>virginica</v>
      </c>
      <c r="C106" s="3" t="str">
        <f t="shared" si="6"/>
        <v>virginica</v>
      </c>
      <c r="D106" s="3" t="str">
        <f t="shared" si="7"/>
        <v>virginica</v>
      </c>
      <c r="E106" s="3" t="str">
        <f t="shared" si="8"/>
        <v>virginica</v>
      </c>
      <c r="F106" s="3" t="str">
        <f t="shared" si="9"/>
        <v>Complete</v>
      </c>
      <c r="G106" s="3" t="str">
        <f>IF(COUNTIF($A$2:A106,A106)&gt;1,"Duplicate","Unique")</f>
        <v>Duplicate</v>
      </c>
    </row>
    <row r="107" spans="1:7" x14ac:dyDescent="0.25">
      <c r="A107" s="3" t="str">
        <f>RAW_DATA!E107</f>
        <v>virginica</v>
      </c>
      <c r="B107" s="3" t="str">
        <f t="shared" si="5"/>
        <v>virginica</v>
      </c>
      <c r="C107" s="3" t="str">
        <f t="shared" si="6"/>
        <v>virginica</v>
      </c>
      <c r="D107" s="3" t="str">
        <f t="shared" si="7"/>
        <v>virginica</v>
      </c>
      <c r="E107" s="3" t="str">
        <f t="shared" si="8"/>
        <v>virginica</v>
      </c>
      <c r="F107" s="3" t="str">
        <f t="shared" si="9"/>
        <v>Complete</v>
      </c>
      <c r="G107" s="3" t="str">
        <f>IF(COUNTIF($A$2:A107,A107)&gt;1,"Duplicate","Unique")</f>
        <v>Duplicate</v>
      </c>
    </row>
    <row r="108" spans="1:7" x14ac:dyDescent="0.25">
      <c r="A108" s="3" t="str">
        <f>RAW_DATA!E108</f>
        <v>virginica</v>
      </c>
      <c r="B108" s="3" t="str">
        <f t="shared" si="5"/>
        <v>virginica</v>
      </c>
      <c r="C108" s="3" t="str">
        <f t="shared" si="6"/>
        <v>virginica</v>
      </c>
      <c r="D108" s="3" t="str">
        <f t="shared" si="7"/>
        <v>virginica</v>
      </c>
      <c r="E108" s="3" t="str">
        <f t="shared" si="8"/>
        <v>virginica</v>
      </c>
      <c r="F108" s="3" t="str">
        <f t="shared" si="9"/>
        <v>Complete</v>
      </c>
      <c r="G108" s="3" t="str">
        <f>IF(COUNTIF($A$2:A108,A108)&gt;1,"Duplicate","Unique")</f>
        <v>Duplicate</v>
      </c>
    </row>
    <row r="109" spans="1:7" x14ac:dyDescent="0.25">
      <c r="A109" s="3" t="str">
        <f>RAW_DATA!E109</f>
        <v>virginica</v>
      </c>
      <c r="B109" s="3" t="str">
        <f t="shared" si="5"/>
        <v>virginica</v>
      </c>
      <c r="C109" s="3" t="str">
        <f t="shared" si="6"/>
        <v>virginica</v>
      </c>
      <c r="D109" s="3" t="str">
        <f t="shared" si="7"/>
        <v>virginica</v>
      </c>
      <c r="E109" s="3" t="str">
        <f t="shared" si="8"/>
        <v>virginica</v>
      </c>
      <c r="F109" s="3" t="str">
        <f t="shared" si="9"/>
        <v>Complete</v>
      </c>
      <c r="G109" s="3" t="str">
        <f>IF(COUNTIF($A$2:A109,A109)&gt;1,"Duplicate","Unique")</f>
        <v>Duplicate</v>
      </c>
    </row>
    <row r="110" spans="1:7" x14ac:dyDescent="0.25">
      <c r="A110" s="3" t="str">
        <f>RAW_DATA!E110</f>
        <v>virginica</v>
      </c>
      <c r="B110" s="3" t="str">
        <f t="shared" si="5"/>
        <v>virginica</v>
      </c>
      <c r="C110" s="3" t="str">
        <f t="shared" si="6"/>
        <v>virginica</v>
      </c>
      <c r="D110" s="3" t="str">
        <f t="shared" si="7"/>
        <v>virginica</v>
      </c>
      <c r="E110" s="3" t="str">
        <f t="shared" si="8"/>
        <v>virginica</v>
      </c>
      <c r="F110" s="3" t="str">
        <f t="shared" si="9"/>
        <v>Complete</v>
      </c>
      <c r="G110" s="3" t="str">
        <f>IF(COUNTIF($A$2:A110,A110)&gt;1,"Duplicate","Unique")</f>
        <v>Duplicate</v>
      </c>
    </row>
    <row r="111" spans="1:7" x14ac:dyDescent="0.25">
      <c r="A111" s="3" t="str">
        <f>RAW_DATA!E111</f>
        <v>virginica</v>
      </c>
      <c r="B111" s="3" t="str">
        <f t="shared" si="5"/>
        <v>virginica</v>
      </c>
      <c r="C111" s="3" t="str">
        <f t="shared" si="6"/>
        <v>virginica</v>
      </c>
      <c r="D111" s="3" t="str">
        <f t="shared" si="7"/>
        <v>virginica</v>
      </c>
      <c r="E111" s="3" t="str">
        <f t="shared" si="8"/>
        <v>virginica</v>
      </c>
      <c r="F111" s="3" t="str">
        <f t="shared" si="9"/>
        <v>Complete</v>
      </c>
      <c r="G111" s="3" t="str">
        <f>IF(COUNTIF($A$2:A111,A111)&gt;1,"Duplicate","Unique")</f>
        <v>Duplicate</v>
      </c>
    </row>
    <row r="112" spans="1:7" x14ac:dyDescent="0.25">
      <c r="A112" s="3" t="str">
        <f>RAW_DATA!E112</f>
        <v>virginica</v>
      </c>
      <c r="B112" s="3" t="str">
        <f t="shared" si="5"/>
        <v>virginica</v>
      </c>
      <c r="C112" s="3" t="str">
        <f t="shared" si="6"/>
        <v>virginica</v>
      </c>
      <c r="D112" s="3" t="str">
        <f t="shared" si="7"/>
        <v>virginica</v>
      </c>
      <c r="E112" s="3" t="str">
        <f t="shared" si="8"/>
        <v>virginica</v>
      </c>
      <c r="F112" s="3" t="str">
        <f t="shared" si="9"/>
        <v>Complete</v>
      </c>
      <c r="G112" s="3" t="str">
        <f>IF(COUNTIF($A$2:A112,A112)&gt;1,"Duplicate","Unique")</f>
        <v>Duplicate</v>
      </c>
    </row>
    <row r="113" spans="1:7" x14ac:dyDescent="0.25">
      <c r="A113" s="3" t="str">
        <f>RAW_DATA!E113</f>
        <v>virginica</v>
      </c>
      <c r="B113" s="3" t="str">
        <f t="shared" si="5"/>
        <v>virginica</v>
      </c>
      <c r="C113" s="3" t="str">
        <f t="shared" si="6"/>
        <v>virginica</v>
      </c>
      <c r="D113" s="3" t="str">
        <f t="shared" si="7"/>
        <v>virginica</v>
      </c>
      <c r="E113" s="3" t="str">
        <f t="shared" si="8"/>
        <v>virginica</v>
      </c>
      <c r="F113" s="3" t="str">
        <f t="shared" si="9"/>
        <v>Complete</v>
      </c>
      <c r="G113" s="3" t="str">
        <f>IF(COUNTIF($A$2:A113,A113)&gt;1,"Duplicate","Unique")</f>
        <v>Duplicate</v>
      </c>
    </row>
    <row r="114" spans="1:7" x14ac:dyDescent="0.25">
      <c r="A114" s="3" t="str">
        <f>RAW_DATA!E114</f>
        <v>virginica</v>
      </c>
      <c r="B114" s="3" t="str">
        <f t="shared" si="5"/>
        <v>virginica</v>
      </c>
      <c r="C114" s="3" t="str">
        <f t="shared" si="6"/>
        <v>virginica</v>
      </c>
      <c r="D114" s="3" t="str">
        <f t="shared" si="7"/>
        <v>virginica</v>
      </c>
      <c r="E114" s="3" t="str">
        <f t="shared" si="8"/>
        <v>virginica</v>
      </c>
      <c r="F114" s="3" t="str">
        <f t="shared" si="9"/>
        <v>Complete</v>
      </c>
      <c r="G114" s="3" t="str">
        <f>IF(COUNTIF($A$2:A114,A114)&gt;1,"Duplicate","Unique")</f>
        <v>Duplicate</v>
      </c>
    </row>
    <row r="115" spans="1:7" x14ac:dyDescent="0.25">
      <c r="A115" s="3" t="str">
        <f>RAW_DATA!E115</f>
        <v>virginica</v>
      </c>
      <c r="B115" s="3" t="str">
        <f t="shared" si="5"/>
        <v>virginica</v>
      </c>
      <c r="C115" s="3" t="str">
        <f t="shared" si="6"/>
        <v>virginica</v>
      </c>
      <c r="D115" s="3" t="str">
        <f t="shared" si="7"/>
        <v>virginica</v>
      </c>
      <c r="E115" s="3" t="str">
        <f t="shared" si="8"/>
        <v>virginica</v>
      </c>
      <c r="F115" s="3" t="str">
        <f t="shared" si="9"/>
        <v>Complete</v>
      </c>
      <c r="G115" s="3" t="str">
        <f>IF(COUNTIF($A$2:A115,A115)&gt;1,"Duplicate","Unique")</f>
        <v>Duplicate</v>
      </c>
    </row>
    <row r="116" spans="1:7" x14ac:dyDescent="0.25">
      <c r="A116" s="3" t="str">
        <f>RAW_DATA!E116</f>
        <v>virginica</v>
      </c>
      <c r="B116" s="3" t="str">
        <f t="shared" si="5"/>
        <v>virginica</v>
      </c>
      <c r="C116" s="3" t="str">
        <f t="shared" si="6"/>
        <v>virginica</v>
      </c>
      <c r="D116" s="3" t="str">
        <f t="shared" si="7"/>
        <v>virginica</v>
      </c>
      <c r="E116" s="3" t="str">
        <f t="shared" si="8"/>
        <v>virginica</v>
      </c>
      <c r="F116" s="3" t="str">
        <f t="shared" si="9"/>
        <v>Complete</v>
      </c>
      <c r="G116" s="3" t="str">
        <f>IF(COUNTIF($A$2:A116,A116)&gt;1,"Duplicate","Unique")</f>
        <v>Duplicate</v>
      </c>
    </row>
    <row r="117" spans="1:7" x14ac:dyDescent="0.25">
      <c r="A117" s="3" t="str">
        <f>RAW_DATA!E117</f>
        <v>virginica</v>
      </c>
      <c r="B117" s="3" t="str">
        <f t="shared" si="5"/>
        <v>virginica</v>
      </c>
      <c r="C117" s="3" t="str">
        <f t="shared" si="6"/>
        <v>virginica</v>
      </c>
      <c r="D117" s="3" t="str">
        <f t="shared" si="7"/>
        <v>virginica</v>
      </c>
      <c r="E117" s="3" t="str">
        <f t="shared" si="8"/>
        <v>virginica</v>
      </c>
      <c r="F117" s="3" t="str">
        <f t="shared" si="9"/>
        <v>Complete</v>
      </c>
      <c r="G117" s="3" t="str">
        <f>IF(COUNTIF($A$2:A117,A117)&gt;1,"Duplicate","Unique")</f>
        <v>Duplicate</v>
      </c>
    </row>
    <row r="118" spans="1:7" x14ac:dyDescent="0.25">
      <c r="A118" s="3" t="str">
        <f>RAW_DATA!E118</f>
        <v>virginica</v>
      </c>
      <c r="B118" s="3" t="str">
        <f t="shared" si="5"/>
        <v>virginica</v>
      </c>
      <c r="C118" s="3" t="str">
        <f t="shared" si="6"/>
        <v>virginica</v>
      </c>
      <c r="D118" s="3" t="str">
        <f t="shared" si="7"/>
        <v>virginica</v>
      </c>
      <c r="E118" s="3" t="str">
        <f t="shared" si="8"/>
        <v>virginica</v>
      </c>
      <c r="F118" s="3" t="str">
        <f t="shared" si="9"/>
        <v>Complete</v>
      </c>
      <c r="G118" s="3" t="str">
        <f>IF(COUNTIF($A$2:A118,A118)&gt;1,"Duplicate","Unique")</f>
        <v>Duplicate</v>
      </c>
    </row>
    <row r="119" spans="1:7" x14ac:dyDescent="0.25">
      <c r="A119" s="3" t="str">
        <f>RAW_DATA!E119</f>
        <v>virginica</v>
      </c>
      <c r="B119" s="3" t="str">
        <f t="shared" si="5"/>
        <v>virginica</v>
      </c>
      <c r="C119" s="3" t="str">
        <f t="shared" si="6"/>
        <v>virginica</v>
      </c>
      <c r="D119" s="3" t="str">
        <f t="shared" si="7"/>
        <v>virginica</v>
      </c>
      <c r="E119" s="3" t="str">
        <f t="shared" si="8"/>
        <v>virginica</v>
      </c>
      <c r="F119" s="3" t="str">
        <f t="shared" si="9"/>
        <v>Complete</v>
      </c>
      <c r="G119" s="3" t="str">
        <f>IF(COUNTIF($A$2:A119,A119)&gt;1,"Duplicate","Unique")</f>
        <v>Duplicate</v>
      </c>
    </row>
    <row r="120" spans="1:7" x14ac:dyDescent="0.25">
      <c r="A120" s="3" t="str">
        <f>RAW_DATA!E120</f>
        <v>virginica</v>
      </c>
      <c r="B120" s="3" t="str">
        <f t="shared" si="5"/>
        <v>virginica</v>
      </c>
      <c r="C120" s="3" t="str">
        <f t="shared" si="6"/>
        <v>virginica</v>
      </c>
      <c r="D120" s="3" t="str">
        <f t="shared" si="7"/>
        <v>virginica</v>
      </c>
      <c r="E120" s="3" t="str">
        <f t="shared" si="8"/>
        <v>virginica</v>
      </c>
      <c r="F120" s="3" t="str">
        <f t="shared" si="9"/>
        <v>Complete</v>
      </c>
      <c r="G120" s="3" t="str">
        <f>IF(COUNTIF($A$2:A120,A120)&gt;1,"Duplicate","Unique")</f>
        <v>Duplicate</v>
      </c>
    </row>
    <row r="121" spans="1:7" x14ac:dyDescent="0.25">
      <c r="A121" s="3" t="str">
        <f>RAW_DATA!E121</f>
        <v>virginica</v>
      </c>
      <c r="B121" s="3" t="str">
        <f t="shared" si="5"/>
        <v>virginica</v>
      </c>
      <c r="C121" s="3" t="str">
        <f t="shared" si="6"/>
        <v>virginica</v>
      </c>
      <c r="D121" s="3" t="str">
        <f t="shared" si="7"/>
        <v>virginica</v>
      </c>
      <c r="E121" s="3" t="str">
        <f t="shared" si="8"/>
        <v>virginica</v>
      </c>
      <c r="F121" s="3" t="str">
        <f t="shared" si="9"/>
        <v>Complete</v>
      </c>
      <c r="G121" s="3" t="str">
        <f>IF(COUNTIF($A$2:A121,A121)&gt;1,"Duplicate","Unique")</f>
        <v>Duplicate</v>
      </c>
    </row>
    <row r="122" spans="1:7" x14ac:dyDescent="0.25">
      <c r="A122" s="3" t="str">
        <f>RAW_DATA!E122</f>
        <v>virginica</v>
      </c>
      <c r="B122" s="3" t="str">
        <f t="shared" si="5"/>
        <v>virginica</v>
      </c>
      <c r="C122" s="3" t="str">
        <f t="shared" si="6"/>
        <v>virginica</v>
      </c>
      <c r="D122" s="3" t="str">
        <f t="shared" si="7"/>
        <v>virginica</v>
      </c>
      <c r="E122" s="3" t="str">
        <f t="shared" si="8"/>
        <v>virginica</v>
      </c>
      <c r="F122" s="3" t="str">
        <f t="shared" si="9"/>
        <v>Complete</v>
      </c>
      <c r="G122" s="3" t="str">
        <f>IF(COUNTIF($A$2:A122,A122)&gt;1,"Duplicate","Unique")</f>
        <v>Duplicate</v>
      </c>
    </row>
    <row r="123" spans="1:7" x14ac:dyDescent="0.25">
      <c r="A123" s="3" t="str">
        <f>RAW_DATA!E123</f>
        <v>virginica</v>
      </c>
      <c r="B123" s="3" t="str">
        <f t="shared" si="5"/>
        <v>virginica</v>
      </c>
      <c r="C123" s="3" t="str">
        <f t="shared" si="6"/>
        <v>virginica</v>
      </c>
      <c r="D123" s="3" t="str">
        <f t="shared" si="7"/>
        <v>virginica</v>
      </c>
      <c r="E123" s="3" t="str">
        <f t="shared" si="8"/>
        <v>virginica</v>
      </c>
      <c r="F123" s="3" t="str">
        <f t="shared" si="9"/>
        <v>Complete</v>
      </c>
      <c r="G123" s="3" t="str">
        <f>IF(COUNTIF($A$2:A123,A123)&gt;1,"Duplicate","Unique")</f>
        <v>Duplicate</v>
      </c>
    </row>
    <row r="124" spans="1:7" x14ac:dyDescent="0.25">
      <c r="A124" s="3" t="str">
        <f>RAW_DATA!E124</f>
        <v>virginica</v>
      </c>
      <c r="B124" s="3" t="str">
        <f t="shared" si="5"/>
        <v>virginica</v>
      </c>
      <c r="C124" s="3" t="str">
        <f t="shared" si="6"/>
        <v>virginica</v>
      </c>
      <c r="D124" s="3" t="str">
        <f t="shared" si="7"/>
        <v>virginica</v>
      </c>
      <c r="E124" s="3" t="str">
        <f t="shared" si="8"/>
        <v>virginica</v>
      </c>
      <c r="F124" s="3" t="str">
        <f t="shared" si="9"/>
        <v>Complete</v>
      </c>
      <c r="G124" s="3" t="str">
        <f>IF(COUNTIF($A$2:A124,A124)&gt;1,"Duplicate","Unique")</f>
        <v>Duplicate</v>
      </c>
    </row>
    <row r="125" spans="1:7" x14ac:dyDescent="0.25">
      <c r="A125" s="3" t="str">
        <f>RAW_DATA!E125</f>
        <v>virginica</v>
      </c>
      <c r="B125" s="3" t="str">
        <f t="shared" si="5"/>
        <v>virginica</v>
      </c>
      <c r="C125" s="3" t="str">
        <f t="shared" si="6"/>
        <v>virginica</v>
      </c>
      <c r="D125" s="3" t="str">
        <f t="shared" si="7"/>
        <v>virginica</v>
      </c>
      <c r="E125" s="3" t="str">
        <f t="shared" si="8"/>
        <v>virginica</v>
      </c>
      <c r="F125" s="3" t="str">
        <f t="shared" si="9"/>
        <v>Complete</v>
      </c>
      <c r="G125" s="3" t="str">
        <f>IF(COUNTIF($A$2:A125,A125)&gt;1,"Duplicate","Unique")</f>
        <v>Duplicate</v>
      </c>
    </row>
    <row r="126" spans="1:7" x14ac:dyDescent="0.25">
      <c r="A126" s="3" t="str">
        <f>RAW_DATA!E126</f>
        <v>virginica</v>
      </c>
      <c r="B126" s="3" t="str">
        <f t="shared" si="5"/>
        <v>virginica</v>
      </c>
      <c r="C126" s="3" t="str">
        <f t="shared" si="6"/>
        <v>virginica</v>
      </c>
      <c r="D126" s="3" t="str">
        <f t="shared" si="7"/>
        <v>virginica</v>
      </c>
      <c r="E126" s="3" t="str">
        <f t="shared" si="8"/>
        <v>virginica</v>
      </c>
      <c r="F126" s="3" t="str">
        <f t="shared" si="9"/>
        <v>Complete</v>
      </c>
      <c r="G126" s="3" t="str">
        <f>IF(COUNTIF($A$2:A126,A126)&gt;1,"Duplicate","Unique")</f>
        <v>Duplicate</v>
      </c>
    </row>
    <row r="127" spans="1:7" x14ac:dyDescent="0.25">
      <c r="A127" s="3" t="str">
        <f>RAW_DATA!E127</f>
        <v>virginica</v>
      </c>
      <c r="B127" s="3" t="str">
        <f t="shared" si="5"/>
        <v>virginica</v>
      </c>
      <c r="C127" s="3" t="str">
        <f t="shared" si="6"/>
        <v>virginica</v>
      </c>
      <c r="D127" s="3" t="str">
        <f t="shared" si="7"/>
        <v>virginica</v>
      </c>
      <c r="E127" s="3" t="str">
        <f t="shared" si="8"/>
        <v>virginica</v>
      </c>
      <c r="F127" s="3" t="str">
        <f t="shared" si="9"/>
        <v>Complete</v>
      </c>
      <c r="G127" s="3" t="str">
        <f>IF(COUNTIF($A$2:A127,A127)&gt;1,"Duplicate","Unique")</f>
        <v>Duplicate</v>
      </c>
    </row>
    <row r="128" spans="1:7" x14ac:dyDescent="0.25">
      <c r="A128" s="3" t="str">
        <f>RAW_DATA!E128</f>
        <v>virginica</v>
      </c>
      <c r="B128" s="3" t="str">
        <f t="shared" si="5"/>
        <v>virginica</v>
      </c>
      <c r="C128" s="3" t="str">
        <f t="shared" si="6"/>
        <v>virginica</v>
      </c>
      <c r="D128" s="3" t="str">
        <f t="shared" si="7"/>
        <v>virginica</v>
      </c>
      <c r="E128" s="3" t="str">
        <f t="shared" si="8"/>
        <v>virginica</v>
      </c>
      <c r="F128" s="3" t="str">
        <f t="shared" si="9"/>
        <v>Complete</v>
      </c>
      <c r="G128" s="3" t="str">
        <f>IF(COUNTIF($A$2:A128,A128)&gt;1,"Duplicate","Unique")</f>
        <v>Duplicate</v>
      </c>
    </row>
    <row r="129" spans="1:7" x14ac:dyDescent="0.25">
      <c r="A129" s="3" t="str">
        <f>RAW_DATA!E129</f>
        <v>virginica</v>
      </c>
      <c r="B129" s="3" t="str">
        <f t="shared" si="5"/>
        <v>virginica</v>
      </c>
      <c r="C129" s="3" t="str">
        <f t="shared" si="6"/>
        <v>virginica</v>
      </c>
      <c r="D129" s="3" t="str">
        <f t="shared" si="7"/>
        <v>virginica</v>
      </c>
      <c r="E129" s="3" t="str">
        <f t="shared" si="8"/>
        <v>virginica</v>
      </c>
      <c r="F129" s="3" t="str">
        <f t="shared" si="9"/>
        <v>Complete</v>
      </c>
      <c r="G129" s="3" t="str">
        <f>IF(COUNTIF($A$2:A129,A129)&gt;1,"Duplicate","Unique")</f>
        <v>Duplicate</v>
      </c>
    </row>
    <row r="130" spans="1:7" x14ac:dyDescent="0.25">
      <c r="A130" s="3" t="str">
        <f>RAW_DATA!E130</f>
        <v>virginica</v>
      </c>
      <c r="B130" s="3" t="str">
        <f t="shared" si="5"/>
        <v>virginica</v>
      </c>
      <c r="C130" s="3" t="str">
        <f t="shared" si="6"/>
        <v>virginica</v>
      </c>
      <c r="D130" s="3" t="str">
        <f t="shared" si="7"/>
        <v>virginica</v>
      </c>
      <c r="E130" s="3" t="str">
        <f t="shared" si="8"/>
        <v>virginica</v>
      </c>
      <c r="F130" s="3" t="str">
        <f t="shared" si="9"/>
        <v>Complete</v>
      </c>
      <c r="G130" s="3" t="str">
        <f>IF(COUNTIF($A$2:A130,A130)&gt;1,"Duplicate","Unique")</f>
        <v>Duplicate</v>
      </c>
    </row>
    <row r="131" spans="1:7" x14ac:dyDescent="0.25">
      <c r="A131" s="3" t="str">
        <f>RAW_DATA!E131</f>
        <v>virginica</v>
      </c>
      <c r="B131" s="3" t="str">
        <f t="shared" ref="B131:B151" si="10">TRIM(A131)</f>
        <v>virginica</v>
      </c>
      <c r="C131" s="3" t="str">
        <f t="shared" ref="C131:C151" si="11">CLEAN(A131)</f>
        <v>virginica</v>
      </c>
      <c r="D131" s="3" t="str">
        <f t="shared" ref="D131:D151" si="12">TRIM(CLEAN(A131))</f>
        <v>virginica</v>
      </c>
      <c r="E131" s="3" t="str">
        <f t="shared" ref="E131:E151" si="13">SUBSTITUTE(D131,"setosa","Setosa")</f>
        <v>virginica</v>
      </c>
      <c r="F131" s="3" t="str">
        <f t="shared" ref="F131:F151" si="14">IF(ISBLANK(A131),"Missing","Complete")</f>
        <v>Complete</v>
      </c>
      <c r="G131" s="3" t="str">
        <f>IF(COUNTIF($A$2:A131,A131)&gt;1,"Duplicate","Unique")</f>
        <v>Duplicate</v>
      </c>
    </row>
    <row r="132" spans="1:7" x14ac:dyDescent="0.25">
      <c r="A132" s="3" t="str">
        <f>RAW_DATA!E132</f>
        <v>virginica</v>
      </c>
      <c r="B132" s="3" t="str">
        <f t="shared" si="10"/>
        <v>virginica</v>
      </c>
      <c r="C132" s="3" t="str">
        <f t="shared" si="11"/>
        <v>virginica</v>
      </c>
      <c r="D132" s="3" t="str">
        <f t="shared" si="12"/>
        <v>virginica</v>
      </c>
      <c r="E132" s="3" t="str">
        <f t="shared" si="13"/>
        <v>virginica</v>
      </c>
      <c r="F132" s="3" t="str">
        <f t="shared" si="14"/>
        <v>Complete</v>
      </c>
      <c r="G132" s="3" t="str">
        <f>IF(COUNTIF($A$2:A132,A132)&gt;1,"Duplicate","Unique")</f>
        <v>Duplicate</v>
      </c>
    </row>
    <row r="133" spans="1:7" x14ac:dyDescent="0.25">
      <c r="A133" s="3" t="str">
        <f>RAW_DATA!E133</f>
        <v>virginica</v>
      </c>
      <c r="B133" s="3" t="str">
        <f t="shared" si="10"/>
        <v>virginica</v>
      </c>
      <c r="C133" s="3" t="str">
        <f t="shared" si="11"/>
        <v>virginica</v>
      </c>
      <c r="D133" s="3" t="str">
        <f t="shared" si="12"/>
        <v>virginica</v>
      </c>
      <c r="E133" s="3" t="str">
        <f t="shared" si="13"/>
        <v>virginica</v>
      </c>
      <c r="F133" s="3" t="str">
        <f t="shared" si="14"/>
        <v>Complete</v>
      </c>
      <c r="G133" s="3" t="str">
        <f>IF(COUNTIF($A$2:A133,A133)&gt;1,"Duplicate","Unique")</f>
        <v>Duplicate</v>
      </c>
    </row>
    <row r="134" spans="1:7" x14ac:dyDescent="0.25">
      <c r="A134" s="3" t="str">
        <f>RAW_DATA!E134</f>
        <v>virginica</v>
      </c>
      <c r="B134" s="3" t="str">
        <f t="shared" si="10"/>
        <v>virginica</v>
      </c>
      <c r="C134" s="3" t="str">
        <f t="shared" si="11"/>
        <v>virginica</v>
      </c>
      <c r="D134" s="3" t="str">
        <f t="shared" si="12"/>
        <v>virginica</v>
      </c>
      <c r="E134" s="3" t="str">
        <f t="shared" si="13"/>
        <v>virginica</v>
      </c>
      <c r="F134" s="3" t="str">
        <f t="shared" si="14"/>
        <v>Complete</v>
      </c>
      <c r="G134" s="3" t="str">
        <f>IF(COUNTIF($A$2:A134,A134)&gt;1,"Duplicate","Unique")</f>
        <v>Duplicate</v>
      </c>
    </row>
    <row r="135" spans="1:7" x14ac:dyDescent="0.25">
      <c r="A135" s="3" t="str">
        <f>RAW_DATA!E135</f>
        <v>virginica</v>
      </c>
      <c r="B135" s="3" t="str">
        <f t="shared" si="10"/>
        <v>virginica</v>
      </c>
      <c r="C135" s="3" t="str">
        <f t="shared" si="11"/>
        <v>virginica</v>
      </c>
      <c r="D135" s="3" t="str">
        <f t="shared" si="12"/>
        <v>virginica</v>
      </c>
      <c r="E135" s="3" t="str">
        <f t="shared" si="13"/>
        <v>virginica</v>
      </c>
      <c r="F135" s="3" t="str">
        <f t="shared" si="14"/>
        <v>Complete</v>
      </c>
      <c r="G135" s="3" t="str">
        <f>IF(COUNTIF($A$2:A135,A135)&gt;1,"Duplicate","Unique")</f>
        <v>Duplicate</v>
      </c>
    </row>
    <row r="136" spans="1:7" x14ac:dyDescent="0.25">
      <c r="A136" s="3" t="str">
        <f>RAW_DATA!E136</f>
        <v>virginica</v>
      </c>
      <c r="B136" s="3" t="str">
        <f t="shared" si="10"/>
        <v>virginica</v>
      </c>
      <c r="C136" s="3" t="str">
        <f t="shared" si="11"/>
        <v>virginica</v>
      </c>
      <c r="D136" s="3" t="str">
        <f t="shared" si="12"/>
        <v>virginica</v>
      </c>
      <c r="E136" s="3" t="str">
        <f t="shared" si="13"/>
        <v>virginica</v>
      </c>
      <c r="F136" s="3" t="str">
        <f t="shared" si="14"/>
        <v>Complete</v>
      </c>
      <c r="G136" s="3" t="str">
        <f>IF(COUNTIF($A$2:A136,A136)&gt;1,"Duplicate","Unique")</f>
        <v>Duplicate</v>
      </c>
    </row>
    <row r="137" spans="1:7" x14ac:dyDescent="0.25">
      <c r="A137" s="3" t="str">
        <f>RAW_DATA!E137</f>
        <v>virginica</v>
      </c>
      <c r="B137" s="3" t="str">
        <f t="shared" si="10"/>
        <v>virginica</v>
      </c>
      <c r="C137" s="3" t="str">
        <f t="shared" si="11"/>
        <v>virginica</v>
      </c>
      <c r="D137" s="3" t="str">
        <f t="shared" si="12"/>
        <v>virginica</v>
      </c>
      <c r="E137" s="3" t="str">
        <f t="shared" si="13"/>
        <v>virginica</v>
      </c>
      <c r="F137" s="3" t="str">
        <f t="shared" si="14"/>
        <v>Complete</v>
      </c>
      <c r="G137" s="3" t="str">
        <f>IF(COUNTIF($A$2:A137,A137)&gt;1,"Duplicate","Unique")</f>
        <v>Duplicate</v>
      </c>
    </row>
    <row r="138" spans="1:7" x14ac:dyDescent="0.25">
      <c r="A138" s="3" t="str">
        <f>RAW_DATA!E138</f>
        <v>virginica</v>
      </c>
      <c r="B138" s="3" t="str">
        <f t="shared" si="10"/>
        <v>virginica</v>
      </c>
      <c r="C138" s="3" t="str">
        <f t="shared" si="11"/>
        <v>virginica</v>
      </c>
      <c r="D138" s="3" t="str">
        <f t="shared" si="12"/>
        <v>virginica</v>
      </c>
      <c r="E138" s="3" t="str">
        <f t="shared" si="13"/>
        <v>virginica</v>
      </c>
      <c r="F138" s="3" t="str">
        <f t="shared" si="14"/>
        <v>Complete</v>
      </c>
      <c r="G138" s="3" t="str">
        <f>IF(COUNTIF($A$2:A138,A138)&gt;1,"Duplicate","Unique")</f>
        <v>Duplicate</v>
      </c>
    </row>
    <row r="139" spans="1:7" x14ac:dyDescent="0.25">
      <c r="A139" s="3" t="str">
        <f>RAW_DATA!E139</f>
        <v>virginica</v>
      </c>
      <c r="B139" s="3" t="str">
        <f t="shared" si="10"/>
        <v>virginica</v>
      </c>
      <c r="C139" s="3" t="str">
        <f t="shared" si="11"/>
        <v>virginica</v>
      </c>
      <c r="D139" s="3" t="str">
        <f t="shared" si="12"/>
        <v>virginica</v>
      </c>
      <c r="E139" s="3" t="str">
        <f t="shared" si="13"/>
        <v>virginica</v>
      </c>
      <c r="F139" s="3" t="str">
        <f t="shared" si="14"/>
        <v>Complete</v>
      </c>
      <c r="G139" s="3" t="str">
        <f>IF(COUNTIF($A$2:A139,A139)&gt;1,"Duplicate","Unique")</f>
        <v>Duplicate</v>
      </c>
    </row>
    <row r="140" spans="1:7" x14ac:dyDescent="0.25">
      <c r="A140" s="3" t="str">
        <f>RAW_DATA!E140</f>
        <v>virginica</v>
      </c>
      <c r="B140" s="3" t="str">
        <f t="shared" si="10"/>
        <v>virginica</v>
      </c>
      <c r="C140" s="3" t="str">
        <f t="shared" si="11"/>
        <v>virginica</v>
      </c>
      <c r="D140" s="3" t="str">
        <f t="shared" si="12"/>
        <v>virginica</v>
      </c>
      <c r="E140" s="3" t="str">
        <f t="shared" si="13"/>
        <v>virginica</v>
      </c>
      <c r="F140" s="3" t="str">
        <f t="shared" si="14"/>
        <v>Complete</v>
      </c>
      <c r="G140" s="3" t="str">
        <f>IF(COUNTIF($A$2:A140,A140)&gt;1,"Duplicate","Unique")</f>
        <v>Duplicate</v>
      </c>
    </row>
    <row r="141" spans="1:7" x14ac:dyDescent="0.25">
      <c r="A141" s="3" t="str">
        <f>RAW_DATA!E141</f>
        <v>virginica</v>
      </c>
      <c r="B141" s="3" t="str">
        <f t="shared" si="10"/>
        <v>virginica</v>
      </c>
      <c r="C141" s="3" t="str">
        <f t="shared" si="11"/>
        <v>virginica</v>
      </c>
      <c r="D141" s="3" t="str">
        <f t="shared" si="12"/>
        <v>virginica</v>
      </c>
      <c r="E141" s="3" t="str">
        <f t="shared" si="13"/>
        <v>virginica</v>
      </c>
      <c r="F141" s="3" t="str">
        <f t="shared" si="14"/>
        <v>Complete</v>
      </c>
      <c r="G141" s="3" t="str">
        <f>IF(COUNTIF($A$2:A141,A141)&gt;1,"Duplicate","Unique")</f>
        <v>Duplicate</v>
      </c>
    </row>
    <row r="142" spans="1:7" x14ac:dyDescent="0.25">
      <c r="A142" s="3" t="str">
        <f>RAW_DATA!E142</f>
        <v>virginica</v>
      </c>
      <c r="B142" s="3" t="str">
        <f t="shared" si="10"/>
        <v>virginica</v>
      </c>
      <c r="C142" s="3" t="str">
        <f t="shared" si="11"/>
        <v>virginica</v>
      </c>
      <c r="D142" s="3" t="str">
        <f t="shared" si="12"/>
        <v>virginica</v>
      </c>
      <c r="E142" s="3" t="str">
        <f t="shared" si="13"/>
        <v>virginica</v>
      </c>
      <c r="F142" s="3" t="str">
        <f t="shared" si="14"/>
        <v>Complete</v>
      </c>
      <c r="G142" s="3" t="str">
        <f>IF(COUNTIF($A$2:A142,A142)&gt;1,"Duplicate","Unique")</f>
        <v>Duplicate</v>
      </c>
    </row>
    <row r="143" spans="1:7" x14ac:dyDescent="0.25">
      <c r="A143" s="3" t="str">
        <f>RAW_DATA!E143</f>
        <v>virginica</v>
      </c>
      <c r="B143" s="3" t="str">
        <f t="shared" si="10"/>
        <v>virginica</v>
      </c>
      <c r="C143" s="3" t="str">
        <f t="shared" si="11"/>
        <v>virginica</v>
      </c>
      <c r="D143" s="3" t="str">
        <f t="shared" si="12"/>
        <v>virginica</v>
      </c>
      <c r="E143" s="3" t="str">
        <f t="shared" si="13"/>
        <v>virginica</v>
      </c>
      <c r="F143" s="3" t="str">
        <f t="shared" si="14"/>
        <v>Complete</v>
      </c>
      <c r="G143" s="3" t="str">
        <f>IF(COUNTIF($A$2:A143,A143)&gt;1,"Duplicate","Unique")</f>
        <v>Duplicate</v>
      </c>
    </row>
    <row r="144" spans="1:7" x14ac:dyDescent="0.25">
      <c r="A144" s="3" t="str">
        <f>RAW_DATA!E144</f>
        <v>virginica</v>
      </c>
      <c r="B144" s="3" t="str">
        <f t="shared" si="10"/>
        <v>virginica</v>
      </c>
      <c r="C144" s="3" t="str">
        <f t="shared" si="11"/>
        <v>virginica</v>
      </c>
      <c r="D144" s="3" t="str">
        <f t="shared" si="12"/>
        <v>virginica</v>
      </c>
      <c r="E144" s="3" t="str">
        <f t="shared" si="13"/>
        <v>virginica</v>
      </c>
      <c r="F144" s="3" t="str">
        <f t="shared" si="14"/>
        <v>Complete</v>
      </c>
      <c r="G144" s="3" t="str">
        <f>IF(COUNTIF($A$2:A144,A144)&gt;1,"Duplicate","Unique")</f>
        <v>Duplicate</v>
      </c>
    </row>
    <row r="145" spans="1:7" x14ac:dyDescent="0.25">
      <c r="A145" s="3" t="str">
        <f>RAW_DATA!E145</f>
        <v>virginica</v>
      </c>
      <c r="B145" s="3" t="str">
        <f t="shared" si="10"/>
        <v>virginica</v>
      </c>
      <c r="C145" s="3" t="str">
        <f t="shared" si="11"/>
        <v>virginica</v>
      </c>
      <c r="D145" s="3" t="str">
        <f t="shared" si="12"/>
        <v>virginica</v>
      </c>
      <c r="E145" s="3" t="str">
        <f t="shared" si="13"/>
        <v>virginica</v>
      </c>
      <c r="F145" s="3" t="str">
        <f t="shared" si="14"/>
        <v>Complete</v>
      </c>
      <c r="G145" s="3" t="str">
        <f>IF(COUNTIF($A$2:A145,A145)&gt;1,"Duplicate","Unique")</f>
        <v>Duplicate</v>
      </c>
    </row>
    <row r="146" spans="1:7" x14ac:dyDescent="0.25">
      <c r="A146" s="3" t="str">
        <f>RAW_DATA!E146</f>
        <v>virginica</v>
      </c>
      <c r="B146" s="3" t="str">
        <f t="shared" si="10"/>
        <v>virginica</v>
      </c>
      <c r="C146" s="3" t="str">
        <f t="shared" si="11"/>
        <v>virginica</v>
      </c>
      <c r="D146" s="3" t="str">
        <f t="shared" si="12"/>
        <v>virginica</v>
      </c>
      <c r="E146" s="3" t="str">
        <f t="shared" si="13"/>
        <v>virginica</v>
      </c>
      <c r="F146" s="3" t="str">
        <f t="shared" si="14"/>
        <v>Complete</v>
      </c>
      <c r="G146" s="3" t="str">
        <f>IF(COUNTIF($A$2:A146,A146)&gt;1,"Duplicate","Unique")</f>
        <v>Duplicate</v>
      </c>
    </row>
    <row r="147" spans="1:7" x14ac:dyDescent="0.25">
      <c r="A147" s="3" t="str">
        <f>RAW_DATA!E147</f>
        <v>virginica</v>
      </c>
      <c r="B147" s="3" t="str">
        <f t="shared" si="10"/>
        <v>virginica</v>
      </c>
      <c r="C147" s="3" t="str">
        <f t="shared" si="11"/>
        <v>virginica</v>
      </c>
      <c r="D147" s="3" t="str">
        <f t="shared" si="12"/>
        <v>virginica</v>
      </c>
      <c r="E147" s="3" t="str">
        <f t="shared" si="13"/>
        <v>virginica</v>
      </c>
      <c r="F147" s="3" t="str">
        <f t="shared" si="14"/>
        <v>Complete</v>
      </c>
      <c r="G147" s="3" t="str">
        <f>IF(COUNTIF($A$2:A147,A147)&gt;1,"Duplicate","Unique")</f>
        <v>Duplicate</v>
      </c>
    </row>
    <row r="148" spans="1:7" x14ac:dyDescent="0.25">
      <c r="A148" s="3" t="str">
        <f>RAW_DATA!E148</f>
        <v>virginica</v>
      </c>
      <c r="B148" s="3" t="str">
        <f t="shared" si="10"/>
        <v>virginica</v>
      </c>
      <c r="C148" s="3" t="str">
        <f t="shared" si="11"/>
        <v>virginica</v>
      </c>
      <c r="D148" s="3" t="str">
        <f t="shared" si="12"/>
        <v>virginica</v>
      </c>
      <c r="E148" s="3" t="str">
        <f t="shared" si="13"/>
        <v>virginica</v>
      </c>
      <c r="F148" s="3" t="str">
        <f t="shared" si="14"/>
        <v>Complete</v>
      </c>
      <c r="G148" s="3" t="str">
        <f>IF(COUNTIF($A$2:A148,A148)&gt;1,"Duplicate","Unique")</f>
        <v>Duplicate</v>
      </c>
    </row>
    <row r="149" spans="1:7" x14ac:dyDescent="0.25">
      <c r="A149" s="3" t="str">
        <f>RAW_DATA!E149</f>
        <v>virginica</v>
      </c>
      <c r="B149" s="3" t="str">
        <f t="shared" si="10"/>
        <v>virginica</v>
      </c>
      <c r="C149" s="3" t="str">
        <f t="shared" si="11"/>
        <v>virginica</v>
      </c>
      <c r="D149" s="3" t="str">
        <f t="shared" si="12"/>
        <v>virginica</v>
      </c>
      <c r="E149" s="3" t="str">
        <f t="shared" si="13"/>
        <v>virginica</v>
      </c>
      <c r="F149" s="3" t="str">
        <f t="shared" si="14"/>
        <v>Complete</v>
      </c>
      <c r="G149" s="3" t="str">
        <f>IF(COUNTIF($A$2:A149,A149)&gt;1,"Duplicate","Unique")</f>
        <v>Duplicate</v>
      </c>
    </row>
    <row r="150" spans="1:7" x14ac:dyDescent="0.25">
      <c r="A150" s="3" t="str">
        <f>RAW_DATA!E150</f>
        <v>virginica</v>
      </c>
      <c r="B150" s="3" t="str">
        <f t="shared" si="10"/>
        <v>virginica</v>
      </c>
      <c r="C150" s="3" t="str">
        <f t="shared" si="11"/>
        <v>virginica</v>
      </c>
      <c r="D150" s="3" t="str">
        <f t="shared" si="12"/>
        <v>virginica</v>
      </c>
      <c r="E150" s="3" t="str">
        <f t="shared" si="13"/>
        <v>virginica</v>
      </c>
      <c r="F150" s="3" t="str">
        <f t="shared" si="14"/>
        <v>Complete</v>
      </c>
      <c r="G150" s="3" t="str">
        <f>IF(COUNTIF($A$2:A150,A150)&gt;1,"Duplicate","Unique")</f>
        <v>Duplicate</v>
      </c>
    </row>
    <row r="151" spans="1:7" x14ac:dyDescent="0.25">
      <c r="A151" s="3" t="str">
        <f>RAW_DATA!E151</f>
        <v>virginica</v>
      </c>
      <c r="B151" s="3" t="str">
        <f t="shared" si="10"/>
        <v>virginica</v>
      </c>
      <c r="C151" s="3" t="str">
        <f t="shared" si="11"/>
        <v>virginica</v>
      </c>
      <c r="D151" s="3" t="str">
        <f t="shared" si="12"/>
        <v>virginica</v>
      </c>
      <c r="E151" s="3" t="str">
        <f t="shared" si="13"/>
        <v>virginica</v>
      </c>
      <c r="F151" s="3" t="str">
        <f t="shared" si="14"/>
        <v>Complete</v>
      </c>
      <c r="G151" s="3" t="str">
        <f>IF(COUNTIF($A$2:A151,A151)&gt;1,"Duplicate","Unique")</f>
        <v>Duplicate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626D7-42E1-4F0F-A315-3C918271E7BF}">
  <dimension ref="A1:F36"/>
  <sheetViews>
    <sheetView topLeftCell="A4" workbookViewId="0">
      <selection activeCell="E4" sqref="E4"/>
    </sheetView>
  </sheetViews>
  <sheetFormatPr defaultRowHeight="15" x14ac:dyDescent="0.25"/>
  <cols>
    <col min="1" max="1" width="28" bestFit="1" customWidth="1"/>
    <col min="2" max="2" width="12.28515625" bestFit="1" customWidth="1"/>
    <col min="3" max="3" width="16.140625" bestFit="1" customWidth="1"/>
    <col min="4" max="4" width="15.5703125" bestFit="1" customWidth="1"/>
    <col min="5" max="5" width="15.85546875" bestFit="1" customWidth="1"/>
    <col min="6" max="6" width="15.28515625" bestFit="1" customWidth="1"/>
  </cols>
  <sheetData>
    <row r="1" spans="1:6" x14ac:dyDescent="0.25">
      <c r="A1" s="4" t="s">
        <v>50</v>
      </c>
    </row>
    <row r="3" spans="1:6" x14ac:dyDescent="0.25">
      <c r="A3" s="2" t="s">
        <v>51</v>
      </c>
      <c r="B3" s="2" t="s">
        <v>52</v>
      </c>
      <c r="C3" s="2" t="s">
        <v>53</v>
      </c>
      <c r="D3" s="2" t="s">
        <v>54</v>
      </c>
      <c r="E3" s="2" t="s">
        <v>55</v>
      </c>
    </row>
    <row r="4" spans="1:6" x14ac:dyDescent="0.25">
      <c r="A4" s="3" t="s">
        <v>56</v>
      </c>
      <c r="B4" s="3">
        <f>AVERAGE(RAW_DATA!A2:A151)</f>
        <v>5.8433333333333346</v>
      </c>
      <c r="C4" s="3">
        <f>AVERAGE(RAW_DATA!B2:B151)</f>
        <v>3.0540000000000007</v>
      </c>
      <c r="D4" s="3">
        <f>AVERAGE(RAW_DATA!C2:C151)</f>
        <v>3.7586666666666693</v>
      </c>
      <c r="E4" s="3">
        <f>AVERAGE(RAW_DATA!D2:D151)</f>
        <v>1.1986666666666672</v>
      </c>
    </row>
    <row r="5" spans="1:6" x14ac:dyDescent="0.25">
      <c r="A5" s="3" t="s">
        <v>57</v>
      </c>
      <c r="B5" s="3">
        <f>MEDIAN(RAW_DATA!A2:A151)</f>
        <v>5.8</v>
      </c>
      <c r="C5" s="3">
        <f>MEDIAN(RAW_DATA!B2:B151)</f>
        <v>3</v>
      </c>
      <c r="D5" s="3">
        <f>MEDIAN(RAW_DATA!C2:C151)</f>
        <v>4.3499999999999996</v>
      </c>
      <c r="E5" s="3">
        <f>MEDIAN(RAW_DATA!D2:D151)</f>
        <v>1.3</v>
      </c>
    </row>
    <row r="6" spans="1:6" x14ac:dyDescent="0.25">
      <c r="A6" s="3" t="s">
        <v>58</v>
      </c>
      <c r="B6" s="3">
        <f>_xlfn.MODE.SNGL(RAW_DATA!A2:A151)</f>
        <v>5</v>
      </c>
      <c r="C6" s="3">
        <f>_xlfn.MODE.SNGL(RAW_DATA!B2:B151)</f>
        <v>3</v>
      </c>
      <c r="D6" s="3">
        <f>_xlfn.MODE.SNGL(RAW_DATA!C2:C151)</f>
        <v>1.5</v>
      </c>
      <c r="E6" s="3">
        <f>_xlfn.MODE.SNGL(RAW_DATA!D2:D151)</f>
        <v>0.2</v>
      </c>
    </row>
    <row r="7" spans="1:6" x14ac:dyDescent="0.25">
      <c r="A7" s="3" t="s">
        <v>59</v>
      </c>
      <c r="B7" s="3">
        <f>_xlfn.VAR.S(RAW_DATA!A2:A151)</f>
        <v>0.68569351230421827</v>
      </c>
      <c r="C7" s="3">
        <f>_xlfn.VAR.S(RAW_DATA!B2:B151)</f>
        <v>0.1880040268456255</v>
      </c>
      <c r="D7" s="3">
        <f>_xlfn.VAR.S(RAW_DATA!C2:C151)</f>
        <v>3.1131794183445023</v>
      </c>
      <c r="E7" s="3">
        <f>_xlfn.VAR.S(RAW_DATA!D2:D151)</f>
        <v>0.58241431767337748</v>
      </c>
    </row>
    <row r="8" spans="1:6" x14ac:dyDescent="0.25">
      <c r="A8" s="3" t="s">
        <v>60</v>
      </c>
      <c r="B8" s="3">
        <f>_xlfn.STDEV.S(RAW_DATA!A2:A151)</f>
        <v>0.82806612797784351</v>
      </c>
      <c r="C8" s="3">
        <f>_xlfn.STDEV.S(RAW_DATA!B2:B151)</f>
        <v>0.4335943113621597</v>
      </c>
      <c r="D8" s="3">
        <f>_xlfn.STDEV.S(RAW_DATA!C2:C151)</f>
        <v>1.764420419952258</v>
      </c>
      <c r="E8" s="3">
        <f>_xlfn.STDEV.S(RAW_DATA!D2:D151)</f>
        <v>0.76316074170084081</v>
      </c>
    </row>
    <row r="9" spans="1:6" x14ac:dyDescent="0.25">
      <c r="A9" s="3" t="s">
        <v>61</v>
      </c>
      <c r="B9" s="3">
        <f>MIN(RAW_DATA!A2:A151)</f>
        <v>4.3</v>
      </c>
      <c r="C9" s="3">
        <f>MIN(RAW_DATA!B2:B151)</f>
        <v>2</v>
      </c>
      <c r="D9" s="3">
        <f>MIN(RAW_DATA!C2:C151)</f>
        <v>1</v>
      </c>
      <c r="E9" s="3">
        <f>MIN(RAW_DATA!D2:D151)</f>
        <v>0.1</v>
      </c>
    </row>
    <row r="10" spans="1:6" x14ac:dyDescent="0.25">
      <c r="A10" s="3" t="s">
        <v>62</v>
      </c>
      <c r="B10" s="3">
        <f>MAX(RAW_DATA!A2:A151)</f>
        <v>7.9</v>
      </c>
      <c r="C10" s="3">
        <f>MAX(RAW_DATA!B2:B151)</f>
        <v>4.4000000000000004</v>
      </c>
      <c r="D10" s="3">
        <f>MAX(RAW_DATA!C2:C151)</f>
        <v>6.9</v>
      </c>
      <c r="E10" s="3">
        <f>MAX(RAW_DATA!D2:D151)</f>
        <v>2.5</v>
      </c>
    </row>
    <row r="13" spans="1:6" x14ac:dyDescent="0.25">
      <c r="A13" s="4" t="s">
        <v>63</v>
      </c>
    </row>
    <row r="14" spans="1:6" x14ac:dyDescent="0.25">
      <c r="A14" s="2" t="s">
        <v>19</v>
      </c>
      <c r="B14" s="2" t="s">
        <v>64</v>
      </c>
      <c r="C14" s="2" t="s">
        <v>65</v>
      </c>
      <c r="D14" s="2" t="s">
        <v>66</v>
      </c>
      <c r="E14" s="2" t="s">
        <v>67</v>
      </c>
      <c r="F14" s="2" t="s">
        <v>68</v>
      </c>
    </row>
    <row r="15" spans="1:6" x14ac:dyDescent="0.25">
      <c r="A15" s="3" t="str" cm="1">
        <f t="array" ref="A15:A17">_xlfn.UNIQUE(RAW_DATA!E2:E151)</f>
        <v>setosa</v>
      </c>
      <c r="B15" s="3">
        <f>COUNTIF(RAW_DATA!E:E,A15)</f>
        <v>50</v>
      </c>
      <c r="C15" s="3">
        <f>AVERAGEIF(RAW_DATA!E:E,A15,RAW_DATA!A:A)</f>
        <v>5.0059999999999993</v>
      </c>
      <c r="D15" s="3">
        <f>AVERAGEIF(RAW_DATA!E:E,A15,RAW_DATA!B:B)</f>
        <v>3.4180000000000006</v>
      </c>
      <c r="E15" s="3">
        <f>AVERAGEIF(RAW_DATA!E:E,A15,RAW_DATA!C:C)</f>
        <v>1.464</v>
      </c>
      <c r="F15" s="3">
        <f>AVERAGEIF(RAW_DATA!E:E,A15,RAW_DATA!D:D)</f>
        <v>0.24399999999999991</v>
      </c>
    </row>
    <row r="16" spans="1:6" x14ac:dyDescent="0.25">
      <c r="A16" s="3" t="str">
        <v>versicolor</v>
      </c>
      <c r="B16" s="3">
        <f>COUNTIF(RAW_DATA!E:E,A16)</f>
        <v>50</v>
      </c>
      <c r="C16" s="3">
        <f>AVERAGEIF(RAW_DATA!E:E,A16,RAW_DATA!A:A)</f>
        <v>5.9359999999999999</v>
      </c>
      <c r="D16" s="3">
        <f>AVERAGEIF(RAW_DATA!E:E,A16,RAW_DATA!B:B)</f>
        <v>2.7700000000000005</v>
      </c>
      <c r="E16" s="3">
        <f>AVERAGEIF(RAW_DATA!E:E,A16,RAW_DATA!C:C)</f>
        <v>4.26</v>
      </c>
      <c r="F16" s="3">
        <f>AVERAGEIF(RAW_DATA!E:E,A16,RAW_DATA!D:D)</f>
        <v>1.3259999999999998</v>
      </c>
    </row>
    <row r="17" spans="1:6" x14ac:dyDescent="0.25">
      <c r="A17" s="3" t="str">
        <v>virginica</v>
      </c>
      <c r="B17" s="3">
        <f>COUNTIF(RAW_DATA!E:E,A17)</f>
        <v>50</v>
      </c>
      <c r="C17" s="3">
        <f>AVERAGEIF(RAW_DATA!E:E,A17,RAW_DATA!A:A)</f>
        <v>6.5879999999999983</v>
      </c>
      <c r="D17" s="3">
        <f>AVERAGEIF(RAW_DATA!E:E,A17,RAW_DATA!B:B)</f>
        <v>2.9739999999999998</v>
      </c>
      <c r="E17" s="3">
        <f>AVERAGEIF(RAW_DATA!E:E,A17,RAW_DATA!C:C)</f>
        <v>5.5519999999999996</v>
      </c>
      <c r="F17" s="3">
        <f>AVERAGEIF(RAW_DATA!E:E,A17,RAW_DATA!D:D)</f>
        <v>2.0259999999999998</v>
      </c>
    </row>
    <row r="20" spans="1:6" x14ac:dyDescent="0.25">
      <c r="A20" s="4" t="s">
        <v>69</v>
      </c>
    </row>
    <row r="22" spans="1:6" x14ac:dyDescent="0.25">
      <c r="A22" s="2" t="s">
        <v>70</v>
      </c>
      <c r="B22" s="2" t="s">
        <v>71</v>
      </c>
      <c r="C22" s="2" t="s">
        <v>72</v>
      </c>
    </row>
    <row r="23" spans="1:6" x14ac:dyDescent="0.25">
      <c r="A23" s="3" t="s">
        <v>73</v>
      </c>
      <c r="B23" s="3">
        <f>CORREL(RAW_DATA!A2:A151,RAW_DATA!C2:C151)</f>
        <v>0.87175415730487182</v>
      </c>
      <c r="C23" s="3">
        <f>_xlfn.COVARIANCE.S(RAW_DATA!A2:A151,RAW_DATA!C2:C151)</f>
        <v>1.2736823266219242</v>
      </c>
    </row>
    <row r="24" spans="1:6" x14ac:dyDescent="0.25">
      <c r="A24" s="3" t="s">
        <v>74</v>
      </c>
      <c r="B24" s="3">
        <f>CORREL(RAW_DATA!B2:B151,RAW_DATA!D2:D151)</f>
        <v>-0.35654408961380551</v>
      </c>
      <c r="C24" s="3">
        <f>_xlfn.COVARIANCE.S(RAW_DATA!B2:B151,RAW_DATA!D2:D151)</f>
        <v>-0.11798120805369122</v>
      </c>
    </row>
    <row r="25" spans="1:6" x14ac:dyDescent="0.25">
      <c r="A25" s="3" t="s">
        <v>75</v>
      </c>
      <c r="B25" s="3">
        <f>CORREL(RAW_DATA!C2:C151,RAW_DATA!D2:D151)</f>
        <v>0.96275709705096668</v>
      </c>
      <c r="C25" s="3">
        <f>_xlfn.COVARIANCE.S(RAW_DATA!C2:C151,RAW_DATA!D2:D151)</f>
        <v>1.2963874720357946</v>
      </c>
    </row>
    <row r="28" spans="1:6" x14ac:dyDescent="0.25">
      <c r="A28" t="s">
        <v>76</v>
      </c>
    </row>
    <row r="30" spans="1:6" x14ac:dyDescent="0.25">
      <c r="A30" t="s">
        <v>77</v>
      </c>
      <c r="B30" t="s">
        <v>54</v>
      </c>
    </row>
    <row r="31" spans="1:6" x14ac:dyDescent="0.25">
      <c r="A31" t="s">
        <v>78</v>
      </c>
      <c r="B31" t="s">
        <v>55</v>
      </c>
    </row>
    <row r="33" spans="1:2" x14ac:dyDescent="0.25">
      <c r="A33" t="s">
        <v>79</v>
      </c>
      <c r="B33">
        <f>SLOPE(RAW_DATA!D2:D151,RAW_DATA!C2:C151)</f>
        <v>0.41641913228540162</v>
      </c>
    </row>
    <row r="34" spans="1:2" x14ac:dyDescent="0.25">
      <c r="A34" t="s">
        <v>80</v>
      </c>
      <c r="B34">
        <f>INTERCEPT(RAW_DATA!D2:D151,RAW_DATA!C2:C151)</f>
        <v>-0.36651404521673014</v>
      </c>
    </row>
    <row r="35" spans="1:2" x14ac:dyDescent="0.25">
      <c r="A35" t="s">
        <v>81</v>
      </c>
      <c r="B35">
        <f>RSQ(RAW_DATA!D2:D151,RAW_DATA!C2:C151)</f>
        <v>0.92690122792200491</v>
      </c>
    </row>
    <row r="36" spans="1:2" x14ac:dyDescent="0.25">
      <c r="A36" t="s">
        <v>82</v>
      </c>
      <c r="B36">
        <f>_xlfn.FORECAST.LINEAR(4,RAW_DATA!D2:D151,RAW_DATA!C2:C151)</f>
        <v>1.2991624839248763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31B2B-550F-42F0-B399-5DB15E335E8C}">
  <dimension ref="A1:M60"/>
  <sheetViews>
    <sheetView workbookViewId="0">
      <selection activeCell="G8" sqref="G8"/>
    </sheetView>
  </sheetViews>
  <sheetFormatPr defaultRowHeight="15" outlineLevelCol="1" x14ac:dyDescent="0.25"/>
  <cols>
    <col min="1" max="1" width="18.85546875" bestFit="1" customWidth="1"/>
    <col min="2" max="2" width="22.140625" bestFit="1" customWidth="1"/>
    <col min="6" max="6" width="16.42578125" bestFit="1" customWidth="1" outlineLevel="1"/>
    <col min="7" max="8" width="9.140625" outlineLevel="1"/>
  </cols>
  <sheetData>
    <row r="1" spans="1:13" x14ac:dyDescent="0.25">
      <c r="A1" s="4" t="s">
        <v>83</v>
      </c>
      <c r="F1" s="4" t="s">
        <v>87</v>
      </c>
    </row>
    <row r="3" spans="1:13" x14ac:dyDescent="0.25">
      <c r="A3" s="2" t="s">
        <v>84</v>
      </c>
      <c r="B3" s="2" t="s">
        <v>85</v>
      </c>
      <c r="D3" t="s">
        <v>86</v>
      </c>
      <c r="F3" s="2" t="s">
        <v>19</v>
      </c>
      <c r="G3" s="2" t="s">
        <v>88</v>
      </c>
      <c r="H3" s="2" t="s">
        <v>89</v>
      </c>
      <c r="I3" s="2" t="s">
        <v>90</v>
      </c>
      <c r="K3" t="s">
        <v>92</v>
      </c>
      <c r="L3" t="s">
        <v>93</v>
      </c>
      <c r="M3" t="s">
        <v>94</v>
      </c>
    </row>
    <row r="4" spans="1:13" x14ac:dyDescent="0.25">
      <c r="A4" s="3" cm="1">
        <f t="array" ref="A4:A53">_xlfn._xlws.FILTER(RAW_DATA!A2:A151,RAW_DATA!E2:E151="setosa")</f>
        <v>5.0999999999999996</v>
      </c>
      <c r="B4" s="3" cm="1">
        <f t="array" ref="B4:B53">_xlfn._xlws.FILTER(RAW_DATA!A2:A151,RAW_DATA!E2:E151="versicolor")</f>
        <v>7</v>
      </c>
      <c r="D4">
        <f>_xlfn.T.TEST(_xlfn.ANCHORARRAY(A4),_xlfn.ANCHORARRAY(B4),2,2)</f>
        <v>8.9852350374867815E-18</v>
      </c>
      <c r="F4" s="3" t="s">
        <v>5</v>
      </c>
      <c r="G4" s="3">
        <f>COUNTIFS(RAW_DATA!$E$2:$E$151,$F4,RAW_DATA!$C$2:$C$151,"&lt;2")</f>
        <v>50</v>
      </c>
      <c r="H4" s="3">
        <f>COUNTIFS(RAW_DATA!$E$2:$E$151,$F4,RAW_DATA!$C$2:$C$151,"&gt;=2",RAW_DATA!$C$2:$C$151,"&lt;=5")</f>
        <v>0</v>
      </c>
      <c r="I4" s="3">
        <f>COUNTIFS(RAW_DATA!$E$2:$E$151,$F4,RAW_DATA!$C$2:$C$151,"&gt;5")</f>
        <v>0</v>
      </c>
      <c r="K4">
        <f>SUM($G4:$I4)*SUM(G$4:G$6)/SUM($G$4:$I$6)</f>
        <v>16.666666666666668</v>
      </c>
      <c r="L4">
        <f t="shared" ref="L4:M4" si="0">SUM($G4:$I4)*SUM(H$4:H$6)/SUM($G$4:$I$6)</f>
        <v>19.333333333333332</v>
      </c>
      <c r="M4">
        <f t="shared" si="0"/>
        <v>14</v>
      </c>
    </row>
    <row r="5" spans="1:13" x14ac:dyDescent="0.25">
      <c r="A5" s="3">
        <v>4.9000000000000004</v>
      </c>
      <c r="B5" s="3">
        <v>6.4</v>
      </c>
      <c r="F5" s="3" t="s">
        <v>6</v>
      </c>
      <c r="G5" s="3">
        <f>COUNTIFS(RAW_DATA!$E$2:$E$151,$F5,RAW_DATA!$C$2:$C$151,"&lt;2")</f>
        <v>0</v>
      </c>
      <c r="H5" s="3">
        <f>COUNTIFS(RAW_DATA!$E$2:$E$151,$F5,RAW_DATA!$C$2:$C$151,"&gt;=2",RAW_DATA!$C$2:$C$151,"&lt;=5")</f>
        <v>49</v>
      </c>
      <c r="I5" s="3">
        <f>COUNTIFS(RAW_DATA!$E$2:$E$151,$F5,RAW_DATA!$C$2:$C$151,"&gt;5")</f>
        <v>1</v>
      </c>
      <c r="K5">
        <f t="shared" ref="K5:K6" si="1">SUM($G5:$I5)*SUM(G$4:G$6)/SUM($G$4:$I$6)</f>
        <v>16.666666666666668</v>
      </c>
      <c r="L5">
        <f t="shared" ref="L5:L6" si="2">SUM($G5:$I5)*SUM(H$4:H$6)/SUM($G$4:$I$6)</f>
        <v>19.333333333333332</v>
      </c>
      <c r="M5">
        <f t="shared" ref="M5:M6" si="3">SUM($G5:$I5)*SUM(I$4:I$6)/SUM($G$4:$I$6)</f>
        <v>14</v>
      </c>
    </row>
    <row r="6" spans="1:13" x14ac:dyDescent="0.25">
      <c r="A6" s="3">
        <v>4.7</v>
      </c>
      <c r="B6" s="3">
        <v>6.9</v>
      </c>
      <c r="F6" s="3" t="s">
        <v>7</v>
      </c>
      <c r="G6" s="3">
        <f>COUNTIFS(RAW_DATA!$E$2:$E$151,$F6,RAW_DATA!$C$2:$C$151,"&lt;2")</f>
        <v>0</v>
      </c>
      <c r="H6" s="3">
        <f>COUNTIFS(RAW_DATA!$E$2:$E$151,$F6,RAW_DATA!$C$2:$C$151,"&gt;=2",RAW_DATA!$C$2:$C$151,"&lt;=5")</f>
        <v>9</v>
      </c>
      <c r="I6" s="3">
        <f>COUNTIFS(RAW_DATA!$E$2:$E$151,$F6,RAW_DATA!$C$2:$C$151,"&gt;5")</f>
        <v>41</v>
      </c>
      <c r="K6">
        <f t="shared" si="1"/>
        <v>16.666666666666668</v>
      </c>
      <c r="L6">
        <f t="shared" si="2"/>
        <v>19.333333333333332</v>
      </c>
      <c r="M6">
        <f t="shared" si="3"/>
        <v>14</v>
      </c>
    </row>
    <row r="7" spans="1:13" x14ac:dyDescent="0.25">
      <c r="A7" s="3">
        <v>4.5999999999999996</v>
      </c>
      <c r="B7" s="3">
        <v>5.5</v>
      </c>
    </row>
    <row r="8" spans="1:13" x14ac:dyDescent="0.25">
      <c r="A8" s="3">
        <v>5</v>
      </c>
      <c r="B8" s="3">
        <v>6.5</v>
      </c>
      <c r="K8" t="s">
        <v>91</v>
      </c>
    </row>
    <row r="9" spans="1:13" x14ac:dyDescent="0.25">
      <c r="A9" s="3">
        <v>5.4</v>
      </c>
      <c r="B9" s="3">
        <v>5.7</v>
      </c>
      <c r="K9">
        <f>_xlfn.CHISQ.TEST(G4:I6,K4:M6)</f>
        <v>1.3549185215991232E-52</v>
      </c>
      <c r="L9">
        <f>_xlfn.CHISQ.TEST(H4:J6,L4:N6)</f>
        <v>4.2207689371017023E-31</v>
      </c>
      <c r="M9">
        <f>_xlfn.CHISQ.TEST(I4:K6,M4:O6)</f>
        <v>4.3085287665973033E-16</v>
      </c>
    </row>
    <row r="10" spans="1:13" x14ac:dyDescent="0.25">
      <c r="A10" s="3">
        <v>4.5999999999999996</v>
      </c>
      <c r="B10" s="3">
        <v>6.3</v>
      </c>
      <c r="F10" s="2" t="s">
        <v>95</v>
      </c>
      <c r="G10" s="2" t="s">
        <v>96</v>
      </c>
      <c r="H10" s="2" t="s">
        <v>97</v>
      </c>
    </row>
    <row r="11" spans="1:13" x14ac:dyDescent="0.25">
      <c r="A11" s="3">
        <v>5</v>
      </c>
      <c r="B11" s="3">
        <v>4.9000000000000004</v>
      </c>
      <c r="F11" s="3" cm="1">
        <f t="array" ref="F11:F60">_xlfn._xlws.FILTER(RAW_DATA!A2:A151,RAW_DATA!E2:E151="setosa")</f>
        <v>5.0999999999999996</v>
      </c>
      <c r="G11" s="3" cm="1">
        <f t="array" ref="G11:G60">_xlfn._xlws.FILTER(RAW_DATA!A2:A151,RAW_DATA!E2:E151="versicolor")</f>
        <v>7</v>
      </c>
      <c r="H11" s="3" cm="1">
        <f t="array" ref="H11:H60">_xlfn._xlws.FILTER(RAW_DATA!A2:A151,RAW_DATA!E2:E151="virginica")</f>
        <v>6.3</v>
      </c>
    </row>
    <row r="12" spans="1:13" x14ac:dyDescent="0.25">
      <c r="A12" s="3">
        <v>4.4000000000000004</v>
      </c>
      <c r="B12" s="3">
        <v>6.6</v>
      </c>
      <c r="F12" s="3">
        <v>4.9000000000000004</v>
      </c>
      <c r="G12" s="3">
        <v>6.4</v>
      </c>
      <c r="H12" s="3">
        <v>5.8</v>
      </c>
    </row>
    <row r="13" spans="1:13" x14ac:dyDescent="0.25">
      <c r="A13" s="3">
        <v>4.9000000000000004</v>
      </c>
      <c r="B13" s="3">
        <v>5.2</v>
      </c>
      <c r="F13" s="3">
        <v>4.7</v>
      </c>
      <c r="G13" s="3">
        <v>6.9</v>
      </c>
      <c r="H13" s="3">
        <v>7.1</v>
      </c>
    </row>
    <row r="14" spans="1:13" x14ac:dyDescent="0.25">
      <c r="A14" s="3">
        <v>5.4</v>
      </c>
      <c r="B14" s="3">
        <v>5</v>
      </c>
      <c r="F14" s="3">
        <v>4.5999999999999996</v>
      </c>
      <c r="G14" s="3">
        <v>5.5</v>
      </c>
      <c r="H14" s="3">
        <v>6.3</v>
      </c>
    </row>
    <row r="15" spans="1:13" x14ac:dyDescent="0.25">
      <c r="A15" s="3">
        <v>4.8</v>
      </c>
      <c r="B15" s="3">
        <v>5.9</v>
      </c>
      <c r="F15" s="3">
        <v>5</v>
      </c>
      <c r="G15" s="3">
        <v>6.5</v>
      </c>
      <c r="H15" s="3">
        <v>6.5</v>
      </c>
    </row>
    <row r="16" spans="1:13" x14ac:dyDescent="0.25">
      <c r="A16" s="3">
        <v>4.8</v>
      </c>
      <c r="B16" s="3">
        <v>6</v>
      </c>
      <c r="F16" s="3">
        <v>5.4</v>
      </c>
      <c r="G16" s="3">
        <v>5.7</v>
      </c>
      <c r="H16" s="3">
        <v>7.6</v>
      </c>
    </row>
    <row r="17" spans="1:8" x14ac:dyDescent="0.25">
      <c r="A17" s="3">
        <v>4.3</v>
      </c>
      <c r="B17" s="3">
        <v>6.1</v>
      </c>
      <c r="F17" s="3">
        <v>4.5999999999999996</v>
      </c>
      <c r="G17" s="3">
        <v>6.3</v>
      </c>
      <c r="H17" s="3">
        <v>4.9000000000000004</v>
      </c>
    </row>
    <row r="18" spans="1:8" x14ac:dyDescent="0.25">
      <c r="A18" s="3">
        <v>5.8</v>
      </c>
      <c r="B18" s="3">
        <v>5.6</v>
      </c>
      <c r="F18" s="3">
        <v>5</v>
      </c>
      <c r="G18" s="3">
        <v>4.9000000000000004</v>
      </c>
      <c r="H18" s="3">
        <v>7.3</v>
      </c>
    </row>
    <row r="19" spans="1:8" x14ac:dyDescent="0.25">
      <c r="A19" s="3">
        <v>5.7</v>
      </c>
      <c r="B19" s="3">
        <v>6.7</v>
      </c>
      <c r="F19" s="3">
        <v>4.4000000000000004</v>
      </c>
      <c r="G19" s="3">
        <v>6.6</v>
      </c>
      <c r="H19" s="3">
        <v>6.7</v>
      </c>
    </row>
    <row r="20" spans="1:8" x14ac:dyDescent="0.25">
      <c r="A20" s="3">
        <v>5.4</v>
      </c>
      <c r="B20" s="3">
        <v>5.6</v>
      </c>
      <c r="F20" s="3">
        <v>4.9000000000000004</v>
      </c>
      <c r="G20" s="3">
        <v>5.2</v>
      </c>
      <c r="H20" s="3">
        <v>7.2</v>
      </c>
    </row>
    <row r="21" spans="1:8" x14ac:dyDescent="0.25">
      <c r="A21" s="3">
        <v>5.0999999999999996</v>
      </c>
      <c r="B21" s="3">
        <v>5.8</v>
      </c>
      <c r="F21" s="3">
        <v>5.4</v>
      </c>
      <c r="G21" s="3">
        <v>5</v>
      </c>
      <c r="H21" s="3">
        <v>6.5</v>
      </c>
    </row>
    <row r="22" spans="1:8" x14ac:dyDescent="0.25">
      <c r="A22" s="3">
        <v>5.7</v>
      </c>
      <c r="B22" s="3">
        <v>6.2</v>
      </c>
      <c r="F22" s="3">
        <v>4.8</v>
      </c>
      <c r="G22" s="3">
        <v>5.9</v>
      </c>
      <c r="H22" s="3">
        <v>6.4</v>
      </c>
    </row>
    <row r="23" spans="1:8" x14ac:dyDescent="0.25">
      <c r="A23" s="3">
        <v>5.0999999999999996</v>
      </c>
      <c r="B23" s="3">
        <v>5.6</v>
      </c>
      <c r="F23" s="3">
        <v>4.8</v>
      </c>
      <c r="G23" s="3">
        <v>6</v>
      </c>
      <c r="H23" s="3">
        <v>6.8</v>
      </c>
    </row>
    <row r="24" spans="1:8" x14ac:dyDescent="0.25">
      <c r="A24" s="3">
        <v>5.4</v>
      </c>
      <c r="B24" s="3">
        <v>5.9</v>
      </c>
      <c r="F24" s="3">
        <v>4.3</v>
      </c>
      <c r="G24" s="3">
        <v>6.1</v>
      </c>
      <c r="H24" s="3">
        <v>5.7</v>
      </c>
    </row>
    <row r="25" spans="1:8" x14ac:dyDescent="0.25">
      <c r="A25" s="3">
        <v>5.0999999999999996</v>
      </c>
      <c r="B25" s="3">
        <v>6.1</v>
      </c>
      <c r="F25" s="3">
        <v>5.8</v>
      </c>
      <c r="G25" s="3">
        <v>5.6</v>
      </c>
      <c r="H25" s="3">
        <v>5.8</v>
      </c>
    </row>
    <row r="26" spans="1:8" x14ac:dyDescent="0.25">
      <c r="A26" s="3">
        <v>4.5999999999999996</v>
      </c>
      <c r="B26" s="3">
        <v>6.3</v>
      </c>
      <c r="F26" s="3">
        <v>5.7</v>
      </c>
      <c r="G26" s="3">
        <v>6.7</v>
      </c>
      <c r="H26" s="3">
        <v>6.4</v>
      </c>
    </row>
    <row r="27" spans="1:8" x14ac:dyDescent="0.25">
      <c r="A27" s="3">
        <v>5.0999999999999996</v>
      </c>
      <c r="B27" s="3">
        <v>6.1</v>
      </c>
      <c r="F27" s="3">
        <v>5.4</v>
      </c>
      <c r="G27" s="3">
        <v>5.6</v>
      </c>
      <c r="H27" s="3">
        <v>6.5</v>
      </c>
    </row>
    <row r="28" spans="1:8" x14ac:dyDescent="0.25">
      <c r="A28" s="3">
        <v>4.8</v>
      </c>
      <c r="B28" s="3">
        <v>6.4</v>
      </c>
      <c r="F28" s="3">
        <v>5.0999999999999996</v>
      </c>
      <c r="G28" s="3">
        <v>5.8</v>
      </c>
      <c r="H28" s="3">
        <v>7.7</v>
      </c>
    </row>
    <row r="29" spans="1:8" x14ac:dyDescent="0.25">
      <c r="A29" s="3">
        <v>5</v>
      </c>
      <c r="B29" s="3">
        <v>6.6</v>
      </c>
      <c r="F29" s="3">
        <v>5.7</v>
      </c>
      <c r="G29" s="3">
        <v>6.2</v>
      </c>
      <c r="H29" s="3">
        <v>7.7</v>
      </c>
    </row>
    <row r="30" spans="1:8" x14ac:dyDescent="0.25">
      <c r="A30" s="3">
        <v>5</v>
      </c>
      <c r="B30" s="3">
        <v>6.8</v>
      </c>
      <c r="F30" s="3">
        <v>5.0999999999999996</v>
      </c>
      <c r="G30" s="3">
        <v>5.6</v>
      </c>
      <c r="H30" s="3">
        <v>6</v>
      </c>
    </row>
    <row r="31" spans="1:8" x14ac:dyDescent="0.25">
      <c r="A31" s="3">
        <v>5.2</v>
      </c>
      <c r="B31" s="3">
        <v>6.7</v>
      </c>
      <c r="F31" s="3">
        <v>5.4</v>
      </c>
      <c r="G31" s="3">
        <v>5.9</v>
      </c>
      <c r="H31" s="3">
        <v>6.9</v>
      </c>
    </row>
    <row r="32" spans="1:8" x14ac:dyDescent="0.25">
      <c r="A32" s="3">
        <v>5.2</v>
      </c>
      <c r="B32" s="3">
        <v>6</v>
      </c>
      <c r="F32" s="3">
        <v>5.0999999999999996</v>
      </c>
      <c r="G32" s="3">
        <v>6.1</v>
      </c>
      <c r="H32" s="3">
        <v>5.6</v>
      </c>
    </row>
    <row r="33" spans="1:8" x14ac:dyDescent="0.25">
      <c r="A33" s="3">
        <v>4.7</v>
      </c>
      <c r="B33" s="3">
        <v>5.7</v>
      </c>
      <c r="F33" s="3">
        <v>4.5999999999999996</v>
      </c>
      <c r="G33" s="3">
        <v>6.3</v>
      </c>
      <c r="H33" s="3">
        <v>7.7</v>
      </c>
    </row>
    <row r="34" spans="1:8" x14ac:dyDescent="0.25">
      <c r="A34" s="3">
        <v>4.8</v>
      </c>
      <c r="B34" s="3">
        <v>5.5</v>
      </c>
      <c r="F34" s="3">
        <v>5.0999999999999996</v>
      </c>
      <c r="G34" s="3">
        <v>6.1</v>
      </c>
      <c r="H34" s="3">
        <v>6.3</v>
      </c>
    </row>
    <row r="35" spans="1:8" x14ac:dyDescent="0.25">
      <c r="A35" s="3">
        <v>5.4</v>
      </c>
      <c r="B35" s="3">
        <v>5.5</v>
      </c>
      <c r="F35" s="3">
        <v>4.8</v>
      </c>
      <c r="G35" s="3">
        <v>6.4</v>
      </c>
      <c r="H35" s="3">
        <v>6.7</v>
      </c>
    </row>
    <row r="36" spans="1:8" x14ac:dyDescent="0.25">
      <c r="A36" s="3">
        <v>5.2</v>
      </c>
      <c r="B36" s="3">
        <v>5.8</v>
      </c>
      <c r="F36" s="3">
        <v>5</v>
      </c>
      <c r="G36" s="3">
        <v>6.6</v>
      </c>
      <c r="H36" s="3">
        <v>7.2</v>
      </c>
    </row>
    <row r="37" spans="1:8" x14ac:dyDescent="0.25">
      <c r="A37" s="3">
        <v>5.5</v>
      </c>
      <c r="B37" s="3">
        <v>6</v>
      </c>
      <c r="F37" s="3">
        <v>5</v>
      </c>
      <c r="G37" s="3">
        <v>6.8</v>
      </c>
      <c r="H37" s="3">
        <v>6.2</v>
      </c>
    </row>
    <row r="38" spans="1:8" x14ac:dyDescent="0.25">
      <c r="A38" s="3">
        <v>4.9000000000000004</v>
      </c>
      <c r="B38" s="3">
        <v>5.4</v>
      </c>
      <c r="F38" s="3">
        <v>5.2</v>
      </c>
      <c r="G38" s="3">
        <v>6.7</v>
      </c>
      <c r="H38" s="3">
        <v>6.1</v>
      </c>
    </row>
    <row r="39" spans="1:8" x14ac:dyDescent="0.25">
      <c r="A39" s="3">
        <v>5</v>
      </c>
      <c r="B39" s="3">
        <v>6</v>
      </c>
      <c r="F39" s="3">
        <v>5.2</v>
      </c>
      <c r="G39" s="3">
        <v>6</v>
      </c>
      <c r="H39" s="3">
        <v>6.4</v>
      </c>
    </row>
    <row r="40" spans="1:8" x14ac:dyDescent="0.25">
      <c r="A40" s="3">
        <v>5.5</v>
      </c>
      <c r="B40" s="3">
        <v>6.7</v>
      </c>
      <c r="F40" s="3">
        <v>4.7</v>
      </c>
      <c r="G40" s="3">
        <v>5.7</v>
      </c>
      <c r="H40" s="3">
        <v>7.2</v>
      </c>
    </row>
    <row r="41" spans="1:8" x14ac:dyDescent="0.25">
      <c r="A41" s="3">
        <v>4.9000000000000004</v>
      </c>
      <c r="B41" s="3">
        <v>6.3</v>
      </c>
      <c r="F41" s="3">
        <v>4.8</v>
      </c>
      <c r="G41" s="3">
        <v>5.5</v>
      </c>
      <c r="H41" s="3">
        <v>7.4</v>
      </c>
    </row>
    <row r="42" spans="1:8" x14ac:dyDescent="0.25">
      <c r="A42" s="3">
        <v>4.4000000000000004</v>
      </c>
      <c r="B42" s="3">
        <v>5.6</v>
      </c>
      <c r="F42" s="3">
        <v>5.4</v>
      </c>
      <c r="G42" s="3">
        <v>5.5</v>
      </c>
      <c r="H42" s="3">
        <v>7.9</v>
      </c>
    </row>
    <row r="43" spans="1:8" x14ac:dyDescent="0.25">
      <c r="A43" s="3">
        <v>5.0999999999999996</v>
      </c>
      <c r="B43" s="3">
        <v>5.5</v>
      </c>
      <c r="F43" s="3">
        <v>5.2</v>
      </c>
      <c r="G43" s="3">
        <v>5.8</v>
      </c>
      <c r="H43" s="3">
        <v>6.4</v>
      </c>
    </row>
    <row r="44" spans="1:8" x14ac:dyDescent="0.25">
      <c r="A44" s="3">
        <v>5</v>
      </c>
      <c r="B44" s="3">
        <v>5.5</v>
      </c>
      <c r="F44" s="3">
        <v>5.5</v>
      </c>
      <c r="G44" s="3">
        <v>6</v>
      </c>
      <c r="H44" s="3">
        <v>6.3</v>
      </c>
    </row>
    <row r="45" spans="1:8" x14ac:dyDescent="0.25">
      <c r="A45" s="3">
        <v>4.5</v>
      </c>
      <c r="B45" s="3">
        <v>6.1</v>
      </c>
      <c r="F45" s="3">
        <v>4.9000000000000004</v>
      </c>
      <c r="G45" s="3">
        <v>5.4</v>
      </c>
      <c r="H45" s="3">
        <v>6.1</v>
      </c>
    </row>
    <row r="46" spans="1:8" x14ac:dyDescent="0.25">
      <c r="A46" s="3">
        <v>4.4000000000000004</v>
      </c>
      <c r="B46" s="3">
        <v>5.8</v>
      </c>
      <c r="F46" s="3">
        <v>5</v>
      </c>
      <c r="G46" s="3">
        <v>6</v>
      </c>
      <c r="H46" s="3">
        <v>7.7</v>
      </c>
    </row>
    <row r="47" spans="1:8" x14ac:dyDescent="0.25">
      <c r="A47" s="3">
        <v>5</v>
      </c>
      <c r="B47" s="3">
        <v>5</v>
      </c>
      <c r="F47" s="3">
        <v>5.5</v>
      </c>
      <c r="G47" s="3">
        <v>6.7</v>
      </c>
      <c r="H47" s="3">
        <v>6.3</v>
      </c>
    </row>
    <row r="48" spans="1:8" x14ac:dyDescent="0.25">
      <c r="A48" s="3">
        <v>5.0999999999999996</v>
      </c>
      <c r="B48" s="3">
        <v>5.6</v>
      </c>
      <c r="F48" s="3">
        <v>4.9000000000000004</v>
      </c>
      <c r="G48" s="3">
        <v>6.3</v>
      </c>
      <c r="H48" s="3">
        <v>6.4</v>
      </c>
    </row>
    <row r="49" spans="1:8" x14ac:dyDescent="0.25">
      <c r="A49" s="3">
        <v>4.8</v>
      </c>
      <c r="B49" s="3">
        <v>5.7</v>
      </c>
      <c r="F49" s="3">
        <v>4.4000000000000004</v>
      </c>
      <c r="G49" s="3">
        <v>5.6</v>
      </c>
      <c r="H49" s="3">
        <v>6</v>
      </c>
    </row>
    <row r="50" spans="1:8" x14ac:dyDescent="0.25">
      <c r="A50" s="3">
        <v>5.0999999999999996</v>
      </c>
      <c r="B50" s="3">
        <v>5.7</v>
      </c>
      <c r="F50" s="3">
        <v>5.0999999999999996</v>
      </c>
      <c r="G50" s="3">
        <v>5.5</v>
      </c>
      <c r="H50" s="3">
        <v>6.9</v>
      </c>
    </row>
    <row r="51" spans="1:8" x14ac:dyDescent="0.25">
      <c r="A51" s="3">
        <v>4.5999999999999996</v>
      </c>
      <c r="B51" s="3">
        <v>6.2</v>
      </c>
      <c r="F51" s="3">
        <v>5</v>
      </c>
      <c r="G51" s="3">
        <v>5.5</v>
      </c>
      <c r="H51" s="3">
        <v>6.7</v>
      </c>
    </row>
    <row r="52" spans="1:8" x14ac:dyDescent="0.25">
      <c r="A52" s="3">
        <v>5.3</v>
      </c>
      <c r="B52" s="3">
        <v>5.0999999999999996</v>
      </c>
      <c r="F52" s="3">
        <v>4.5</v>
      </c>
      <c r="G52" s="3">
        <v>6.1</v>
      </c>
      <c r="H52" s="3">
        <v>6.9</v>
      </c>
    </row>
    <row r="53" spans="1:8" x14ac:dyDescent="0.25">
      <c r="A53" s="3">
        <v>5</v>
      </c>
      <c r="B53" s="3">
        <v>5.7</v>
      </c>
      <c r="F53" s="3">
        <v>4.4000000000000004</v>
      </c>
      <c r="G53" s="3">
        <v>5.8</v>
      </c>
      <c r="H53" s="3">
        <v>5.8</v>
      </c>
    </row>
    <row r="54" spans="1:8" x14ac:dyDescent="0.25">
      <c r="F54" s="3">
        <v>5</v>
      </c>
      <c r="G54" s="3">
        <v>5</v>
      </c>
      <c r="H54" s="3">
        <v>6.8</v>
      </c>
    </row>
    <row r="55" spans="1:8" x14ac:dyDescent="0.25">
      <c r="F55" s="3">
        <v>5.0999999999999996</v>
      </c>
      <c r="G55" s="3">
        <v>5.6</v>
      </c>
      <c r="H55" s="3">
        <v>6.7</v>
      </c>
    </row>
    <row r="56" spans="1:8" x14ac:dyDescent="0.25">
      <c r="F56" s="3">
        <v>4.8</v>
      </c>
      <c r="G56" s="3">
        <v>5.7</v>
      </c>
      <c r="H56" s="3">
        <v>6.7</v>
      </c>
    </row>
    <row r="57" spans="1:8" x14ac:dyDescent="0.25">
      <c r="F57" s="3">
        <v>5.0999999999999996</v>
      </c>
      <c r="G57" s="3">
        <v>5.7</v>
      </c>
      <c r="H57" s="3">
        <v>6.3</v>
      </c>
    </row>
    <row r="58" spans="1:8" x14ac:dyDescent="0.25">
      <c r="F58" s="3">
        <v>4.5999999999999996</v>
      </c>
      <c r="G58" s="3">
        <v>6.2</v>
      </c>
      <c r="H58" s="3">
        <v>6.5</v>
      </c>
    </row>
    <row r="59" spans="1:8" x14ac:dyDescent="0.25">
      <c r="F59" s="3">
        <v>5.3</v>
      </c>
      <c r="G59" s="3">
        <v>5.0999999999999996</v>
      </c>
      <c r="H59" s="3">
        <v>6.2</v>
      </c>
    </row>
    <row r="60" spans="1:8" x14ac:dyDescent="0.25">
      <c r="F60" s="3">
        <v>5</v>
      </c>
      <c r="G60" s="3">
        <v>5.7</v>
      </c>
      <c r="H60" s="3">
        <v>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75454-2FB5-42A1-A16A-67AC25292DA0}">
  <dimension ref="A1:I23"/>
  <sheetViews>
    <sheetView workbookViewId="0">
      <selection activeCell="E2" sqref="E2"/>
    </sheetView>
  </sheetViews>
  <sheetFormatPr defaultRowHeight="15" x14ac:dyDescent="0.25"/>
  <cols>
    <col min="1" max="2" width="13.140625" bestFit="1" customWidth="1"/>
    <col min="3" max="3" width="23" bestFit="1" customWidth="1"/>
    <col min="4" max="4" width="22.5703125" bestFit="1" customWidth="1"/>
    <col min="5" max="5" width="13.140625" bestFit="1" customWidth="1"/>
    <col min="6" max="6" width="22.5703125" bestFit="1" customWidth="1"/>
    <col min="8" max="8" width="13.140625" bestFit="1" customWidth="1"/>
    <col min="9" max="9" width="22.7109375" bestFit="1" customWidth="1"/>
  </cols>
  <sheetData>
    <row r="1" spans="1:9" x14ac:dyDescent="0.25">
      <c r="A1" s="5" t="s">
        <v>98</v>
      </c>
      <c r="B1" s="5" t="s">
        <v>98</v>
      </c>
      <c r="C1" t="s">
        <v>100</v>
      </c>
      <c r="E1" s="5" t="s">
        <v>98</v>
      </c>
      <c r="F1" t="s">
        <v>101</v>
      </c>
      <c r="H1" s="5" t="s">
        <v>98</v>
      </c>
      <c r="I1" t="s">
        <v>102</v>
      </c>
    </row>
    <row r="2" spans="1:9" x14ac:dyDescent="0.25">
      <c r="A2" s="6" t="s">
        <v>5</v>
      </c>
      <c r="B2" s="6" t="s">
        <v>5</v>
      </c>
      <c r="C2">
        <v>5.0059999999999993</v>
      </c>
      <c r="E2" s="6" t="s">
        <v>5</v>
      </c>
      <c r="F2">
        <v>3.4180000000000006</v>
      </c>
      <c r="H2" s="6" t="s">
        <v>5</v>
      </c>
      <c r="I2">
        <v>1.464</v>
      </c>
    </row>
    <row r="3" spans="1:9" x14ac:dyDescent="0.25">
      <c r="A3" s="6" t="s">
        <v>6</v>
      </c>
      <c r="B3" s="6" t="s">
        <v>6</v>
      </c>
      <c r="C3">
        <v>5.9359999999999999</v>
      </c>
      <c r="E3" s="6" t="s">
        <v>6</v>
      </c>
      <c r="F3">
        <v>2.7700000000000005</v>
      </c>
      <c r="H3" s="6" t="s">
        <v>6</v>
      </c>
      <c r="I3">
        <v>4.26</v>
      </c>
    </row>
    <row r="4" spans="1:9" x14ac:dyDescent="0.25">
      <c r="A4" s="6" t="s">
        <v>7</v>
      </c>
      <c r="B4" s="6" t="s">
        <v>7</v>
      </c>
      <c r="C4">
        <v>6.5879999999999983</v>
      </c>
      <c r="E4" s="6" t="s">
        <v>7</v>
      </c>
      <c r="F4">
        <v>2.9739999999999998</v>
      </c>
      <c r="H4" s="6" t="s">
        <v>7</v>
      </c>
      <c r="I4">
        <v>5.5519999999999996</v>
      </c>
    </row>
    <row r="5" spans="1:9" x14ac:dyDescent="0.25">
      <c r="A5" s="6" t="s">
        <v>99</v>
      </c>
      <c r="B5" s="6" t="s">
        <v>99</v>
      </c>
      <c r="C5">
        <v>17.529999999999998</v>
      </c>
      <c r="E5" s="6" t="s">
        <v>99</v>
      </c>
      <c r="F5">
        <v>9.1620000000000008</v>
      </c>
      <c r="H5" s="6" t="s">
        <v>99</v>
      </c>
      <c r="I5">
        <v>11.276</v>
      </c>
    </row>
    <row r="19" spans="1:2" x14ac:dyDescent="0.25">
      <c r="A19" s="5" t="s">
        <v>98</v>
      </c>
      <c r="B19" t="s">
        <v>103</v>
      </c>
    </row>
    <row r="20" spans="1:2" x14ac:dyDescent="0.25">
      <c r="A20" s="6" t="s">
        <v>5</v>
      </c>
      <c r="B20">
        <v>0.24399999999999991</v>
      </c>
    </row>
    <row r="21" spans="1:2" x14ac:dyDescent="0.25">
      <c r="A21" s="6" t="s">
        <v>6</v>
      </c>
      <c r="B21">
        <v>1.3259999999999998</v>
      </c>
    </row>
    <row r="22" spans="1:2" x14ac:dyDescent="0.25">
      <c r="A22" s="6" t="s">
        <v>7</v>
      </c>
      <c r="B22">
        <v>2.0259999999999998</v>
      </c>
    </row>
    <row r="23" spans="1:2" x14ac:dyDescent="0.25">
      <c r="A23" s="6" t="s">
        <v>99</v>
      </c>
      <c r="B23">
        <v>3.5959999999999996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EB4D-C459-4A97-BBDB-0CCC45B8704F}">
  <dimension ref="A1"/>
  <sheetViews>
    <sheetView showGridLines="0" tabSelected="1" workbookViewId="0">
      <selection activeCell="N36" sqref="N36"/>
    </sheetView>
  </sheetViews>
  <sheetFormatPr defaultRowHeight="15" x14ac:dyDescent="0.25"/>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EEC2B-956F-4CFD-8A50-7C679EE7F18E}">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F481E-8CD5-41BB-9220-7CB1C1E7C272}">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BF50-36E7-4629-95DB-B43239914589}">
  <dimension ref="A1"/>
  <sheetViews>
    <sheetView workbookViewId="0">
      <selection activeCell="A3" sqref="A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RAW_DATA</vt:lpstr>
      <vt:lpstr>LOGICAL</vt:lpstr>
      <vt:lpstr>LOOKUPS</vt:lpstr>
      <vt:lpstr>ARRAYS</vt:lpstr>
      <vt:lpstr>CLEANING</vt:lpstr>
      <vt:lpstr>STATISTICS</vt:lpstr>
      <vt:lpstr>TESTS</vt:lpstr>
      <vt:lpstr>PIVOT</vt:lpstr>
      <vt:lpstr>DASH BOARD</vt:lpstr>
      <vt:lpstr>POWER_PIVOT</vt:lpstr>
      <vt:lpstr>Sheet10</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KARUNGI MARY GORRET</dc:creator>
  <cp:lastModifiedBy>KARUNGI MARY GORRET</cp:lastModifiedBy>
  <dcterms:created xsi:type="dcterms:W3CDTF">2026-08-21T08:07:11Z</dcterms:created>
  <dcterms:modified xsi:type="dcterms:W3CDTF">2026-09-03T19:27:31Z</dcterms:modified>
</cp:coreProperties>
</file>