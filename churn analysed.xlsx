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veda intern\"/>
    </mc:Choice>
  </mc:AlternateContent>
  <xr:revisionPtr revIDLastSave="0" documentId="13_ncr:1_{828BDB53-ADB8-4260-962E-7EBE1857066E}" xr6:coauthVersionLast="47" xr6:coauthVersionMax="47" xr10:uidLastSave="{00000000-0000-0000-0000-000000000000}"/>
  <bookViews>
    <workbookView xWindow="-120" yWindow="-120" windowWidth="20730" windowHeight="11040" firstSheet="2" activeTab="9" xr2:uid="{F71615F8-F50E-4F8E-B295-20844DDD645C}"/>
  </bookViews>
  <sheets>
    <sheet name="churn" sheetId="1" r:id="rId1"/>
    <sheet name="Raw_Data" sheetId="2" r:id="rId2"/>
    <sheet name="Logical" sheetId="3" r:id="rId3"/>
    <sheet name="Lookups" sheetId="4" r:id="rId4"/>
    <sheet name="Arrays" sheetId="5" r:id="rId5"/>
    <sheet name="Cleaning" sheetId="6" r:id="rId6"/>
    <sheet name="Statistics" sheetId="7" r:id="rId7"/>
    <sheet name="Tests" sheetId="8" r:id="rId8"/>
    <sheet name="What_If" sheetId="9" r:id="rId9"/>
    <sheet name="Power_Pivot" sheetId="10" r:id="rId10"/>
    <sheet name="Dashboard" sheetId="11" r:id="rId11"/>
  </sheets>
  <calcPr calcId="191029"/>
  <pivotCaches>
    <pivotCache cacheId="26" r:id="rId12"/>
    <pivotCache cacheId="2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7" l="1"/>
  <c r="H4" i="7"/>
  <c r="I4" i="7"/>
  <c r="B4" i="7"/>
  <c r="C4" i="7"/>
  <c r="D4" i="7"/>
  <c r="E4" i="7"/>
  <c r="F4" i="7"/>
  <c r="B9" i="7"/>
  <c r="B6" i="7"/>
  <c r="C6" i="7"/>
  <c r="D6" i="7"/>
  <c r="B7" i="7"/>
  <c r="C7" i="7"/>
  <c r="D7" i="7"/>
  <c r="B8" i="7"/>
  <c r="C8" i="7"/>
  <c r="D8" i="7"/>
  <c r="F8" i="7"/>
  <c r="G8" i="7"/>
  <c r="H8" i="7"/>
  <c r="I8" i="7"/>
  <c r="C9" i="7"/>
  <c r="D9" i="7"/>
  <c r="F9" i="7"/>
  <c r="G9" i="7"/>
  <c r="H9" i="7"/>
  <c r="I9" i="7"/>
  <c r="B10" i="7"/>
  <c r="C10" i="7"/>
  <c r="D10" i="7"/>
  <c r="E10" i="7"/>
  <c r="G10" i="7"/>
  <c r="H10" i="7"/>
  <c r="I10" i="7"/>
  <c r="F10" i="7"/>
  <c r="E9" i="7"/>
  <c r="E7" i="7"/>
  <c r="G7" i="7"/>
  <c r="H7" i="7"/>
  <c r="I7" i="7"/>
  <c r="F7" i="7"/>
  <c r="E6" i="7"/>
  <c r="G6" i="7"/>
  <c r="H6" i="7"/>
  <c r="I6" i="7"/>
  <c r="F6" i="7"/>
  <c r="C5" i="7"/>
  <c r="D5" i="7"/>
  <c r="E5" i="7"/>
  <c r="F5" i="7"/>
  <c r="G5" i="7"/>
  <c r="H5" i="7"/>
  <c r="I5" i="7"/>
  <c r="H669" i="2"/>
  <c r="G669" i="2"/>
  <c r="F669" i="2"/>
  <c r="B669" i="2"/>
  <c r="D31" i="7"/>
  <c r="B6" i="9"/>
  <c r="B4" i="9"/>
  <c r="B3" i="9"/>
  <c r="J3" i="8"/>
  <c r="I3" i="8"/>
  <c r="E2" i="8"/>
  <c r="C2" i="8" a="1"/>
  <c r="A2" i="8" a="1"/>
  <c r="E8" i="7"/>
  <c r="E46" i="7"/>
  <c r="E47" i="7"/>
  <c r="E45" i="7"/>
  <c r="E44" i="7"/>
  <c r="B31" i="7"/>
  <c r="C32" i="7"/>
  <c r="D32" i="7" s="1"/>
  <c r="C33" i="7"/>
  <c r="D33" i="7" s="1"/>
  <c r="C34" i="7"/>
  <c r="C35" i="7"/>
  <c r="C36" i="7"/>
  <c r="D36" i="7" s="1"/>
  <c r="C37" i="7"/>
  <c r="D37" i="7" s="1"/>
  <c r="C38" i="7"/>
  <c r="D38" i="7" s="1"/>
  <c r="C39" i="7"/>
  <c r="C31" i="7"/>
  <c r="B48" i="7"/>
  <c r="B46" i="7"/>
  <c r="B47" i="7"/>
  <c r="B45" i="7"/>
  <c r="B35" i="7"/>
  <c r="B36" i="7"/>
  <c r="B37" i="7"/>
  <c r="B38" i="7"/>
  <c r="B39" i="7"/>
  <c r="B32" i="7"/>
  <c r="B33" i="7"/>
  <c r="B34" i="7"/>
  <c r="C25" i="7"/>
  <c r="D25" i="7" s="1"/>
  <c r="B25" i="7"/>
  <c r="D24" i="7"/>
  <c r="B16" i="7"/>
  <c r="B18" i="7" s="1"/>
  <c r="C24" i="7"/>
  <c r="B24" i="7"/>
  <c r="B17" i="7"/>
  <c r="B15" i="7"/>
  <c r="B5" i="7"/>
  <c r="R669" i="2"/>
  <c r="Q669" i="2"/>
  <c r="P669" i="2"/>
  <c r="O669" i="2"/>
  <c r="N669" i="2"/>
  <c r="M669" i="2"/>
  <c r="L669" i="2"/>
  <c r="K669" i="2"/>
  <c r="J669" i="2"/>
  <c r="I669" i="2"/>
  <c r="T669" i="2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D3" i="6"/>
  <c r="E3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179" i="6"/>
  <c r="E179" i="6" s="1"/>
  <c r="D180" i="6"/>
  <c r="E180" i="6" s="1"/>
  <c r="D181" i="6"/>
  <c r="E181" i="6" s="1"/>
  <c r="D182" i="6"/>
  <c r="E182" i="6" s="1"/>
  <c r="D183" i="6"/>
  <c r="E183" i="6" s="1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E195" i="6" s="1"/>
  <c r="D196" i="6"/>
  <c r="E196" i="6" s="1"/>
  <c r="D197" i="6"/>
  <c r="E197" i="6" s="1"/>
  <c r="D198" i="6"/>
  <c r="E198" i="6" s="1"/>
  <c r="D199" i="6"/>
  <c r="E199" i="6" s="1"/>
  <c r="D200" i="6"/>
  <c r="E200" i="6" s="1"/>
  <c r="D201" i="6"/>
  <c r="E201" i="6" s="1"/>
  <c r="D202" i="6"/>
  <c r="E202" i="6" s="1"/>
  <c r="D203" i="6"/>
  <c r="E203" i="6" s="1"/>
  <c r="D204" i="6"/>
  <c r="E204" i="6" s="1"/>
  <c r="D205" i="6"/>
  <c r="E205" i="6" s="1"/>
  <c r="D206" i="6"/>
  <c r="E206" i="6" s="1"/>
  <c r="D207" i="6"/>
  <c r="E207" i="6" s="1"/>
  <c r="D208" i="6"/>
  <c r="E208" i="6" s="1"/>
  <c r="D209" i="6"/>
  <c r="E209" i="6" s="1"/>
  <c r="D210" i="6"/>
  <c r="E210" i="6" s="1"/>
  <c r="D211" i="6"/>
  <c r="E211" i="6" s="1"/>
  <c r="D212" i="6"/>
  <c r="E212" i="6" s="1"/>
  <c r="D213" i="6"/>
  <c r="E213" i="6" s="1"/>
  <c r="D214" i="6"/>
  <c r="E214" i="6" s="1"/>
  <c r="D215" i="6"/>
  <c r="E215" i="6" s="1"/>
  <c r="D216" i="6"/>
  <c r="E216" i="6" s="1"/>
  <c r="D217" i="6"/>
  <c r="E217" i="6" s="1"/>
  <c r="D218" i="6"/>
  <c r="E218" i="6" s="1"/>
  <c r="D219" i="6"/>
  <c r="E219" i="6" s="1"/>
  <c r="D220" i="6"/>
  <c r="E220" i="6" s="1"/>
  <c r="D221" i="6"/>
  <c r="E221" i="6" s="1"/>
  <c r="D222" i="6"/>
  <c r="E222" i="6" s="1"/>
  <c r="D223" i="6"/>
  <c r="E223" i="6" s="1"/>
  <c r="D224" i="6"/>
  <c r="E224" i="6" s="1"/>
  <c r="D225" i="6"/>
  <c r="E225" i="6" s="1"/>
  <c r="D226" i="6"/>
  <c r="E226" i="6" s="1"/>
  <c r="D227" i="6"/>
  <c r="E227" i="6" s="1"/>
  <c r="D228" i="6"/>
  <c r="E228" i="6" s="1"/>
  <c r="D229" i="6"/>
  <c r="E229" i="6" s="1"/>
  <c r="D230" i="6"/>
  <c r="E230" i="6" s="1"/>
  <c r="D231" i="6"/>
  <c r="E231" i="6" s="1"/>
  <c r="D232" i="6"/>
  <c r="E232" i="6" s="1"/>
  <c r="D233" i="6"/>
  <c r="E233" i="6" s="1"/>
  <c r="D234" i="6"/>
  <c r="E234" i="6" s="1"/>
  <c r="D235" i="6"/>
  <c r="E235" i="6" s="1"/>
  <c r="D236" i="6"/>
  <c r="E236" i="6" s="1"/>
  <c r="D237" i="6"/>
  <c r="E237" i="6" s="1"/>
  <c r="D238" i="6"/>
  <c r="E238" i="6" s="1"/>
  <c r="D239" i="6"/>
  <c r="E239" i="6" s="1"/>
  <c r="D240" i="6"/>
  <c r="E240" i="6" s="1"/>
  <c r="D241" i="6"/>
  <c r="E241" i="6" s="1"/>
  <c r="D242" i="6"/>
  <c r="E242" i="6" s="1"/>
  <c r="D243" i="6"/>
  <c r="E243" i="6" s="1"/>
  <c r="D244" i="6"/>
  <c r="E244" i="6" s="1"/>
  <c r="D245" i="6"/>
  <c r="E245" i="6" s="1"/>
  <c r="D246" i="6"/>
  <c r="E246" i="6" s="1"/>
  <c r="D247" i="6"/>
  <c r="E247" i="6" s="1"/>
  <c r="D248" i="6"/>
  <c r="E248" i="6" s="1"/>
  <c r="D249" i="6"/>
  <c r="E249" i="6" s="1"/>
  <c r="D250" i="6"/>
  <c r="E250" i="6" s="1"/>
  <c r="D251" i="6"/>
  <c r="E251" i="6" s="1"/>
  <c r="D252" i="6"/>
  <c r="E252" i="6" s="1"/>
  <c r="D253" i="6"/>
  <c r="E253" i="6" s="1"/>
  <c r="D254" i="6"/>
  <c r="E254" i="6" s="1"/>
  <c r="D255" i="6"/>
  <c r="E255" i="6" s="1"/>
  <c r="D256" i="6"/>
  <c r="E256" i="6" s="1"/>
  <c r="D257" i="6"/>
  <c r="E257" i="6" s="1"/>
  <c r="D258" i="6"/>
  <c r="E258" i="6" s="1"/>
  <c r="D259" i="6"/>
  <c r="E259" i="6" s="1"/>
  <c r="D260" i="6"/>
  <c r="E260" i="6" s="1"/>
  <c r="D261" i="6"/>
  <c r="E261" i="6" s="1"/>
  <c r="D262" i="6"/>
  <c r="E262" i="6" s="1"/>
  <c r="D263" i="6"/>
  <c r="E263" i="6" s="1"/>
  <c r="D264" i="6"/>
  <c r="E264" i="6" s="1"/>
  <c r="D265" i="6"/>
  <c r="E265" i="6" s="1"/>
  <c r="D266" i="6"/>
  <c r="E266" i="6" s="1"/>
  <c r="D267" i="6"/>
  <c r="E267" i="6" s="1"/>
  <c r="D268" i="6"/>
  <c r="E268" i="6" s="1"/>
  <c r="D269" i="6"/>
  <c r="E269" i="6" s="1"/>
  <c r="D270" i="6"/>
  <c r="E270" i="6" s="1"/>
  <c r="D271" i="6"/>
  <c r="E271" i="6" s="1"/>
  <c r="D272" i="6"/>
  <c r="E272" i="6" s="1"/>
  <c r="D273" i="6"/>
  <c r="E273" i="6" s="1"/>
  <c r="D274" i="6"/>
  <c r="E274" i="6" s="1"/>
  <c r="D275" i="6"/>
  <c r="E275" i="6" s="1"/>
  <c r="D276" i="6"/>
  <c r="E276" i="6" s="1"/>
  <c r="D277" i="6"/>
  <c r="E277" i="6" s="1"/>
  <c r="D278" i="6"/>
  <c r="E278" i="6" s="1"/>
  <c r="D279" i="6"/>
  <c r="E279" i="6" s="1"/>
  <c r="D280" i="6"/>
  <c r="E280" i="6" s="1"/>
  <c r="D281" i="6"/>
  <c r="E281" i="6" s="1"/>
  <c r="D282" i="6"/>
  <c r="E282" i="6" s="1"/>
  <c r="D283" i="6"/>
  <c r="E283" i="6" s="1"/>
  <c r="D284" i="6"/>
  <c r="E284" i="6" s="1"/>
  <c r="D285" i="6"/>
  <c r="E285" i="6" s="1"/>
  <c r="D286" i="6"/>
  <c r="E286" i="6" s="1"/>
  <c r="D287" i="6"/>
  <c r="E287" i="6" s="1"/>
  <c r="D288" i="6"/>
  <c r="E288" i="6" s="1"/>
  <c r="D289" i="6"/>
  <c r="E289" i="6" s="1"/>
  <c r="D290" i="6"/>
  <c r="E290" i="6" s="1"/>
  <c r="D291" i="6"/>
  <c r="E291" i="6" s="1"/>
  <c r="D292" i="6"/>
  <c r="E292" i="6" s="1"/>
  <c r="D293" i="6"/>
  <c r="E293" i="6" s="1"/>
  <c r="D294" i="6"/>
  <c r="E294" i="6" s="1"/>
  <c r="D295" i="6"/>
  <c r="E295" i="6" s="1"/>
  <c r="D296" i="6"/>
  <c r="E296" i="6" s="1"/>
  <c r="D297" i="6"/>
  <c r="E297" i="6" s="1"/>
  <c r="D298" i="6"/>
  <c r="E298" i="6" s="1"/>
  <c r="D299" i="6"/>
  <c r="E299" i="6" s="1"/>
  <c r="D300" i="6"/>
  <c r="E300" i="6" s="1"/>
  <c r="D301" i="6"/>
  <c r="E301" i="6" s="1"/>
  <c r="D302" i="6"/>
  <c r="E302" i="6" s="1"/>
  <c r="D303" i="6"/>
  <c r="E303" i="6" s="1"/>
  <c r="D304" i="6"/>
  <c r="E304" i="6" s="1"/>
  <c r="D305" i="6"/>
  <c r="E305" i="6" s="1"/>
  <c r="D306" i="6"/>
  <c r="E306" i="6" s="1"/>
  <c r="D307" i="6"/>
  <c r="E307" i="6" s="1"/>
  <c r="D308" i="6"/>
  <c r="E308" i="6" s="1"/>
  <c r="D309" i="6"/>
  <c r="E309" i="6" s="1"/>
  <c r="D310" i="6"/>
  <c r="E310" i="6" s="1"/>
  <c r="D311" i="6"/>
  <c r="E311" i="6" s="1"/>
  <c r="D312" i="6"/>
  <c r="E312" i="6" s="1"/>
  <c r="D313" i="6"/>
  <c r="E313" i="6" s="1"/>
  <c r="D314" i="6"/>
  <c r="E314" i="6" s="1"/>
  <c r="D315" i="6"/>
  <c r="E315" i="6" s="1"/>
  <c r="D316" i="6"/>
  <c r="E316" i="6" s="1"/>
  <c r="D317" i="6"/>
  <c r="E317" i="6" s="1"/>
  <c r="D318" i="6"/>
  <c r="E318" i="6" s="1"/>
  <c r="D319" i="6"/>
  <c r="E319" i="6" s="1"/>
  <c r="D320" i="6"/>
  <c r="E320" i="6" s="1"/>
  <c r="D321" i="6"/>
  <c r="E321" i="6" s="1"/>
  <c r="D322" i="6"/>
  <c r="E322" i="6" s="1"/>
  <c r="D323" i="6"/>
  <c r="E323" i="6" s="1"/>
  <c r="D324" i="6"/>
  <c r="E324" i="6" s="1"/>
  <c r="D325" i="6"/>
  <c r="E325" i="6" s="1"/>
  <c r="D326" i="6"/>
  <c r="E326" i="6" s="1"/>
  <c r="D327" i="6"/>
  <c r="E327" i="6" s="1"/>
  <c r="D328" i="6"/>
  <c r="E328" i="6" s="1"/>
  <c r="D329" i="6"/>
  <c r="E329" i="6" s="1"/>
  <c r="D330" i="6"/>
  <c r="E330" i="6" s="1"/>
  <c r="D331" i="6"/>
  <c r="E331" i="6" s="1"/>
  <c r="D332" i="6"/>
  <c r="E332" i="6" s="1"/>
  <c r="D333" i="6"/>
  <c r="E333" i="6" s="1"/>
  <c r="D334" i="6"/>
  <c r="E334" i="6" s="1"/>
  <c r="D335" i="6"/>
  <c r="E335" i="6" s="1"/>
  <c r="D336" i="6"/>
  <c r="E336" i="6" s="1"/>
  <c r="D337" i="6"/>
  <c r="E337" i="6" s="1"/>
  <c r="D338" i="6"/>
  <c r="E338" i="6" s="1"/>
  <c r="D339" i="6"/>
  <c r="E339" i="6" s="1"/>
  <c r="D340" i="6"/>
  <c r="E340" i="6" s="1"/>
  <c r="D341" i="6"/>
  <c r="E341" i="6" s="1"/>
  <c r="D342" i="6"/>
  <c r="E342" i="6" s="1"/>
  <c r="D343" i="6"/>
  <c r="E343" i="6" s="1"/>
  <c r="D344" i="6"/>
  <c r="E344" i="6" s="1"/>
  <c r="D345" i="6"/>
  <c r="E345" i="6" s="1"/>
  <c r="D346" i="6"/>
  <c r="E346" i="6" s="1"/>
  <c r="D347" i="6"/>
  <c r="E347" i="6" s="1"/>
  <c r="D348" i="6"/>
  <c r="E348" i="6" s="1"/>
  <c r="D349" i="6"/>
  <c r="E349" i="6" s="1"/>
  <c r="D350" i="6"/>
  <c r="E350" i="6" s="1"/>
  <c r="D351" i="6"/>
  <c r="E351" i="6" s="1"/>
  <c r="D352" i="6"/>
  <c r="E352" i="6" s="1"/>
  <c r="D353" i="6"/>
  <c r="E353" i="6" s="1"/>
  <c r="D354" i="6"/>
  <c r="E354" i="6" s="1"/>
  <c r="D355" i="6"/>
  <c r="E355" i="6" s="1"/>
  <c r="D356" i="6"/>
  <c r="E356" i="6" s="1"/>
  <c r="D357" i="6"/>
  <c r="E357" i="6" s="1"/>
  <c r="D358" i="6"/>
  <c r="E358" i="6" s="1"/>
  <c r="D359" i="6"/>
  <c r="E359" i="6" s="1"/>
  <c r="D360" i="6"/>
  <c r="E360" i="6" s="1"/>
  <c r="D361" i="6"/>
  <c r="E361" i="6" s="1"/>
  <c r="D362" i="6"/>
  <c r="E362" i="6" s="1"/>
  <c r="D363" i="6"/>
  <c r="E363" i="6" s="1"/>
  <c r="D364" i="6"/>
  <c r="E364" i="6" s="1"/>
  <c r="D365" i="6"/>
  <c r="E365" i="6" s="1"/>
  <c r="D366" i="6"/>
  <c r="E366" i="6" s="1"/>
  <c r="D367" i="6"/>
  <c r="E367" i="6" s="1"/>
  <c r="D368" i="6"/>
  <c r="E368" i="6" s="1"/>
  <c r="D369" i="6"/>
  <c r="E369" i="6" s="1"/>
  <c r="D370" i="6"/>
  <c r="E370" i="6" s="1"/>
  <c r="D371" i="6"/>
  <c r="E371" i="6" s="1"/>
  <c r="D372" i="6"/>
  <c r="E372" i="6" s="1"/>
  <c r="D373" i="6"/>
  <c r="E373" i="6" s="1"/>
  <c r="D374" i="6"/>
  <c r="E374" i="6" s="1"/>
  <c r="D375" i="6"/>
  <c r="E375" i="6" s="1"/>
  <c r="D376" i="6"/>
  <c r="E376" i="6" s="1"/>
  <c r="D377" i="6"/>
  <c r="E377" i="6" s="1"/>
  <c r="D378" i="6"/>
  <c r="E378" i="6" s="1"/>
  <c r="D379" i="6"/>
  <c r="E379" i="6" s="1"/>
  <c r="D380" i="6"/>
  <c r="E380" i="6" s="1"/>
  <c r="D381" i="6"/>
  <c r="E381" i="6" s="1"/>
  <c r="D382" i="6"/>
  <c r="E382" i="6" s="1"/>
  <c r="D383" i="6"/>
  <c r="E383" i="6" s="1"/>
  <c r="D384" i="6"/>
  <c r="E384" i="6" s="1"/>
  <c r="D385" i="6"/>
  <c r="E385" i="6" s="1"/>
  <c r="D386" i="6"/>
  <c r="E386" i="6" s="1"/>
  <c r="D387" i="6"/>
  <c r="E387" i="6" s="1"/>
  <c r="D388" i="6"/>
  <c r="E388" i="6" s="1"/>
  <c r="D389" i="6"/>
  <c r="E389" i="6" s="1"/>
  <c r="D390" i="6"/>
  <c r="E390" i="6" s="1"/>
  <c r="D391" i="6"/>
  <c r="E391" i="6" s="1"/>
  <c r="D392" i="6"/>
  <c r="E392" i="6" s="1"/>
  <c r="D393" i="6"/>
  <c r="E393" i="6" s="1"/>
  <c r="D394" i="6"/>
  <c r="E394" i="6" s="1"/>
  <c r="D395" i="6"/>
  <c r="E395" i="6" s="1"/>
  <c r="D396" i="6"/>
  <c r="E396" i="6" s="1"/>
  <c r="D397" i="6"/>
  <c r="E397" i="6" s="1"/>
  <c r="D398" i="6"/>
  <c r="E398" i="6" s="1"/>
  <c r="D399" i="6"/>
  <c r="E399" i="6" s="1"/>
  <c r="D400" i="6"/>
  <c r="E400" i="6" s="1"/>
  <c r="D401" i="6"/>
  <c r="E401" i="6" s="1"/>
  <c r="D402" i="6"/>
  <c r="E402" i="6" s="1"/>
  <c r="D403" i="6"/>
  <c r="E403" i="6" s="1"/>
  <c r="D404" i="6"/>
  <c r="E404" i="6" s="1"/>
  <c r="D405" i="6"/>
  <c r="E405" i="6" s="1"/>
  <c r="D406" i="6"/>
  <c r="E406" i="6" s="1"/>
  <c r="D407" i="6"/>
  <c r="E407" i="6" s="1"/>
  <c r="D408" i="6"/>
  <c r="E408" i="6" s="1"/>
  <c r="D409" i="6"/>
  <c r="E409" i="6" s="1"/>
  <c r="D410" i="6"/>
  <c r="E410" i="6" s="1"/>
  <c r="D411" i="6"/>
  <c r="E411" i="6" s="1"/>
  <c r="D412" i="6"/>
  <c r="E412" i="6" s="1"/>
  <c r="D413" i="6"/>
  <c r="E413" i="6" s="1"/>
  <c r="D414" i="6"/>
  <c r="E414" i="6" s="1"/>
  <c r="D415" i="6"/>
  <c r="E415" i="6" s="1"/>
  <c r="D416" i="6"/>
  <c r="E416" i="6" s="1"/>
  <c r="D417" i="6"/>
  <c r="E417" i="6" s="1"/>
  <c r="D418" i="6"/>
  <c r="E418" i="6" s="1"/>
  <c r="D419" i="6"/>
  <c r="E419" i="6" s="1"/>
  <c r="D420" i="6"/>
  <c r="E420" i="6" s="1"/>
  <c r="D421" i="6"/>
  <c r="E421" i="6" s="1"/>
  <c r="D422" i="6"/>
  <c r="E422" i="6" s="1"/>
  <c r="D423" i="6"/>
  <c r="E423" i="6" s="1"/>
  <c r="D424" i="6"/>
  <c r="E424" i="6" s="1"/>
  <c r="D425" i="6"/>
  <c r="E425" i="6" s="1"/>
  <c r="D426" i="6"/>
  <c r="E426" i="6" s="1"/>
  <c r="D427" i="6"/>
  <c r="E427" i="6" s="1"/>
  <c r="D428" i="6"/>
  <c r="E428" i="6" s="1"/>
  <c r="D429" i="6"/>
  <c r="E429" i="6" s="1"/>
  <c r="D430" i="6"/>
  <c r="E430" i="6" s="1"/>
  <c r="D431" i="6"/>
  <c r="E431" i="6" s="1"/>
  <c r="D432" i="6"/>
  <c r="E432" i="6" s="1"/>
  <c r="D433" i="6"/>
  <c r="E433" i="6" s="1"/>
  <c r="D434" i="6"/>
  <c r="E434" i="6" s="1"/>
  <c r="D435" i="6"/>
  <c r="E435" i="6" s="1"/>
  <c r="D436" i="6"/>
  <c r="E436" i="6" s="1"/>
  <c r="D437" i="6"/>
  <c r="E437" i="6" s="1"/>
  <c r="D438" i="6"/>
  <c r="E438" i="6" s="1"/>
  <c r="D439" i="6"/>
  <c r="E439" i="6" s="1"/>
  <c r="D440" i="6"/>
  <c r="E440" i="6" s="1"/>
  <c r="D441" i="6"/>
  <c r="E441" i="6" s="1"/>
  <c r="D442" i="6"/>
  <c r="E442" i="6" s="1"/>
  <c r="D443" i="6"/>
  <c r="E443" i="6" s="1"/>
  <c r="D444" i="6"/>
  <c r="E444" i="6" s="1"/>
  <c r="D445" i="6"/>
  <c r="E445" i="6" s="1"/>
  <c r="D446" i="6"/>
  <c r="E446" i="6" s="1"/>
  <c r="D447" i="6"/>
  <c r="E447" i="6" s="1"/>
  <c r="D448" i="6"/>
  <c r="E448" i="6" s="1"/>
  <c r="D449" i="6"/>
  <c r="E449" i="6" s="1"/>
  <c r="D450" i="6"/>
  <c r="E450" i="6" s="1"/>
  <c r="D451" i="6"/>
  <c r="E451" i="6" s="1"/>
  <c r="D452" i="6"/>
  <c r="E452" i="6" s="1"/>
  <c r="D453" i="6"/>
  <c r="E453" i="6" s="1"/>
  <c r="D454" i="6"/>
  <c r="E454" i="6" s="1"/>
  <c r="D455" i="6"/>
  <c r="E455" i="6" s="1"/>
  <c r="D456" i="6"/>
  <c r="E456" i="6" s="1"/>
  <c r="D457" i="6"/>
  <c r="E457" i="6" s="1"/>
  <c r="D458" i="6"/>
  <c r="E458" i="6" s="1"/>
  <c r="D459" i="6"/>
  <c r="E459" i="6" s="1"/>
  <c r="D460" i="6"/>
  <c r="E460" i="6" s="1"/>
  <c r="D461" i="6"/>
  <c r="E461" i="6" s="1"/>
  <c r="D462" i="6"/>
  <c r="E462" i="6" s="1"/>
  <c r="D463" i="6"/>
  <c r="E463" i="6" s="1"/>
  <c r="D464" i="6"/>
  <c r="E464" i="6" s="1"/>
  <c r="D465" i="6"/>
  <c r="E465" i="6" s="1"/>
  <c r="D466" i="6"/>
  <c r="E466" i="6" s="1"/>
  <c r="D467" i="6"/>
  <c r="E467" i="6" s="1"/>
  <c r="D468" i="6"/>
  <c r="E468" i="6" s="1"/>
  <c r="D469" i="6"/>
  <c r="E469" i="6" s="1"/>
  <c r="D470" i="6"/>
  <c r="E470" i="6" s="1"/>
  <c r="D471" i="6"/>
  <c r="E471" i="6" s="1"/>
  <c r="D472" i="6"/>
  <c r="E472" i="6" s="1"/>
  <c r="D473" i="6"/>
  <c r="E473" i="6" s="1"/>
  <c r="D474" i="6"/>
  <c r="E474" i="6" s="1"/>
  <c r="D475" i="6"/>
  <c r="E475" i="6" s="1"/>
  <c r="D476" i="6"/>
  <c r="E476" i="6" s="1"/>
  <c r="D477" i="6"/>
  <c r="E477" i="6" s="1"/>
  <c r="D478" i="6"/>
  <c r="E478" i="6" s="1"/>
  <c r="D479" i="6"/>
  <c r="E479" i="6" s="1"/>
  <c r="D480" i="6"/>
  <c r="E480" i="6" s="1"/>
  <c r="D481" i="6"/>
  <c r="E481" i="6" s="1"/>
  <c r="D482" i="6"/>
  <c r="E482" i="6" s="1"/>
  <c r="D483" i="6"/>
  <c r="E483" i="6" s="1"/>
  <c r="D484" i="6"/>
  <c r="E484" i="6" s="1"/>
  <c r="D485" i="6"/>
  <c r="E485" i="6" s="1"/>
  <c r="D486" i="6"/>
  <c r="E486" i="6" s="1"/>
  <c r="D487" i="6"/>
  <c r="E487" i="6" s="1"/>
  <c r="D488" i="6"/>
  <c r="E488" i="6" s="1"/>
  <c r="D489" i="6"/>
  <c r="E489" i="6" s="1"/>
  <c r="D490" i="6"/>
  <c r="E490" i="6" s="1"/>
  <c r="D491" i="6"/>
  <c r="E491" i="6" s="1"/>
  <c r="D492" i="6"/>
  <c r="E492" i="6" s="1"/>
  <c r="D493" i="6"/>
  <c r="E493" i="6" s="1"/>
  <c r="D494" i="6"/>
  <c r="E494" i="6" s="1"/>
  <c r="D495" i="6"/>
  <c r="E495" i="6" s="1"/>
  <c r="D496" i="6"/>
  <c r="E496" i="6" s="1"/>
  <c r="D497" i="6"/>
  <c r="E497" i="6" s="1"/>
  <c r="D498" i="6"/>
  <c r="E498" i="6" s="1"/>
  <c r="D499" i="6"/>
  <c r="E499" i="6" s="1"/>
  <c r="D500" i="6"/>
  <c r="E500" i="6" s="1"/>
  <c r="D501" i="6"/>
  <c r="E501" i="6" s="1"/>
  <c r="D502" i="6"/>
  <c r="E502" i="6" s="1"/>
  <c r="D503" i="6"/>
  <c r="E503" i="6" s="1"/>
  <c r="D504" i="6"/>
  <c r="E504" i="6" s="1"/>
  <c r="D505" i="6"/>
  <c r="E505" i="6" s="1"/>
  <c r="D506" i="6"/>
  <c r="E506" i="6" s="1"/>
  <c r="D507" i="6"/>
  <c r="E507" i="6" s="1"/>
  <c r="D508" i="6"/>
  <c r="E508" i="6" s="1"/>
  <c r="D509" i="6"/>
  <c r="E509" i="6" s="1"/>
  <c r="D510" i="6"/>
  <c r="E510" i="6" s="1"/>
  <c r="D511" i="6"/>
  <c r="E511" i="6" s="1"/>
  <c r="D512" i="6"/>
  <c r="E512" i="6" s="1"/>
  <c r="D513" i="6"/>
  <c r="E513" i="6" s="1"/>
  <c r="D514" i="6"/>
  <c r="E514" i="6" s="1"/>
  <c r="D515" i="6"/>
  <c r="E515" i="6" s="1"/>
  <c r="D516" i="6"/>
  <c r="E516" i="6" s="1"/>
  <c r="D517" i="6"/>
  <c r="E517" i="6" s="1"/>
  <c r="D518" i="6"/>
  <c r="E518" i="6" s="1"/>
  <c r="D519" i="6"/>
  <c r="E519" i="6" s="1"/>
  <c r="D520" i="6"/>
  <c r="E520" i="6" s="1"/>
  <c r="D521" i="6"/>
  <c r="E521" i="6" s="1"/>
  <c r="D522" i="6"/>
  <c r="E522" i="6" s="1"/>
  <c r="D523" i="6"/>
  <c r="E523" i="6" s="1"/>
  <c r="D524" i="6"/>
  <c r="E524" i="6" s="1"/>
  <c r="D525" i="6"/>
  <c r="E525" i="6" s="1"/>
  <c r="D526" i="6"/>
  <c r="E526" i="6" s="1"/>
  <c r="D527" i="6"/>
  <c r="E527" i="6" s="1"/>
  <c r="D528" i="6"/>
  <c r="E528" i="6" s="1"/>
  <c r="D529" i="6"/>
  <c r="E529" i="6" s="1"/>
  <c r="D530" i="6"/>
  <c r="E530" i="6" s="1"/>
  <c r="D531" i="6"/>
  <c r="E531" i="6" s="1"/>
  <c r="D532" i="6"/>
  <c r="E532" i="6" s="1"/>
  <c r="D533" i="6"/>
  <c r="E533" i="6" s="1"/>
  <c r="D534" i="6"/>
  <c r="E534" i="6" s="1"/>
  <c r="D535" i="6"/>
  <c r="E535" i="6" s="1"/>
  <c r="D536" i="6"/>
  <c r="E536" i="6" s="1"/>
  <c r="D537" i="6"/>
  <c r="E537" i="6" s="1"/>
  <c r="D538" i="6"/>
  <c r="E538" i="6" s="1"/>
  <c r="D539" i="6"/>
  <c r="E539" i="6" s="1"/>
  <c r="D540" i="6"/>
  <c r="E540" i="6" s="1"/>
  <c r="D541" i="6"/>
  <c r="E541" i="6" s="1"/>
  <c r="D542" i="6"/>
  <c r="E542" i="6" s="1"/>
  <c r="D543" i="6"/>
  <c r="E543" i="6" s="1"/>
  <c r="D544" i="6"/>
  <c r="E544" i="6" s="1"/>
  <c r="D545" i="6"/>
  <c r="E545" i="6" s="1"/>
  <c r="D546" i="6"/>
  <c r="E546" i="6" s="1"/>
  <c r="D547" i="6"/>
  <c r="E547" i="6" s="1"/>
  <c r="D548" i="6"/>
  <c r="E548" i="6" s="1"/>
  <c r="D549" i="6"/>
  <c r="E549" i="6" s="1"/>
  <c r="D550" i="6"/>
  <c r="E550" i="6" s="1"/>
  <c r="D551" i="6"/>
  <c r="E551" i="6" s="1"/>
  <c r="D552" i="6"/>
  <c r="E552" i="6" s="1"/>
  <c r="D553" i="6"/>
  <c r="E553" i="6" s="1"/>
  <c r="D554" i="6"/>
  <c r="E554" i="6" s="1"/>
  <c r="D555" i="6"/>
  <c r="E555" i="6" s="1"/>
  <c r="D556" i="6"/>
  <c r="E556" i="6" s="1"/>
  <c r="D557" i="6"/>
  <c r="E557" i="6" s="1"/>
  <c r="D558" i="6"/>
  <c r="E558" i="6" s="1"/>
  <c r="D559" i="6"/>
  <c r="E559" i="6" s="1"/>
  <c r="D560" i="6"/>
  <c r="E560" i="6" s="1"/>
  <c r="D561" i="6"/>
  <c r="E561" i="6" s="1"/>
  <c r="D562" i="6"/>
  <c r="E562" i="6" s="1"/>
  <c r="D563" i="6"/>
  <c r="E563" i="6" s="1"/>
  <c r="D564" i="6"/>
  <c r="E564" i="6" s="1"/>
  <c r="D565" i="6"/>
  <c r="E565" i="6" s="1"/>
  <c r="D566" i="6"/>
  <c r="E566" i="6" s="1"/>
  <c r="D567" i="6"/>
  <c r="E567" i="6" s="1"/>
  <c r="D568" i="6"/>
  <c r="E568" i="6" s="1"/>
  <c r="D569" i="6"/>
  <c r="E569" i="6" s="1"/>
  <c r="D570" i="6"/>
  <c r="E570" i="6" s="1"/>
  <c r="D571" i="6"/>
  <c r="E571" i="6" s="1"/>
  <c r="D572" i="6"/>
  <c r="E572" i="6" s="1"/>
  <c r="D573" i="6"/>
  <c r="E573" i="6" s="1"/>
  <c r="D574" i="6"/>
  <c r="E574" i="6" s="1"/>
  <c r="D575" i="6"/>
  <c r="E575" i="6" s="1"/>
  <c r="D576" i="6"/>
  <c r="E576" i="6" s="1"/>
  <c r="D577" i="6"/>
  <c r="E577" i="6" s="1"/>
  <c r="D578" i="6"/>
  <c r="E578" i="6" s="1"/>
  <c r="D579" i="6"/>
  <c r="E579" i="6" s="1"/>
  <c r="D580" i="6"/>
  <c r="E580" i="6" s="1"/>
  <c r="D581" i="6"/>
  <c r="E581" i="6" s="1"/>
  <c r="D582" i="6"/>
  <c r="E582" i="6" s="1"/>
  <c r="D583" i="6"/>
  <c r="E583" i="6" s="1"/>
  <c r="D584" i="6"/>
  <c r="E584" i="6" s="1"/>
  <c r="D585" i="6"/>
  <c r="E585" i="6" s="1"/>
  <c r="D586" i="6"/>
  <c r="E586" i="6" s="1"/>
  <c r="D587" i="6"/>
  <c r="E587" i="6" s="1"/>
  <c r="D588" i="6"/>
  <c r="E588" i="6" s="1"/>
  <c r="D589" i="6"/>
  <c r="E589" i="6" s="1"/>
  <c r="D590" i="6"/>
  <c r="E590" i="6" s="1"/>
  <c r="D591" i="6"/>
  <c r="E591" i="6" s="1"/>
  <c r="D592" i="6"/>
  <c r="E592" i="6" s="1"/>
  <c r="D593" i="6"/>
  <c r="E593" i="6" s="1"/>
  <c r="D594" i="6"/>
  <c r="E594" i="6" s="1"/>
  <c r="D595" i="6"/>
  <c r="E595" i="6" s="1"/>
  <c r="D596" i="6"/>
  <c r="E596" i="6" s="1"/>
  <c r="D597" i="6"/>
  <c r="E597" i="6" s="1"/>
  <c r="D598" i="6"/>
  <c r="E598" i="6" s="1"/>
  <c r="D599" i="6"/>
  <c r="E599" i="6" s="1"/>
  <c r="D600" i="6"/>
  <c r="E600" i="6" s="1"/>
  <c r="D601" i="6"/>
  <c r="E601" i="6" s="1"/>
  <c r="D602" i="6"/>
  <c r="E602" i="6" s="1"/>
  <c r="D603" i="6"/>
  <c r="E603" i="6" s="1"/>
  <c r="D604" i="6"/>
  <c r="E604" i="6" s="1"/>
  <c r="D605" i="6"/>
  <c r="E605" i="6" s="1"/>
  <c r="D606" i="6"/>
  <c r="E606" i="6" s="1"/>
  <c r="D607" i="6"/>
  <c r="E607" i="6" s="1"/>
  <c r="D608" i="6"/>
  <c r="E608" i="6" s="1"/>
  <c r="D609" i="6"/>
  <c r="E609" i="6" s="1"/>
  <c r="D610" i="6"/>
  <c r="E610" i="6" s="1"/>
  <c r="D611" i="6"/>
  <c r="E611" i="6" s="1"/>
  <c r="D612" i="6"/>
  <c r="E612" i="6" s="1"/>
  <c r="D613" i="6"/>
  <c r="E613" i="6" s="1"/>
  <c r="D614" i="6"/>
  <c r="E614" i="6" s="1"/>
  <c r="D615" i="6"/>
  <c r="E615" i="6" s="1"/>
  <c r="D616" i="6"/>
  <c r="E616" i="6" s="1"/>
  <c r="D617" i="6"/>
  <c r="E617" i="6" s="1"/>
  <c r="D618" i="6"/>
  <c r="E618" i="6" s="1"/>
  <c r="D619" i="6"/>
  <c r="E619" i="6" s="1"/>
  <c r="D620" i="6"/>
  <c r="E620" i="6" s="1"/>
  <c r="D621" i="6"/>
  <c r="E621" i="6" s="1"/>
  <c r="D622" i="6"/>
  <c r="E622" i="6" s="1"/>
  <c r="D623" i="6"/>
  <c r="E623" i="6" s="1"/>
  <c r="D624" i="6"/>
  <c r="E624" i="6" s="1"/>
  <c r="D625" i="6"/>
  <c r="E625" i="6" s="1"/>
  <c r="D626" i="6"/>
  <c r="E626" i="6" s="1"/>
  <c r="D627" i="6"/>
  <c r="E627" i="6" s="1"/>
  <c r="D628" i="6"/>
  <c r="E628" i="6" s="1"/>
  <c r="D629" i="6"/>
  <c r="E629" i="6" s="1"/>
  <c r="D630" i="6"/>
  <c r="E630" i="6" s="1"/>
  <c r="D631" i="6"/>
  <c r="E631" i="6" s="1"/>
  <c r="D632" i="6"/>
  <c r="E632" i="6" s="1"/>
  <c r="D633" i="6"/>
  <c r="E633" i="6" s="1"/>
  <c r="D634" i="6"/>
  <c r="E634" i="6" s="1"/>
  <c r="D635" i="6"/>
  <c r="E635" i="6" s="1"/>
  <c r="D636" i="6"/>
  <c r="E636" i="6" s="1"/>
  <c r="D637" i="6"/>
  <c r="E637" i="6" s="1"/>
  <c r="D638" i="6"/>
  <c r="E638" i="6" s="1"/>
  <c r="D639" i="6"/>
  <c r="E639" i="6" s="1"/>
  <c r="D640" i="6"/>
  <c r="E640" i="6" s="1"/>
  <c r="D641" i="6"/>
  <c r="E641" i="6" s="1"/>
  <c r="D642" i="6"/>
  <c r="E642" i="6" s="1"/>
  <c r="D643" i="6"/>
  <c r="E643" i="6" s="1"/>
  <c r="D644" i="6"/>
  <c r="E644" i="6" s="1"/>
  <c r="D645" i="6"/>
  <c r="E645" i="6" s="1"/>
  <c r="D646" i="6"/>
  <c r="E646" i="6" s="1"/>
  <c r="D647" i="6"/>
  <c r="E647" i="6" s="1"/>
  <c r="D648" i="6"/>
  <c r="E648" i="6" s="1"/>
  <c r="D649" i="6"/>
  <c r="E649" i="6" s="1"/>
  <c r="D650" i="6"/>
  <c r="E650" i="6" s="1"/>
  <c r="D651" i="6"/>
  <c r="E651" i="6" s="1"/>
  <c r="D652" i="6"/>
  <c r="E652" i="6" s="1"/>
  <c r="D653" i="6"/>
  <c r="E653" i="6" s="1"/>
  <c r="D654" i="6"/>
  <c r="E654" i="6" s="1"/>
  <c r="D655" i="6"/>
  <c r="E655" i="6" s="1"/>
  <c r="D656" i="6"/>
  <c r="E656" i="6" s="1"/>
  <c r="D657" i="6"/>
  <c r="E657" i="6" s="1"/>
  <c r="D658" i="6"/>
  <c r="E658" i="6" s="1"/>
  <c r="D659" i="6"/>
  <c r="E659" i="6" s="1"/>
  <c r="D660" i="6"/>
  <c r="E660" i="6" s="1"/>
  <c r="D661" i="6"/>
  <c r="E661" i="6" s="1"/>
  <c r="D662" i="6"/>
  <c r="E662" i="6" s="1"/>
  <c r="D663" i="6"/>
  <c r="E663" i="6" s="1"/>
  <c r="D664" i="6"/>
  <c r="E664" i="6" s="1"/>
  <c r="D665" i="6"/>
  <c r="E665" i="6" s="1"/>
  <c r="D666" i="6"/>
  <c r="E666" i="6" s="1"/>
  <c r="D667" i="6"/>
  <c r="E667" i="6" s="1"/>
  <c r="D668" i="6"/>
  <c r="E668" i="6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A2" i="6" a="1"/>
  <c r="A4" i="5" a="1"/>
  <c r="C4" i="5" a="1"/>
  <c r="E11" i="4"/>
  <c r="E10" i="4" a="1"/>
  <c r="E9" i="4"/>
  <c r="E6" i="4" a="1"/>
  <c r="R2" i="4"/>
  <c r="K2" i="4"/>
  <c r="H2" i="4"/>
  <c r="E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2" i="3"/>
  <c r="L669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2" i="3"/>
  <c r="I3" i="3" a="1"/>
  <c r="I4" i="3" a="1"/>
  <c r="I5" i="3" a="1"/>
  <c r="I6" i="3" a="1"/>
  <c r="I7" i="3" a="1"/>
  <c r="I8" i="3" a="1"/>
  <c r="I9" i="3" a="1"/>
  <c r="I10" i="3" a="1"/>
  <c r="I11" i="3" a="1"/>
  <c r="I12" i="3" a="1"/>
  <c r="I13" i="3" a="1"/>
  <c r="I14" i="3" a="1"/>
  <c r="I15" i="3" a="1"/>
  <c r="I16" i="3" a="1"/>
  <c r="I17" i="3" a="1"/>
  <c r="I18" i="3" a="1"/>
  <c r="I19" i="3" a="1"/>
  <c r="I20" i="3" a="1"/>
  <c r="I21" i="3" a="1"/>
  <c r="I22" i="3" a="1"/>
  <c r="I23" i="3" a="1"/>
  <c r="I24" i="3" a="1"/>
  <c r="I25" i="3" a="1"/>
  <c r="I26" i="3" a="1"/>
  <c r="I27" i="3" a="1"/>
  <c r="I28" i="3" a="1"/>
  <c r="I29" i="3" a="1"/>
  <c r="I30" i="3" a="1"/>
  <c r="I31" i="3" a="1"/>
  <c r="I32" i="3" a="1"/>
  <c r="I33" i="3" a="1"/>
  <c r="I34" i="3" a="1"/>
  <c r="I35" i="3" a="1"/>
  <c r="I36" i="3" a="1"/>
  <c r="I37" i="3" a="1"/>
  <c r="I38" i="3" a="1"/>
  <c r="I39" i="3" a="1"/>
  <c r="I40" i="3" a="1"/>
  <c r="I41" i="3" a="1"/>
  <c r="I42" i="3" a="1"/>
  <c r="I43" i="3" a="1"/>
  <c r="I44" i="3" a="1"/>
  <c r="I45" i="3" a="1"/>
  <c r="I46" i="3" a="1"/>
  <c r="I47" i="3" a="1"/>
  <c r="I48" i="3" a="1"/>
  <c r="I49" i="3" a="1"/>
  <c r="I50" i="3" a="1"/>
  <c r="I51" i="3" a="1"/>
  <c r="I52" i="3" a="1"/>
  <c r="I53" i="3" a="1"/>
  <c r="I54" i="3" a="1"/>
  <c r="I55" i="3" a="1"/>
  <c r="I56" i="3" a="1"/>
  <c r="I57" i="3" a="1"/>
  <c r="I58" i="3" a="1"/>
  <c r="I59" i="3" a="1"/>
  <c r="I60" i="3" a="1"/>
  <c r="I61" i="3" a="1"/>
  <c r="I62" i="3" a="1"/>
  <c r="I63" i="3" a="1"/>
  <c r="I64" i="3" a="1"/>
  <c r="I65" i="3" a="1"/>
  <c r="I66" i="3" a="1"/>
  <c r="I67" i="3" a="1"/>
  <c r="I68" i="3" a="1"/>
  <c r="I69" i="3" a="1"/>
  <c r="I70" i="3" a="1"/>
  <c r="I71" i="3" a="1"/>
  <c r="I72" i="3" a="1"/>
  <c r="I73" i="3" a="1"/>
  <c r="I74" i="3" a="1"/>
  <c r="I75" i="3" a="1"/>
  <c r="I76" i="3" a="1"/>
  <c r="I77" i="3" a="1"/>
  <c r="I78" i="3" a="1"/>
  <c r="I79" i="3" a="1"/>
  <c r="I80" i="3" a="1"/>
  <c r="I81" i="3" a="1"/>
  <c r="I82" i="3" a="1"/>
  <c r="I83" i="3" a="1"/>
  <c r="I84" i="3" a="1"/>
  <c r="I85" i="3" a="1"/>
  <c r="I86" i="3" a="1"/>
  <c r="I87" i="3" a="1"/>
  <c r="I88" i="3" a="1"/>
  <c r="I89" i="3" a="1"/>
  <c r="I90" i="3" a="1"/>
  <c r="I91" i="3" a="1"/>
  <c r="I92" i="3" a="1"/>
  <c r="I93" i="3" a="1"/>
  <c r="I94" i="3" a="1"/>
  <c r="I95" i="3" a="1"/>
  <c r="I96" i="3" a="1"/>
  <c r="I97" i="3" a="1"/>
  <c r="I98" i="3" a="1"/>
  <c r="I99" i="3" a="1"/>
  <c r="I100" i="3" a="1"/>
  <c r="I101" i="3" a="1"/>
  <c r="I102" i="3" a="1"/>
  <c r="I103" i="3" a="1"/>
  <c r="I104" i="3" a="1"/>
  <c r="I105" i="3" a="1"/>
  <c r="I106" i="3" a="1"/>
  <c r="I107" i="3" a="1"/>
  <c r="I108" i="3" a="1"/>
  <c r="I109" i="3" a="1"/>
  <c r="I110" i="3" a="1"/>
  <c r="I111" i="3" a="1"/>
  <c r="I112" i="3" a="1"/>
  <c r="I113" i="3" a="1"/>
  <c r="I114" i="3" a="1"/>
  <c r="I115" i="3" a="1"/>
  <c r="I116" i="3" a="1"/>
  <c r="I117" i="3" a="1"/>
  <c r="I118" i="3" a="1"/>
  <c r="I119" i="3" a="1"/>
  <c r="I120" i="3" a="1"/>
  <c r="I121" i="3" a="1"/>
  <c r="I122" i="3" a="1"/>
  <c r="I123" i="3" a="1"/>
  <c r="I124" i="3" a="1"/>
  <c r="I125" i="3" a="1"/>
  <c r="I126" i="3" a="1"/>
  <c r="I127" i="3" a="1"/>
  <c r="I128" i="3" a="1"/>
  <c r="I129" i="3" a="1"/>
  <c r="I130" i="3" a="1"/>
  <c r="I131" i="3" a="1"/>
  <c r="I132" i="3" a="1"/>
  <c r="I133" i="3" a="1"/>
  <c r="I134" i="3" a="1"/>
  <c r="I135" i="3" a="1"/>
  <c r="I136" i="3" a="1"/>
  <c r="I137" i="3" a="1"/>
  <c r="I138" i="3" a="1"/>
  <c r="I139" i="3" a="1"/>
  <c r="I140" i="3" a="1"/>
  <c r="I141" i="3" a="1"/>
  <c r="I142" i="3" a="1"/>
  <c r="I143" i="3" a="1"/>
  <c r="I144" i="3" a="1"/>
  <c r="I145" i="3" a="1"/>
  <c r="I146" i="3" a="1"/>
  <c r="I147" i="3" a="1"/>
  <c r="I148" i="3" a="1"/>
  <c r="I149" i="3" a="1"/>
  <c r="I150" i="3" a="1"/>
  <c r="I151" i="3" a="1"/>
  <c r="I152" i="3" a="1"/>
  <c r="I153" i="3" a="1"/>
  <c r="I154" i="3" a="1"/>
  <c r="I155" i="3" a="1"/>
  <c r="I156" i="3" a="1"/>
  <c r="I157" i="3" a="1"/>
  <c r="I158" i="3" a="1"/>
  <c r="I159" i="3" a="1"/>
  <c r="I160" i="3" a="1"/>
  <c r="I161" i="3" a="1"/>
  <c r="I162" i="3" a="1"/>
  <c r="I163" i="3" a="1"/>
  <c r="I164" i="3" a="1"/>
  <c r="I165" i="3" a="1"/>
  <c r="I166" i="3" a="1"/>
  <c r="I167" i="3" a="1"/>
  <c r="I168" i="3" a="1"/>
  <c r="I169" i="3" a="1"/>
  <c r="I170" i="3" a="1"/>
  <c r="I171" i="3" a="1"/>
  <c r="I172" i="3" a="1"/>
  <c r="I173" i="3" a="1"/>
  <c r="I174" i="3" a="1"/>
  <c r="I175" i="3" a="1"/>
  <c r="I176" i="3" a="1"/>
  <c r="I177" i="3" a="1"/>
  <c r="I178" i="3" a="1"/>
  <c r="I179" i="3" a="1"/>
  <c r="I180" i="3" a="1"/>
  <c r="I181" i="3" a="1"/>
  <c r="I182" i="3" a="1"/>
  <c r="I183" i="3" a="1"/>
  <c r="I184" i="3" a="1"/>
  <c r="I185" i="3" a="1"/>
  <c r="I186" i="3" a="1"/>
  <c r="I187" i="3" a="1"/>
  <c r="I188" i="3" a="1"/>
  <c r="I189" i="3" a="1"/>
  <c r="I190" i="3" a="1"/>
  <c r="I191" i="3" a="1"/>
  <c r="I192" i="3" a="1"/>
  <c r="I193" i="3" a="1"/>
  <c r="I194" i="3" a="1"/>
  <c r="I195" i="3" a="1"/>
  <c r="I196" i="3" a="1"/>
  <c r="I197" i="3" a="1"/>
  <c r="I198" i="3" a="1"/>
  <c r="I199" i="3" a="1"/>
  <c r="I200" i="3" a="1"/>
  <c r="I201" i="3" a="1"/>
  <c r="I202" i="3" a="1"/>
  <c r="I203" i="3" a="1"/>
  <c r="I204" i="3" a="1"/>
  <c r="I205" i="3" a="1"/>
  <c r="I206" i="3" a="1"/>
  <c r="I207" i="3" a="1"/>
  <c r="I208" i="3" a="1"/>
  <c r="I209" i="3" a="1"/>
  <c r="I210" i="3" a="1"/>
  <c r="I211" i="3" a="1"/>
  <c r="I212" i="3" a="1"/>
  <c r="I213" i="3" a="1"/>
  <c r="I214" i="3" a="1"/>
  <c r="I215" i="3" a="1"/>
  <c r="I216" i="3" a="1"/>
  <c r="I217" i="3" a="1"/>
  <c r="I218" i="3" a="1"/>
  <c r="I219" i="3" a="1"/>
  <c r="I220" i="3" a="1"/>
  <c r="I221" i="3" a="1"/>
  <c r="I222" i="3" a="1"/>
  <c r="I223" i="3" a="1"/>
  <c r="I224" i="3" a="1"/>
  <c r="I225" i="3" a="1"/>
  <c r="I226" i="3" a="1"/>
  <c r="I227" i="3" a="1"/>
  <c r="I228" i="3" a="1"/>
  <c r="I229" i="3" a="1"/>
  <c r="I230" i="3" a="1"/>
  <c r="I231" i="3" a="1"/>
  <c r="I232" i="3" a="1"/>
  <c r="I233" i="3" a="1"/>
  <c r="I234" i="3" a="1"/>
  <c r="I235" i="3" a="1"/>
  <c r="I236" i="3" a="1"/>
  <c r="I237" i="3" a="1"/>
  <c r="I238" i="3" a="1"/>
  <c r="I239" i="3" a="1"/>
  <c r="I240" i="3" a="1"/>
  <c r="I241" i="3" a="1"/>
  <c r="I242" i="3" a="1"/>
  <c r="I243" i="3" a="1"/>
  <c r="I244" i="3" a="1"/>
  <c r="I245" i="3" a="1"/>
  <c r="I246" i="3" a="1"/>
  <c r="I247" i="3" a="1"/>
  <c r="I248" i="3" a="1"/>
  <c r="I249" i="3" a="1"/>
  <c r="I250" i="3" a="1"/>
  <c r="I251" i="3" a="1"/>
  <c r="I252" i="3" a="1"/>
  <c r="I253" i="3" a="1"/>
  <c r="I254" i="3" a="1"/>
  <c r="I255" i="3" a="1"/>
  <c r="I256" i="3" a="1"/>
  <c r="I257" i="3" a="1"/>
  <c r="I258" i="3" a="1"/>
  <c r="I259" i="3" a="1"/>
  <c r="I260" i="3" a="1"/>
  <c r="I261" i="3" a="1"/>
  <c r="I262" i="3" a="1"/>
  <c r="I263" i="3" a="1"/>
  <c r="I264" i="3" a="1"/>
  <c r="I265" i="3" a="1"/>
  <c r="I266" i="3" a="1"/>
  <c r="I267" i="3" a="1"/>
  <c r="I268" i="3" a="1"/>
  <c r="I269" i="3" a="1"/>
  <c r="I270" i="3" a="1"/>
  <c r="I271" i="3" a="1"/>
  <c r="I272" i="3" a="1"/>
  <c r="I273" i="3" a="1"/>
  <c r="I274" i="3" a="1"/>
  <c r="I275" i="3" a="1"/>
  <c r="I276" i="3" a="1"/>
  <c r="I277" i="3" a="1"/>
  <c r="I278" i="3" a="1"/>
  <c r="I279" i="3" a="1"/>
  <c r="I280" i="3" a="1"/>
  <c r="I281" i="3" a="1"/>
  <c r="I282" i="3" a="1"/>
  <c r="I283" i="3" a="1"/>
  <c r="I284" i="3" a="1"/>
  <c r="I285" i="3" a="1"/>
  <c r="I286" i="3" a="1"/>
  <c r="I287" i="3" a="1"/>
  <c r="I288" i="3" a="1"/>
  <c r="I289" i="3" a="1"/>
  <c r="I290" i="3" a="1"/>
  <c r="I291" i="3" a="1"/>
  <c r="I292" i="3" a="1"/>
  <c r="I293" i="3" a="1"/>
  <c r="I294" i="3" a="1"/>
  <c r="I295" i="3" a="1"/>
  <c r="I296" i="3" a="1"/>
  <c r="I297" i="3" a="1"/>
  <c r="I298" i="3" a="1"/>
  <c r="I299" i="3" a="1"/>
  <c r="I300" i="3" a="1"/>
  <c r="I301" i="3" a="1"/>
  <c r="I302" i="3" a="1"/>
  <c r="I303" i="3" a="1"/>
  <c r="I304" i="3" a="1"/>
  <c r="I305" i="3" a="1"/>
  <c r="I306" i="3" a="1"/>
  <c r="I307" i="3" a="1"/>
  <c r="I308" i="3" a="1"/>
  <c r="I309" i="3" a="1"/>
  <c r="I310" i="3" a="1"/>
  <c r="I311" i="3" a="1"/>
  <c r="I312" i="3" a="1"/>
  <c r="I313" i="3" a="1"/>
  <c r="I314" i="3" a="1"/>
  <c r="I315" i="3" a="1"/>
  <c r="I316" i="3" a="1"/>
  <c r="I317" i="3" a="1"/>
  <c r="I318" i="3" a="1"/>
  <c r="I319" i="3" a="1"/>
  <c r="I320" i="3" a="1"/>
  <c r="I321" i="3" a="1"/>
  <c r="I322" i="3" a="1"/>
  <c r="I323" i="3" a="1"/>
  <c r="I324" i="3" a="1"/>
  <c r="I325" i="3" a="1"/>
  <c r="I326" i="3" a="1"/>
  <c r="I327" i="3" a="1"/>
  <c r="I328" i="3" a="1"/>
  <c r="I329" i="3" a="1"/>
  <c r="I330" i="3" a="1"/>
  <c r="I331" i="3" a="1"/>
  <c r="I332" i="3" a="1"/>
  <c r="I333" i="3" a="1"/>
  <c r="I334" i="3" a="1"/>
  <c r="I335" i="3" a="1"/>
  <c r="I336" i="3" a="1"/>
  <c r="I337" i="3" a="1"/>
  <c r="I338" i="3" a="1"/>
  <c r="I339" i="3" a="1"/>
  <c r="I340" i="3" a="1"/>
  <c r="I341" i="3" a="1"/>
  <c r="I342" i="3" a="1"/>
  <c r="I343" i="3" a="1"/>
  <c r="I344" i="3" a="1"/>
  <c r="I345" i="3" a="1"/>
  <c r="I346" i="3" a="1"/>
  <c r="I347" i="3" a="1"/>
  <c r="I348" i="3" a="1"/>
  <c r="I349" i="3" a="1"/>
  <c r="I350" i="3" a="1"/>
  <c r="I351" i="3" a="1"/>
  <c r="I352" i="3" a="1"/>
  <c r="I353" i="3" a="1"/>
  <c r="I354" i="3" a="1"/>
  <c r="I355" i="3" a="1"/>
  <c r="I356" i="3" a="1"/>
  <c r="I357" i="3" a="1"/>
  <c r="I358" i="3" a="1"/>
  <c r="I359" i="3" a="1"/>
  <c r="I360" i="3" a="1"/>
  <c r="I361" i="3" a="1"/>
  <c r="I362" i="3" a="1"/>
  <c r="I363" i="3" a="1"/>
  <c r="I364" i="3" a="1"/>
  <c r="I365" i="3" a="1"/>
  <c r="I366" i="3" a="1"/>
  <c r="I367" i="3" a="1"/>
  <c r="I368" i="3" a="1"/>
  <c r="I369" i="3" a="1"/>
  <c r="I370" i="3" a="1"/>
  <c r="I371" i="3" a="1"/>
  <c r="I372" i="3" a="1"/>
  <c r="I373" i="3" a="1"/>
  <c r="I374" i="3" a="1"/>
  <c r="I375" i="3" a="1"/>
  <c r="I376" i="3" a="1"/>
  <c r="I377" i="3" a="1"/>
  <c r="I378" i="3" a="1"/>
  <c r="I379" i="3" a="1"/>
  <c r="I380" i="3" a="1"/>
  <c r="I381" i="3" a="1"/>
  <c r="I382" i="3" a="1"/>
  <c r="I383" i="3" a="1"/>
  <c r="I384" i="3" a="1"/>
  <c r="I385" i="3" a="1"/>
  <c r="I386" i="3" a="1"/>
  <c r="I387" i="3" a="1"/>
  <c r="I388" i="3" a="1"/>
  <c r="I389" i="3" a="1"/>
  <c r="I390" i="3" a="1"/>
  <c r="I391" i="3" a="1"/>
  <c r="I392" i="3" a="1"/>
  <c r="I393" i="3" a="1"/>
  <c r="I394" i="3" a="1"/>
  <c r="I395" i="3" a="1"/>
  <c r="I396" i="3" a="1"/>
  <c r="I397" i="3" a="1"/>
  <c r="I398" i="3" a="1"/>
  <c r="I399" i="3" a="1"/>
  <c r="I400" i="3" a="1"/>
  <c r="I401" i="3" a="1"/>
  <c r="I402" i="3" a="1"/>
  <c r="I403" i="3" a="1"/>
  <c r="I404" i="3" a="1"/>
  <c r="I405" i="3" a="1"/>
  <c r="I406" i="3" a="1"/>
  <c r="I407" i="3" a="1"/>
  <c r="I408" i="3" a="1"/>
  <c r="I409" i="3" a="1"/>
  <c r="I410" i="3" a="1"/>
  <c r="I411" i="3" a="1"/>
  <c r="I412" i="3" a="1"/>
  <c r="I413" i="3" a="1"/>
  <c r="I414" i="3" a="1"/>
  <c r="I415" i="3" a="1"/>
  <c r="I416" i="3" a="1"/>
  <c r="I417" i="3" a="1"/>
  <c r="I418" i="3" a="1"/>
  <c r="I419" i="3" a="1"/>
  <c r="I420" i="3" a="1"/>
  <c r="I421" i="3" a="1"/>
  <c r="I422" i="3" a="1"/>
  <c r="I423" i="3" a="1"/>
  <c r="I424" i="3" a="1"/>
  <c r="I425" i="3" a="1"/>
  <c r="I426" i="3" a="1"/>
  <c r="I427" i="3" a="1"/>
  <c r="I428" i="3" a="1"/>
  <c r="I429" i="3" a="1"/>
  <c r="I430" i="3" a="1"/>
  <c r="I431" i="3" a="1"/>
  <c r="I432" i="3" a="1"/>
  <c r="I433" i="3" a="1"/>
  <c r="I434" i="3" a="1"/>
  <c r="I435" i="3" a="1"/>
  <c r="I436" i="3" a="1"/>
  <c r="I437" i="3" a="1"/>
  <c r="I438" i="3" a="1"/>
  <c r="I439" i="3" a="1"/>
  <c r="I440" i="3" a="1"/>
  <c r="I441" i="3" a="1"/>
  <c r="I442" i="3" a="1"/>
  <c r="I443" i="3" a="1"/>
  <c r="I444" i="3" a="1"/>
  <c r="I445" i="3" a="1"/>
  <c r="I446" i="3" a="1"/>
  <c r="I447" i="3" a="1"/>
  <c r="I448" i="3" a="1"/>
  <c r="I449" i="3" a="1"/>
  <c r="I450" i="3" a="1"/>
  <c r="I451" i="3" a="1"/>
  <c r="I452" i="3" a="1"/>
  <c r="I453" i="3" a="1"/>
  <c r="I454" i="3" a="1"/>
  <c r="I455" i="3" a="1"/>
  <c r="I456" i="3" a="1"/>
  <c r="I457" i="3" a="1"/>
  <c r="I458" i="3" a="1"/>
  <c r="I459" i="3" a="1"/>
  <c r="I460" i="3" a="1"/>
  <c r="I461" i="3" a="1"/>
  <c r="I462" i="3" a="1"/>
  <c r="I463" i="3" a="1"/>
  <c r="I464" i="3" a="1"/>
  <c r="I465" i="3" a="1"/>
  <c r="I466" i="3" a="1"/>
  <c r="I467" i="3" a="1"/>
  <c r="I468" i="3" a="1"/>
  <c r="I469" i="3" a="1"/>
  <c r="I470" i="3" a="1"/>
  <c r="I471" i="3" a="1"/>
  <c r="I472" i="3" a="1"/>
  <c r="I473" i="3" a="1"/>
  <c r="I474" i="3" a="1"/>
  <c r="I475" i="3" a="1"/>
  <c r="I476" i="3" a="1"/>
  <c r="I477" i="3" a="1"/>
  <c r="I478" i="3" a="1"/>
  <c r="I479" i="3" a="1"/>
  <c r="I480" i="3" a="1"/>
  <c r="I481" i="3" a="1"/>
  <c r="I482" i="3" a="1"/>
  <c r="I483" i="3" a="1"/>
  <c r="I484" i="3" a="1"/>
  <c r="I485" i="3" a="1"/>
  <c r="I486" i="3" a="1"/>
  <c r="I487" i="3" a="1"/>
  <c r="I488" i="3" a="1"/>
  <c r="I489" i="3" a="1"/>
  <c r="I490" i="3" a="1"/>
  <c r="I491" i="3" a="1"/>
  <c r="I492" i="3" a="1"/>
  <c r="I493" i="3" a="1"/>
  <c r="I494" i="3" a="1"/>
  <c r="I495" i="3" a="1"/>
  <c r="I496" i="3" a="1"/>
  <c r="I497" i="3" a="1"/>
  <c r="I498" i="3" a="1"/>
  <c r="I499" i="3" a="1"/>
  <c r="I500" i="3" a="1"/>
  <c r="I501" i="3" a="1"/>
  <c r="I502" i="3" a="1"/>
  <c r="I503" i="3" a="1"/>
  <c r="I504" i="3" a="1"/>
  <c r="I505" i="3" a="1"/>
  <c r="I506" i="3" a="1"/>
  <c r="I507" i="3" a="1"/>
  <c r="I508" i="3" a="1"/>
  <c r="I509" i="3" a="1"/>
  <c r="I510" i="3" a="1"/>
  <c r="I511" i="3" a="1"/>
  <c r="I512" i="3" a="1"/>
  <c r="I513" i="3" a="1"/>
  <c r="I514" i="3" a="1"/>
  <c r="I515" i="3" a="1"/>
  <c r="I516" i="3" a="1"/>
  <c r="I517" i="3" a="1"/>
  <c r="I518" i="3" a="1"/>
  <c r="I519" i="3" a="1"/>
  <c r="I520" i="3" a="1"/>
  <c r="I521" i="3" a="1"/>
  <c r="I522" i="3" a="1"/>
  <c r="I523" i="3" a="1"/>
  <c r="I524" i="3" a="1"/>
  <c r="I525" i="3" a="1"/>
  <c r="I526" i="3" a="1"/>
  <c r="I527" i="3" a="1"/>
  <c r="I528" i="3" a="1"/>
  <c r="I529" i="3" a="1"/>
  <c r="I530" i="3" a="1"/>
  <c r="I531" i="3" a="1"/>
  <c r="I532" i="3" a="1"/>
  <c r="I533" i="3" a="1"/>
  <c r="I534" i="3" a="1"/>
  <c r="I535" i="3" a="1"/>
  <c r="I536" i="3" a="1"/>
  <c r="I537" i="3" a="1"/>
  <c r="I538" i="3" a="1"/>
  <c r="I539" i="3" a="1"/>
  <c r="I540" i="3" a="1"/>
  <c r="I541" i="3" a="1"/>
  <c r="I542" i="3" a="1"/>
  <c r="I543" i="3" a="1"/>
  <c r="I544" i="3" a="1"/>
  <c r="I545" i="3" a="1"/>
  <c r="I546" i="3" a="1"/>
  <c r="I547" i="3" a="1"/>
  <c r="I548" i="3" a="1"/>
  <c r="I549" i="3" a="1"/>
  <c r="I550" i="3" a="1"/>
  <c r="I551" i="3" a="1"/>
  <c r="I552" i="3" a="1"/>
  <c r="I553" i="3" a="1"/>
  <c r="I554" i="3" a="1"/>
  <c r="I555" i="3" a="1"/>
  <c r="I556" i="3" a="1"/>
  <c r="I557" i="3" a="1"/>
  <c r="I558" i="3" a="1"/>
  <c r="I559" i="3" a="1"/>
  <c r="I560" i="3" a="1"/>
  <c r="I561" i="3" a="1"/>
  <c r="I562" i="3" a="1"/>
  <c r="I563" i="3" a="1"/>
  <c r="I564" i="3" a="1"/>
  <c r="I565" i="3" a="1"/>
  <c r="I566" i="3" a="1"/>
  <c r="I567" i="3" a="1"/>
  <c r="I568" i="3" a="1"/>
  <c r="I569" i="3" a="1"/>
  <c r="I570" i="3" a="1"/>
  <c r="I571" i="3" a="1"/>
  <c r="I572" i="3" a="1"/>
  <c r="I573" i="3" a="1"/>
  <c r="I574" i="3" a="1"/>
  <c r="I575" i="3" a="1"/>
  <c r="I576" i="3" a="1"/>
  <c r="I577" i="3" a="1"/>
  <c r="I578" i="3" a="1"/>
  <c r="I579" i="3" a="1"/>
  <c r="I580" i="3" a="1"/>
  <c r="I581" i="3" a="1"/>
  <c r="I582" i="3" a="1"/>
  <c r="I583" i="3" a="1"/>
  <c r="I584" i="3" a="1"/>
  <c r="I585" i="3" a="1"/>
  <c r="I586" i="3" a="1"/>
  <c r="I587" i="3" a="1"/>
  <c r="I588" i="3" a="1"/>
  <c r="I589" i="3" a="1"/>
  <c r="I590" i="3" a="1"/>
  <c r="I591" i="3" a="1"/>
  <c r="I592" i="3" a="1"/>
  <c r="I593" i="3" a="1"/>
  <c r="I594" i="3" a="1"/>
  <c r="I595" i="3" a="1"/>
  <c r="I596" i="3" a="1"/>
  <c r="I597" i="3" a="1"/>
  <c r="I598" i="3" a="1"/>
  <c r="I599" i="3" a="1"/>
  <c r="I600" i="3" a="1"/>
  <c r="I601" i="3" a="1"/>
  <c r="I602" i="3" a="1"/>
  <c r="I603" i="3" a="1"/>
  <c r="I604" i="3" a="1"/>
  <c r="I605" i="3" a="1"/>
  <c r="I606" i="3" a="1"/>
  <c r="I607" i="3" a="1"/>
  <c r="I608" i="3" a="1"/>
  <c r="I609" i="3" a="1"/>
  <c r="I610" i="3" a="1"/>
  <c r="I611" i="3" a="1"/>
  <c r="I612" i="3" a="1"/>
  <c r="I613" i="3" a="1"/>
  <c r="I614" i="3" a="1"/>
  <c r="I615" i="3" a="1"/>
  <c r="I616" i="3" a="1"/>
  <c r="I617" i="3" a="1"/>
  <c r="I618" i="3" a="1"/>
  <c r="I619" i="3" a="1"/>
  <c r="I620" i="3" a="1"/>
  <c r="I621" i="3" a="1"/>
  <c r="I622" i="3" a="1"/>
  <c r="I623" i="3" a="1"/>
  <c r="I624" i="3" a="1"/>
  <c r="I625" i="3" a="1"/>
  <c r="I626" i="3" a="1"/>
  <c r="I627" i="3" a="1"/>
  <c r="I628" i="3" a="1"/>
  <c r="I629" i="3" a="1"/>
  <c r="I630" i="3" a="1"/>
  <c r="I631" i="3" a="1"/>
  <c r="I632" i="3" a="1"/>
  <c r="I633" i="3" a="1"/>
  <c r="I634" i="3" a="1"/>
  <c r="I635" i="3" a="1"/>
  <c r="I636" i="3" a="1"/>
  <c r="I637" i="3" a="1"/>
  <c r="I638" i="3" a="1"/>
  <c r="I639" i="3" a="1"/>
  <c r="I640" i="3" a="1"/>
  <c r="I641" i="3" a="1"/>
  <c r="I642" i="3" a="1"/>
  <c r="I643" i="3" a="1"/>
  <c r="I644" i="3" a="1"/>
  <c r="I645" i="3" a="1"/>
  <c r="I646" i="3" a="1"/>
  <c r="I647" i="3" a="1"/>
  <c r="I648" i="3" a="1"/>
  <c r="I649" i="3" a="1"/>
  <c r="I650" i="3" a="1"/>
  <c r="I651" i="3" a="1"/>
  <c r="I652" i="3" a="1"/>
  <c r="I653" i="3" a="1"/>
  <c r="I654" i="3" a="1"/>
  <c r="I655" i="3" a="1"/>
  <c r="I656" i="3" a="1"/>
  <c r="I657" i="3" a="1"/>
  <c r="I658" i="3" a="1"/>
  <c r="I659" i="3" a="1"/>
  <c r="I660" i="3" a="1"/>
  <c r="I661" i="3" a="1"/>
  <c r="I662" i="3" a="1"/>
  <c r="I663" i="3" a="1"/>
  <c r="I664" i="3" a="1"/>
  <c r="I665" i="3" a="1"/>
  <c r="I666" i="3" a="1"/>
  <c r="I667" i="3" a="1"/>
  <c r="I668" i="3" a="1"/>
  <c r="I2" i="3" a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2" i="3"/>
  <c r="G3" i="6" l="1"/>
  <c r="G9" i="6"/>
  <c r="G11" i="6"/>
  <c r="G13" i="6"/>
  <c r="G14" i="6"/>
  <c r="G16" i="6"/>
  <c r="G18" i="6"/>
  <c r="G20" i="6"/>
  <c r="G23" i="6"/>
  <c r="G25" i="6"/>
  <c r="G27" i="6"/>
  <c r="G29" i="6"/>
  <c r="G31" i="6"/>
  <c r="G33" i="6"/>
  <c r="G35" i="6"/>
  <c r="G37" i="6"/>
  <c r="G39" i="6"/>
  <c r="G42" i="6"/>
  <c r="G44" i="6"/>
  <c r="G46" i="6"/>
  <c r="G48" i="6"/>
  <c r="G50" i="6"/>
  <c r="G52" i="6"/>
  <c r="G54" i="6"/>
  <c r="G56" i="6"/>
  <c r="G58" i="6"/>
  <c r="G60" i="6"/>
  <c r="G62" i="6"/>
  <c r="G64" i="6"/>
  <c r="G66" i="6"/>
  <c r="G69" i="6"/>
  <c r="G71" i="6"/>
  <c r="G73" i="6"/>
  <c r="G75" i="6"/>
  <c r="G77" i="6"/>
  <c r="G79" i="6"/>
  <c r="G81" i="6"/>
  <c r="G83" i="6"/>
  <c r="G85" i="6"/>
  <c r="G87" i="6"/>
  <c r="G89" i="6"/>
  <c r="G90" i="6"/>
  <c r="G92" i="6"/>
  <c r="G94" i="6"/>
  <c r="G96" i="6"/>
  <c r="G99" i="6"/>
  <c r="G101" i="6"/>
  <c r="G103" i="6"/>
  <c r="G105" i="6"/>
  <c r="G107" i="6"/>
  <c r="G109" i="6"/>
  <c r="G111" i="6"/>
  <c r="G113" i="6"/>
  <c r="G115" i="6"/>
  <c r="G117" i="6"/>
  <c r="G119" i="6"/>
  <c r="G121" i="6"/>
  <c r="G123" i="6"/>
  <c r="G126" i="6"/>
  <c r="G128" i="6"/>
  <c r="G130" i="6"/>
  <c r="G132" i="6"/>
  <c r="G134" i="6"/>
  <c r="G136" i="6"/>
  <c r="G138" i="6"/>
  <c r="G140" i="6"/>
  <c r="G142" i="6"/>
  <c r="G144" i="6"/>
  <c r="G146" i="6"/>
  <c r="G148" i="6"/>
  <c r="G150" i="6"/>
  <c r="G153" i="6"/>
  <c r="G155" i="6"/>
  <c r="G157" i="6"/>
  <c r="G159" i="6"/>
  <c r="G161" i="6"/>
  <c r="G163" i="6"/>
  <c r="G166" i="6"/>
  <c r="G168" i="6"/>
  <c r="G170" i="6"/>
  <c r="G172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4" i="6"/>
  <c r="G256" i="6"/>
  <c r="G259" i="6"/>
  <c r="G261" i="6"/>
  <c r="G263" i="6"/>
  <c r="G265" i="6"/>
  <c r="G268" i="6"/>
  <c r="G270" i="6"/>
  <c r="G272" i="6"/>
  <c r="G275" i="6"/>
  <c r="G277" i="6"/>
  <c r="G283" i="6"/>
  <c r="G285" i="6"/>
  <c r="G287" i="6"/>
  <c r="G289" i="6"/>
  <c r="G291" i="6"/>
  <c r="G293" i="6"/>
  <c r="G295" i="6"/>
  <c r="G297" i="6"/>
  <c r="G300" i="6"/>
  <c r="G302" i="6"/>
  <c r="G317" i="6"/>
  <c r="G319" i="6"/>
  <c r="G322" i="6"/>
  <c r="G324" i="6"/>
  <c r="G326" i="6"/>
  <c r="G328" i="6"/>
  <c r="G331" i="6"/>
  <c r="G333" i="6"/>
  <c r="G334" i="6"/>
  <c r="G335" i="6"/>
  <c r="G336" i="6"/>
  <c r="G338" i="6"/>
  <c r="G340" i="6"/>
  <c r="G342" i="6"/>
  <c r="G343" i="6"/>
  <c r="G345" i="6"/>
  <c r="G346" i="6"/>
  <c r="G348" i="6"/>
  <c r="G349" i="6"/>
  <c r="G351" i="6"/>
  <c r="G352" i="6"/>
  <c r="G354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1" i="6"/>
  <c r="G373" i="6"/>
  <c r="G375" i="6"/>
  <c r="G377" i="6"/>
  <c r="G379" i="6"/>
  <c r="G381" i="6"/>
  <c r="G383" i="6"/>
  <c r="G385" i="6"/>
  <c r="G387" i="6"/>
  <c r="G389" i="6"/>
  <c r="G391" i="6"/>
  <c r="G393" i="6"/>
  <c r="G395" i="6"/>
  <c r="G397" i="6"/>
  <c r="G399" i="6"/>
  <c r="G401" i="6"/>
  <c r="G403" i="6"/>
  <c r="G405" i="6"/>
  <c r="G407" i="6"/>
  <c r="G409" i="6"/>
  <c r="G411" i="6"/>
  <c r="G413" i="6"/>
  <c r="G415" i="6"/>
  <c r="G417" i="6"/>
  <c r="G419" i="6"/>
  <c r="G420" i="6"/>
  <c r="G421" i="6"/>
  <c r="G422" i="6"/>
  <c r="G424" i="6"/>
  <c r="G426" i="6"/>
  <c r="G429" i="6"/>
  <c r="G431" i="6"/>
  <c r="G433" i="6"/>
  <c r="G435" i="6"/>
  <c r="G437" i="6"/>
  <c r="G439" i="6"/>
  <c r="G441" i="6"/>
  <c r="G443" i="6"/>
  <c r="G445" i="6"/>
  <c r="G447" i="6"/>
  <c r="G449" i="6"/>
  <c r="G451" i="6"/>
  <c r="G454" i="6"/>
  <c r="G456" i="6"/>
  <c r="G458" i="6"/>
  <c r="G460" i="6"/>
  <c r="G462" i="6"/>
  <c r="G464" i="6"/>
  <c r="G466" i="6"/>
  <c r="G468" i="6"/>
  <c r="G470" i="6"/>
  <c r="G472" i="6"/>
  <c r="G475" i="6"/>
  <c r="G477" i="6"/>
  <c r="G479" i="6"/>
  <c r="G481" i="6"/>
  <c r="G483" i="6"/>
  <c r="G485" i="6"/>
  <c r="G487" i="6"/>
  <c r="G489" i="6"/>
  <c r="G491" i="6"/>
  <c r="G494" i="6"/>
  <c r="G496" i="6"/>
  <c r="G497" i="6"/>
  <c r="G500" i="6"/>
  <c r="G502" i="6"/>
  <c r="G504" i="6"/>
  <c r="G506" i="6"/>
  <c r="G508" i="6"/>
  <c r="G510" i="6"/>
  <c r="G512" i="6"/>
  <c r="G514" i="6"/>
  <c r="G524" i="6"/>
  <c r="G527" i="6"/>
  <c r="G534" i="6"/>
  <c r="G540" i="6"/>
  <c r="G546" i="6"/>
  <c r="G554" i="6"/>
  <c r="G562" i="6"/>
  <c r="G568" i="6"/>
  <c r="G574" i="6"/>
  <c r="G581" i="6"/>
  <c r="G588" i="6"/>
  <c r="G595" i="6"/>
  <c r="G648" i="6"/>
  <c r="G653" i="6"/>
  <c r="G660" i="6"/>
  <c r="G664" i="6"/>
  <c r="G2" i="6"/>
  <c r="F2" i="6"/>
  <c r="D2" i="6"/>
  <c r="E2" i="6" s="1"/>
  <c r="G516" i="6"/>
  <c r="G525" i="6"/>
  <c r="G530" i="6"/>
  <c r="G535" i="6"/>
  <c r="G541" i="6"/>
  <c r="G547" i="6"/>
  <c r="G553" i="6"/>
  <c r="G560" i="6"/>
  <c r="G567" i="6"/>
  <c r="G576" i="6"/>
  <c r="G583" i="6"/>
  <c r="G590" i="6"/>
  <c r="G598" i="6"/>
  <c r="G603" i="6"/>
  <c r="G609" i="6"/>
  <c r="G613" i="6"/>
  <c r="G617" i="6"/>
  <c r="G621" i="6"/>
  <c r="G625" i="6"/>
  <c r="G630" i="6"/>
  <c r="G635" i="6"/>
  <c r="G638" i="6"/>
  <c r="G647" i="6"/>
  <c r="G654" i="6"/>
  <c r="G658" i="6"/>
  <c r="G665" i="6"/>
  <c r="C2" i="6"/>
  <c r="B2" i="6"/>
  <c r="G6" i="6"/>
  <c r="G518" i="6"/>
  <c r="G521" i="6"/>
  <c r="G532" i="6"/>
  <c r="G537" i="6"/>
  <c r="G543" i="6"/>
  <c r="G549" i="6"/>
  <c r="G555" i="6"/>
  <c r="G563" i="6"/>
  <c r="G569" i="6"/>
  <c r="G578" i="6"/>
  <c r="G585" i="6"/>
  <c r="G592" i="6"/>
  <c r="G606" i="6"/>
  <c r="G611" i="6"/>
  <c r="G614" i="6"/>
  <c r="G620" i="6"/>
  <c r="G624" i="6"/>
  <c r="G628" i="6"/>
  <c r="G632" i="6"/>
  <c r="G636" i="6"/>
  <c r="G639" i="6"/>
  <c r="G641" i="6"/>
  <c r="G4" i="6"/>
  <c r="G10" i="6"/>
  <c r="G12" i="6"/>
  <c r="G15" i="6"/>
  <c r="G17" i="6"/>
  <c r="G19" i="6"/>
  <c r="G21" i="6"/>
  <c r="G22" i="6"/>
  <c r="G24" i="6"/>
  <c r="G26" i="6"/>
  <c r="G28" i="6"/>
  <c r="G30" i="6"/>
  <c r="G32" i="6"/>
  <c r="G34" i="6"/>
  <c r="G36" i="6"/>
  <c r="G38" i="6"/>
  <c r="G40" i="6"/>
  <c r="G41" i="6"/>
  <c r="G43" i="6"/>
  <c r="G45" i="6"/>
  <c r="G47" i="6"/>
  <c r="G49" i="6"/>
  <c r="G51" i="6"/>
  <c r="G53" i="6"/>
  <c r="G55" i="6"/>
  <c r="G57" i="6"/>
  <c r="G59" i="6"/>
  <c r="G61" i="6"/>
  <c r="G63" i="6"/>
  <c r="G65" i="6"/>
  <c r="G67" i="6"/>
  <c r="G68" i="6"/>
  <c r="G70" i="6"/>
  <c r="G72" i="6"/>
  <c r="G74" i="6"/>
  <c r="G76" i="6"/>
  <c r="G78" i="6"/>
  <c r="G80" i="6"/>
  <c r="G82" i="6"/>
  <c r="G84" i="6"/>
  <c r="G86" i="6"/>
  <c r="G88" i="6"/>
  <c r="G91" i="6"/>
  <c r="G93" i="6"/>
  <c r="G95" i="6"/>
  <c r="G97" i="6"/>
  <c r="G98" i="6"/>
  <c r="G100" i="6"/>
  <c r="G102" i="6"/>
  <c r="G104" i="6"/>
  <c r="G106" i="6"/>
  <c r="G108" i="6"/>
  <c r="G110" i="6"/>
  <c r="G112" i="6"/>
  <c r="G114" i="6"/>
  <c r="G116" i="6"/>
  <c r="G118" i="6"/>
  <c r="G120" i="6"/>
  <c r="G122" i="6"/>
  <c r="G124" i="6"/>
  <c r="G125" i="6"/>
  <c r="G127" i="6"/>
  <c r="G129" i="6"/>
  <c r="G131" i="6"/>
  <c r="G133" i="6"/>
  <c r="G135" i="6"/>
  <c r="G137" i="6"/>
  <c r="G139" i="6"/>
  <c r="G141" i="6"/>
  <c r="G143" i="6"/>
  <c r="G145" i="6"/>
  <c r="G147" i="6"/>
  <c r="G149" i="6"/>
  <c r="G151" i="6"/>
  <c r="G152" i="6"/>
  <c r="G154" i="6"/>
  <c r="G156" i="6"/>
  <c r="G158" i="6"/>
  <c r="G160" i="6"/>
  <c r="G162" i="6"/>
  <c r="G164" i="6"/>
  <c r="G165" i="6"/>
  <c r="G167" i="6"/>
  <c r="G169" i="6"/>
  <c r="G171" i="6"/>
  <c r="G173" i="6"/>
  <c r="G253" i="6"/>
  <c r="G255" i="6"/>
  <c r="G257" i="6"/>
  <c r="G258" i="6"/>
  <c r="G260" i="6"/>
  <c r="G262" i="6"/>
  <c r="G264" i="6"/>
  <c r="G266" i="6"/>
  <c r="G267" i="6"/>
  <c r="G269" i="6"/>
  <c r="G271" i="6"/>
  <c r="G273" i="6"/>
  <c r="G274" i="6"/>
  <c r="G276" i="6"/>
  <c r="G278" i="6"/>
  <c r="G279" i="6"/>
  <c r="G280" i="6"/>
  <c r="G281" i="6"/>
  <c r="G282" i="6"/>
  <c r="G284" i="6"/>
  <c r="G286" i="6"/>
  <c r="G288" i="6"/>
  <c r="G290" i="6"/>
  <c r="G292" i="6"/>
  <c r="G294" i="6"/>
  <c r="G296" i="6"/>
  <c r="G298" i="6"/>
  <c r="G299" i="6"/>
  <c r="G301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8" i="6"/>
  <c r="G320" i="6"/>
  <c r="G321" i="6"/>
  <c r="G323" i="6"/>
  <c r="G325" i="6"/>
  <c r="G327" i="6"/>
  <c r="G329" i="6"/>
  <c r="G330" i="6"/>
  <c r="G332" i="6"/>
  <c r="G337" i="6"/>
  <c r="G339" i="6"/>
  <c r="G341" i="6"/>
  <c r="G344" i="6"/>
  <c r="G347" i="6"/>
  <c r="G350" i="6"/>
  <c r="G353" i="6"/>
  <c r="G355" i="6"/>
  <c r="G370" i="6"/>
  <c r="G372" i="6"/>
  <c r="G374" i="6"/>
  <c r="G376" i="6"/>
  <c r="G378" i="6"/>
  <c r="G380" i="6"/>
  <c r="G382" i="6"/>
  <c r="G384" i="6"/>
  <c r="G386" i="6"/>
  <c r="G388" i="6"/>
  <c r="G390" i="6"/>
  <c r="G392" i="6"/>
  <c r="G394" i="6"/>
  <c r="G396" i="6"/>
  <c r="G398" i="6"/>
  <c r="G400" i="6"/>
  <c r="G402" i="6"/>
  <c r="G404" i="6"/>
  <c r="G406" i="6"/>
  <c r="G408" i="6"/>
  <c r="G410" i="6"/>
  <c r="G412" i="6"/>
  <c r="G414" i="6"/>
  <c r="G416" i="6"/>
  <c r="G418" i="6"/>
  <c r="G423" i="6"/>
  <c r="G425" i="6"/>
  <c r="G427" i="6"/>
  <c r="G428" i="6"/>
  <c r="G430" i="6"/>
  <c r="G432" i="6"/>
  <c r="G434" i="6"/>
  <c r="G436" i="6"/>
  <c r="G438" i="6"/>
  <c r="G440" i="6"/>
  <c r="G442" i="6"/>
  <c r="G444" i="6"/>
  <c r="G446" i="6"/>
  <c r="G448" i="6"/>
  <c r="G450" i="6"/>
  <c r="G452" i="6"/>
  <c r="G453" i="6"/>
  <c r="G455" i="6"/>
  <c r="G457" i="6"/>
  <c r="G459" i="6"/>
  <c r="G461" i="6"/>
  <c r="G463" i="6"/>
  <c r="G465" i="6"/>
  <c r="G467" i="6"/>
  <c r="G469" i="6"/>
  <c r="G471" i="6"/>
  <c r="G473" i="6"/>
  <c r="G474" i="6"/>
  <c r="G476" i="6"/>
  <c r="G478" i="6"/>
  <c r="G480" i="6"/>
  <c r="G482" i="6"/>
  <c r="G484" i="6"/>
  <c r="G486" i="6"/>
  <c r="G488" i="6"/>
  <c r="G490" i="6"/>
  <c r="G492" i="6"/>
  <c r="G493" i="6"/>
  <c r="G495" i="6"/>
  <c r="G498" i="6"/>
  <c r="G499" i="6"/>
  <c r="G501" i="6"/>
  <c r="G503" i="6"/>
  <c r="G505" i="6"/>
  <c r="G507" i="6"/>
  <c r="G509" i="6"/>
  <c r="G511" i="6"/>
  <c r="G513" i="6"/>
  <c r="G523" i="6"/>
  <c r="G528" i="6"/>
  <c r="G538" i="6"/>
  <c r="G542" i="6"/>
  <c r="G548" i="6"/>
  <c r="G556" i="6"/>
  <c r="G561" i="6"/>
  <c r="G570" i="6"/>
  <c r="G577" i="6"/>
  <c r="G584" i="6"/>
  <c r="G591" i="6"/>
  <c r="G597" i="6"/>
  <c r="G604" i="6"/>
  <c r="G643" i="6"/>
  <c r="G645" i="6"/>
  <c r="G651" i="6"/>
  <c r="G657" i="6"/>
  <c r="G662" i="6"/>
  <c r="G668" i="6"/>
  <c r="G8" i="6"/>
  <c r="G517" i="6"/>
  <c r="G522" i="6"/>
  <c r="G529" i="6"/>
  <c r="G544" i="6"/>
  <c r="G550" i="6"/>
  <c r="G557" i="6"/>
  <c r="G564" i="6"/>
  <c r="G571" i="6"/>
  <c r="G575" i="6"/>
  <c r="G582" i="6"/>
  <c r="G589" i="6"/>
  <c r="G596" i="6"/>
  <c r="G601" i="6"/>
  <c r="G607" i="6"/>
  <c r="G610" i="6"/>
  <c r="G615" i="6"/>
  <c r="G618" i="6"/>
  <c r="G623" i="6"/>
  <c r="G627" i="6"/>
  <c r="G631" i="6"/>
  <c r="G634" i="6"/>
  <c r="G650" i="6"/>
  <c r="G656" i="6"/>
  <c r="G663" i="6"/>
  <c r="G5" i="6"/>
  <c r="G519" i="6"/>
  <c r="G526" i="6"/>
  <c r="G533" i="6"/>
  <c r="G539" i="6"/>
  <c r="G545" i="6"/>
  <c r="G551" i="6"/>
  <c r="G559" i="6"/>
  <c r="G565" i="6"/>
  <c r="G572" i="6"/>
  <c r="G580" i="6"/>
  <c r="G587" i="6"/>
  <c r="G594" i="6"/>
  <c r="G600" i="6"/>
  <c r="G605" i="6"/>
  <c r="G644" i="6"/>
  <c r="G646" i="6"/>
  <c r="G652" i="6"/>
  <c r="G659" i="6"/>
  <c r="G666" i="6"/>
  <c r="G7" i="6"/>
  <c r="G515" i="6"/>
  <c r="G520" i="6"/>
  <c r="G531" i="6"/>
  <c r="G536" i="6"/>
  <c r="G552" i="6"/>
  <c r="G558" i="6"/>
  <c r="G566" i="6"/>
  <c r="G573" i="6"/>
  <c r="G579" i="6"/>
  <c r="G586" i="6"/>
  <c r="G593" i="6"/>
  <c r="G599" i="6"/>
  <c r="G602" i="6"/>
  <c r="G608" i="6"/>
  <c r="G612" i="6"/>
  <c r="G616" i="6"/>
  <c r="G619" i="6"/>
  <c r="G622" i="6"/>
  <c r="G626" i="6"/>
  <c r="G629" i="6"/>
  <c r="G633" i="6"/>
  <c r="G637" i="6"/>
  <c r="G640" i="6"/>
  <c r="G642" i="6"/>
  <c r="G649" i="6"/>
  <c r="G655" i="6"/>
  <c r="G661" i="6"/>
  <c r="G667" i="6"/>
  <c r="D39" i="7"/>
  <c r="D34" i="7"/>
  <c r="D35" i="7"/>
  <c r="C4" i="3"/>
  <c r="F4" i="3" a="1"/>
  <c r="C5" i="3"/>
  <c r="F5" i="3" a="1"/>
  <c r="C6" i="3"/>
  <c r="F6" i="3" a="1"/>
  <c r="C7" i="3"/>
  <c r="F7" i="3" a="1"/>
  <c r="C8" i="3"/>
  <c r="F8" i="3" a="1"/>
  <c r="C9" i="3"/>
  <c r="F9" i="3" a="1"/>
  <c r="C10" i="3"/>
  <c r="F10" i="3" a="1"/>
  <c r="C11" i="3"/>
  <c r="F11" i="3" a="1"/>
  <c r="C12" i="3"/>
  <c r="F12" i="3" a="1"/>
  <c r="C13" i="3"/>
  <c r="F13" i="3" a="1"/>
  <c r="C14" i="3"/>
  <c r="F14" i="3" a="1"/>
  <c r="C15" i="3"/>
  <c r="F15" i="3" a="1"/>
  <c r="C16" i="3"/>
  <c r="F16" i="3" a="1"/>
  <c r="C17" i="3"/>
  <c r="F17" i="3" a="1"/>
  <c r="C18" i="3"/>
  <c r="F18" i="3" a="1"/>
  <c r="C19" i="3"/>
  <c r="F19" i="3" a="1"/>
  <c r="C20" i="3"/>
  <c r="F20" i="3" a="1"/>
  <c r="C21" i="3"/>
  <c r="F21" i="3" a="1"/>
  <c r="C22" i="3"/>
  <c r="F22" i="3" a="1"/>
  <c r="C23" i="3"/>
  <c r="F23" i="3" a="1"/>
  <c r="C24" i="3"/>
  <c r="F24" i="3" a="1"/>
  <c r="C25" i="3"/>
  <c r="F25" i="3" a="1"/>
  <c r="C26" i="3"/>
  <c r="F26" i="3" a="1"/>
  <c r="C27" i="3"/>
  <c r="F27" i="3" a="1"/>
  <c r="C28" i="3"/>
  <c r="F28" i="3" a="1"/>
  <c r="C29" i="3"/>
  <c r="F29" i="3" a="1"/>
  <c r="C30" i="3"/>
  <c r="F30" i="3" a="1"/>
  <c r="C31" i="3"/>
  <c r="F31" i="3" a="1"/>
  <c r="C32" i="3"/>
  <c r="F32" i="3" a="1"/>
  <c r="C33" i="3"/>
  <c r="F33" i="3" a="1"/>
  <c r="C34" i="3"/>
  <c r="F34" i="3" a="1"/>
  <c r="C35" i="3"/>
  <c r="F35" i="3" a="1"/>
  <c r="C36" i="3"/>
  <c r="F36" i="3" a="1"/>
  <c r="C37" i="3"/>
  <c r="F37" i="3" a="1"/>
  <c r="C38" i="3"/>
  <c r="F38" i="3" a="1"/>
  <c r="C39" i="3"/>
  <c r="F39" i="3" a="1"/>
  <c r="C40" i="3"/>
  <c r="F40" i="3" a="1"/>
  <c r="C41" i="3"/>
  <c r="F41" i="3" a="1"/>
  <c r="C42" i="3"/>
  <c r="F42" i="3" a="1"/>
  <c r="C43" i="3"/>
  <c r="F43" i="3" a="1"/>
  <c r="C44" i="3"/>
  <c r="F44" i="3" a="1"/>
  <c r="C45" i="3"/>
  <c r="F45" i="3" a="1"/>
  <c r="C46" i="3"/>
  <c r="F46" i="3" a="1"/>
  <c r="C47" i="3"/>
  <c r="F47" i="3" a="1"/>
  <c r="C48" i="3"/>
  <c r="F48" i="3" a="1"/>
  <c r="C49" i="3"/>
  <c r="F49" i="3" a="1"/>
  <c r="C50" i="3"/>
  <c r="F50" i="3" a="1"/>
  <c r="C51" i="3"/>
  <c r="F51" i="3" a="1"/>
  <c r="C52" i="3"/>
  <c r="F52" i="3" a="1"/>
  <c r="C53" i="3"/>
  <c r="F53" i="3" a="1"/>
  <c r="C54" i="3"/>
  <c r="F54" i="3" a="1"/>
  <c r="C55" i="3"/>
  <c r="F55" i="3" a="1"/>
  <c r="C56" i="3"/>
  <c r="F56" i="3" a="1"/>
  <c r="C57" i="3"/>
  <c r="F57" i="3" a="1"/>
  <c r="C58" i="3"/>
  <c r="F58" i="3" a="1"/>
  <c r="C59" i="3"/>
  <c r="F59" i="3" a="1"/>
  <c r="C60" i="3"/>
  <c r="F60" i="3" a="1"/>
  <c r="C61" i="3"/>
  <c r="F61" i="3" a="1"/>
  <c r="C62" i="3"/>
  <c r="F62" i="3" a="1"/>
  <c r="C63" i="3"/>
  <c r="F63" i="3" a="1"/>
  <c r="C64" i="3"/>
  <c r="F64" i="3" a="1"/>
  <c r="C65" i="3"/>
  <c r="F65" i="3" a="1"/>
  <c r="C66" i="3"/>
  <c r="F66" i="3" a="1"/>
  <c r="C67" i="3"/>
  <c r="F67" i="3" a="1"/>
  <c r="C68" i="3"/>
  <c r="F68" i="3" a="1"/>
  <c r="C69" i="3"/>
  <c r="F69" i="3" a="1"/>
  <c r="C70" i="3"/>
  <c r="F70" i="3" a="1"/>
  <c r="C71" i="3"/>
  <c r="F71" i="3" a="1"/>
  <c r="C72" i="3"/>
  <c r="F72" i="3" a="1"/>
  <c r="C73" i="3"/>
  <c r="F73" i="3" a="1"/>
  <c r="C74" i="3"/>
  <c r="F74" i="3" a="1"/>
  <c r="C75" i="3"/>
  <c r="F75" i="3" a="1"/>
  <c r="C76" i="3"/>
  <c r="F76" i="3" a="1"/>
  <c r="C77" i="3"/>
  <c r="F77" i="3" a="1"/>
  <c r="C78" i="3"/>
  <c r="F78" i="3" a="1"/>
  <c r="C79" i="3"/>
  <c r="F79" i="3" a="1"/>
  <c r="C80" i="3"/>
  <c r="F80" i="3" a="1"/>
  <c r="C81" i="3"/>
  <c r="F81" i="3" a="1"/>
  <c r="C82" i="3"/>
  <c r="F82" i="3" a="1"/>
  <c r="C83" i="3"/>
  <c r="F83" i="3" a="1"/>
  <c r="C84" i="3"/>
  <c r="F84" i="3" a="1"/>
  <c r="C85" i="3"/>
  <c r="F85" i="3" a="1"/>
  <c r="C86" i="3"/>
  <c r="F86" i="3" a="1"/>
  <c r="C87" i="3"/>
  <c r="F87" i="3" a="1"/>
  <c r="C88" i="3"/>
  <c r="F88" i="3" a="1"/>
  <c r="C89" i="3"/>
  <c r="F89" i="3" a="1"/>
  <c r="C90" i="3"/>
  <c r="F90" i="3" a="1"/>
  <c r="C91" i="3"/>
  <c r="F91" i="3" a="1"/>
  <c r="C92" i="3"/>
  <c r="F92" i="3" a="1"/>
  <c r="C93" i="3"/>
  <c r="F93" i="3" a="1"/>
  <c r="C94" i="3"/>
  <c r="F94" i="3" a="1"/>
  <c r="C95" i="3"/>
  <c r="F95" i="3" a="1"/>
  <c r="C96" i="3"/>
  <c r="F96" i="3" a="1"/>
  <c r="C97" i="3"/>
  <c r="F97" i="3" a="1"/>
  <c r="C98" i="3"/>
  <c r="F98" i="3" a="1"/>
  <c r="C99" i="3"/>
  <c r="F99" i="3" a="1"/>
  <c r="C100" i="3"/>
  <c r="F100" i="3" a="1"/>
  <c r="C101" i="3"/>
  <c r="F101" i="3" a="1"/>
  <c r="C102" i="3"/>
  <c r="F102" i="3" a="1"/>
  <c r="C103" i="3"/>
  <c r="F103" i="3" a="1"/>
  <c r="C104" i="3"/>
  <c r="F104" i="3" a="1"/>
  <c r="C105" i="3"/>
  <c r="F105" i="3" a="1"/>
  <c r="C106" i="3"/>
  <c r="F106" i="3" a="1"/>
  <c r="C107" i="3"/>
  <c r="F107" i="3" a="1"/>
  <c r="C108" i="3"/>
  <c r="F108" i="3" a="1"/>
  <c r="C109" i="3"/>
  <c r="F109" i="3" a="1"/>
  <c r="C110" i="3"/>
  <c r="F110" i="3" a="1"/>
  <c r="C111" i="3"/>
  <c r="F111" i="3" a="1"/>
  <c r="C112" i="3"/>
  <c r="F112" i="3" a="1"/>
  <c r="C113" i="3"/>
  <c r="F113" i="3" a="1"/>
  <c r="C114" i="3"/>
  <c r="F114" i="3" a="1"/>
  <c r="C115" i="3"/>
  <c r="F115" i="3" a="1"/>
  <c r="C116" i="3"/>
  <c r="F116" i="3" a="1"/>
  <c r="C117" i="3"/>
  <c r="F117" i="3" a="1"/>
  <c r="C118" i="3"/>
  <c r="F118" i="3" a="1"/>
  <c r="C119" i="3"/>
  <c r="F119" i="3" a="1"/>
  <c r="C120" i="3"/>
  <c r="F120" i="3" a="1"/>
  <c r="C121" i="3"/>
  <c r="F121" i="3" a="1"/>
  <c r="C122" i="3"/>
  <c r="F122" i="3" a="1"/>
  <c r="C123" i="3"/>
  <c r="F123" i="3" a="1"/>
  <c r="C124" i="3"/>
  <c r="F124" i="3" a="1"/>
  <c r="C125" i="3"/>
  <c r="F125" i="3" a="1"/>
  <c r="C126" i="3"/>
  <c r="F126" i="3" a="1"/>
  <c r="C127" i="3"/>
  <c r="F127" i="3" a="1"/>
  <c r="C128" i="3"/>
  <c r="F128" i="3" a="1"/>
  <c r="C129" i="3"/>
  <c r="F129" i="3" a="1"/>
  <c r="C130" i="3"/>
  <c r="F130" i="3" a="1"/>
  <c r="C131" i="3"/>
  <c r="F131" i="3" a="1"/>
  <c r="C132" i="3"/>
  <c r="F132" i="3" a="1"/>
  <c r="C133" i="3"/>
  <c r="F133" i="3" a="1"/>
  <c r="C134" i="3"/>
  <c r="F134" i="3" a="1"/>
  <c r="C135" i="3"/>
  <c r="F135" i="3" a="1"/>
  <c r="C136" i="3"/>
  <c r="F136" i="3" a="1"/>
  <c r="C137" i="3"/>
  <c r="F137" i="3" a="1"/>
  <c r="C138" i="3"/>
  <c r="F138" i="3" a="1"/>
  <c r="C139" i="3"/>
  <c r="F139" i="3" a="1"/>
  <c r="C140" i="3"/>
  <c r="F140" i="3" a="1"/>
  <c r="C141" i="3"/>
  <c r="F141" i="3" a="1"/>
  <c r="C142" i="3"/>
  <c r="F142" i="3" a="1"/>
  <c r="C143" i="3"/>
  <c r="F143" i="3" a="1"/>
  <c r="C144" i="3"/>
  <c r="F144" i="3" a="1"/>
  <c r="C145" i="3"/>
  <c r="F145" i="3" a="1"/>
  <c r="C146" i="3"/>
  <c r="F146" i="3" a="1"/>
  <c r="C147" i="3"/>
  <c r="F147" i="3" a="1"/>
  <c r="C148" i="3"/>
  <c r="F148" i="3" a="1"/>
  <c r="C149" i="3"/>
  <c r="F149" i="3" a="1"/>
  <c r="C150" i="3"/>
  <c r="F150" i="3" a="1"/>
  <c r="C151" i="3"/>
  <c r="F151" i="3" a="1"/>
  <c r="C152" i="3"/>
  <c r="F152" i="3" a="1"/>
  <c r="C153" i="3"/>
  <c r="F153" i="3" a="1"/>
  <c r="C154" i="3"/>
  <c r="F154" i="3" a="1"/>
  <c r="C155" i="3"/>
  <c r="F155" i="3" a="1"/>
  <c r="C156" i="3"/>
  <c r="F156" i="3" a="1"/>
  <c r="C157" i="3"/>
  <c r="F157" i="3" a="1"/>
  <c r="C158" i="3"/>
  <c r="F158" i="3" a="1"/>
  <c r="C159" i="3"/>
  <c r="F159" i="3" a="1"/>
  <c r="C160" i="3"/>
  <c r="F160" i="3" a="1"/>
  <c r="C161" i="3"/>
  <c r="F161" i="3" a="1"/>
  <c r="C162" i="3"/>
  <c r="F162" i="3" a="1"/>
  <c r="C163" i="3"/>
  <c r="F163" i="3" a="1"/>
  <c r="C164" i="3"/>
  <c r="F164" i="3" a="1"/>
  <c r="C165" i="3"/>
  <c r="F165" i="3" a="1"/>
  <c r="C166" i="3"/>
  <c r="F166" i="3" a="1"/>
  <c r="C167" i="3"/>
  <c r="F167" i="3" a="1"/>
  <c r="C168" i="3"/>
  <c r="F168" i="3" a="1"/>
  <c r="C169" i="3"/>
  <c r="F169" i="3" a="1"/>
  <c r="C170" i="3"/>
  <c r="F170" i="3" a="1"/>
  <c r="C171" i="3"/>
  <c r="F171" i="3" a="1"/>
  <c r="C172" i="3"/>
  <c r="F172" i="3" a="1"/>
  <c r="C173" i="3"/>
  <c r="F173" i="3" a="1"/>
  <c r="C174" i="3"/>
  <c r="F174" i="3" a="1"/>
  <c r="C175" i="3"/>
  <c r="F175" i="3" a="1"/>
  <c r="C176" i="3"/>
  <c r="F176" i="3" a="1"/>
  <c r="C177" i="3"/>
  <c r="F177" i="3" a="1"/>
  <c r="C178" i="3"/>
  <c r="F178" i="3" a="1"/>
  <c r="C179" i="3"/>
  <c r="F179" i="3" a="1"/>
  <c r="C180" i="3"/>
  <c r="F180" i="3" a="1"/>
  <c r="C181" i="3"/>
  <c r="F181" i="3" a="1"/>
  <c r="C182" i="3"/>
  <c r="F182" i="3" a="1"/>
  <c r="C183" i="3"/>
  <c r="F183" i="3" a="1"/>
  <c r="C184" i="3"/>
  <c r="F184" i="3" a="1"/>
  <c r="C185" i="3"/>
  <c r="F185" i="3" a="1"/>
  <c r="C186" i="3"/>
  <c r="F186" i="3" a="1"/>
  <c r="C187" i="3"/>
  <c r="F187" i="3" a="1"/>
  <c r="C188" i="3"/>
  <c r="F188" i="3" a="1"/>
  <c r="C189" i="3"/>
  <c r="F189" i="3" a="1"/>
  <c r="C190" i="3"/>
  <c r="F190" i="3" a="1"/>
  <c r="C191" i="3"/>
  <c r="F191" i="3" a="1"/>
  <c r="C192" i="3"/>
  <c r="F192" i="3" a="1"/>
  <c r="C193" i="3"/>
  <c r="F193" i="3" a="1"/>
  <c r="C194" i="3"/>
  <c r="F194" i="3" a="1"/>
  <c r="C195" i="3"/>
  <c r="F195" i="3" a="1"/>
  <c r="C196" i="3"/>
  <c r="F196" i="3" a="1"/>
  <c r="C197" i="3"/>
  <c r="F197" i="3" a="1"/>
  <c r="C198" i="3"/>
  <c r="F198" i="3" a="1"/>
  <c r="C199" i="3"/>
  <c r="F199" i="3" a="1"/>
  <c r="C200" i="3"/>
  <c r="F200" i="3" a="1"/>
  <c r="C201" i="3"/>
  <c r="F201" i="3" a="1"/>
  <c r="C202" i="3"/>
  <c r="F202" i="3" a="1"/>
  <c r="C203" i="3"/>
  <c r="F203" i="3" a="1"/>
  <c r="C204" i="3"/>
  <c r="F204" i="3" a="1"/>
  <c r="C205" i="3"/>
  <c r="F205" i="3" a="1"/>
  <c r="C206" i="3"/>
  <c r="F206" i="3" a="1"/>
  <c r="C207" i="3"/>
  <c r="F207" i="3" a="1"/>
  <c r="C208" i="3"/>
  <c r="F208" i="3" a="1"/>
  <c r="C209" i="3"/>
  <c r="F209" i="3" a="1"/>
  <c r="C210" i="3"/>
  <c r="F210" i="3" a="1"/>
  <c r="C211" i="3"/>
  <c r="F211" i="3" a="1"/>
  <c r="C212" i="3"/>
  <c r="F212" i="3" a="1"/>
  <c r="C213" i="3"/>
  <c r="F213" i="3" a="1"/>
  <c r="C214" i="3"/>
  <c r="F214" i="3" a="1"/>
  <c r="C215" i="3"/>
  <c r="F215" i="3" a="1"/>
  <c r="C216" i="3"/>
  <c r="F216" i="3" a="1"/>
  <c r="C217" i="3"/>
  <c r="F217" i="3" a="1"/>
  <c r="C218" i="3"/>
  <c r="F218" i="3" a="1"/>
  <c r="C219" i="3"/>
  <c r="F219" i="3" a="1"/>
  <c r="C220" i="3"/>
  <c r="F220" i="3" a="1"/>
  <c r="C221" i="3"/>
  <c r="F221" i="3" a="1"/>
  <c r="C222" i="3"/>
  <c r="F222" i="3" a="1"/>
  <c r="C223" i="3"/>
  <c r="F223" i="3" a="1"/>
  <c r="C224" i="3"/>
  <c r="F224" i="3" a="1"/>
  <c r="C225" i="3"/>
  <c r="F225" i="3" a="1"/>
  <c r="C226" i="3"/>
  <c r="F226" i="3" a="1"/>
  <c r="C227" i="3"/>
  <c r="F227" i="3" a="1"/>
  <c r="C228" i="3"/>
  <c r="F228" i="3" a="1"/>
  <c r="C229" i="3"/>
  <c r="F229" i="3" a="1"/>
  <c r="C230" i="3"/>
  <c r="F230" i="3" a="1"/>
  <c r="C231" i="3"/>
  <c r="F231" i="3" a="1"/>
  <c r="C232" i="3"/>
  <c r="F232" i="3" a="1"/>
  <c r="C233" i="3"/>
  <c r="F233" i="3" a="1"/>
  <c r="C234" i="3"/>
  <c r="F234" i="3" a="1"/>
  <c r="C235" i="3"/>
  <c r="F235" i="3" a="1"/>
  <c r="C236" i="3"/>
  <c r="F236" i="3" a="1"/>
  <c r="C237" i="3"/>
  <c r="F237" i="3" a="1"/>
  <c r="C238" i="3"/>
  <c r="F238" i="3" a="1"/>
  <c r="C239" i="3"/>
  <c r="F239" i="3" a="1"/>
  <c r="C240" i="3"/>
  <c r="F240" i="3" a="1"/>
  <c r="C241" i="3"/>
  <c r="F241" i="3" a="1"/>
  <c r="C242" i="3"/>
  <c r="F242" i="3" a="1"/>
  <c r="C243" i="3"/>
  <c r="F243" i="3" a="1"/>
  <c r="C244" i="3"/>
  <c r="F244" i="3" a="1"/>
  <c r="C245" i="3"/>
  <c r="F245" i="3" a="1"/>
  <c r="C246" i="3"/>
  <c r="F246" i="3" a="1"/>
  <c r="C247" i="3"/>
  <c r="F247" i="3" a="1"/>
  <c r="C248" i="3"/>
  <c r="F248" i="3" a="1"/>
  <c r="C249" i="3"/>
  <c r="F249" i="3" a="1"/>
  <c r="C250" i="3"/>
  <c r="F250" i="3" a="1"/>
  <c r="C251" i="3"/>
  <c r="F251" i="3" a="1"/>
  <c r="C252" i="3"/>
  <c r="F252" i="3" a="1"/>
  <c r="C253" i="3"/>
  <c r="F253" i="3" a="1"/>
  <c r="C254" i="3"/>
  <c r="F254" i="3" a="1"/>
  <c r="C255" i="3"/>
  <c r="F255" i="3" a="1"/>
  <c r="C256" i="3"/>
  <c r="F256" i="3" a="1"/>
  <c r="C257" i="3"/>
  <c r="F257" i="3" a="1"/>
  <c r="C258" i="3"/>
  <c r="F258" i="3" a="1"/>
  <c r="C259" i="3"/>
  <c r="F259" i="3" a="1"/>
  <c r="C260" i="3"/>
  <c r="F260" i="3" a="1"/>
  <c r="C261" i="3"/>
  <c r="F261" i="3" a="1"/>
  <c r="C262" i="3"/>
  <c r="F262" i="3" a="1"/>
  <c r="C263" i="3"/>
  <c r="F263" i="3" a="1"/>
  <c r="C264" i="3"/>
  <c r="F264" i="3" a="1"/>
  <c r="C265" i="3"/>
  <c r="F265" i="3" a="1"/>
  <c r="C266" i="3"/>
  <c r="F266" i="3" a="1"/>
  <c r="C267" i="3"/>
  <c r="F267" i="3" a="1"/>
  <c r="C268" i="3"/>
  <c r="F268" i="3" a="1"/>
  <c r="C269" i="3"/>
  <c r="F269" i="3" a="1"/>
  <c r="C270" i="3"/>
  <c r="F270" i="3" a="1"/>
  <c r="C271" i="3"/>
  <c r="F271" i="3" a="1"/>
  <c r="C272" i="3"/>
  <c r="F272" i="3" a="1"/>
  <c r="C273" i="3"/>
  <c r="F273" i="3" a="1"/>
  <c r="C274" i="3"/>
  <c r="F274" i="3" a="1"/>
  <c r="C275" i="3"/>
  <c r="F275" i="3" a="1"/>
  <c r="C276" i="3"/>
  <c r="F276" i="3" a="1"/>
  <c r="C277" i="3"/>
  <c r="F277" i="3" a="1"/>
  <c r="C278" i="3"/>
  <c r="F278" i="3" a="1"/>
  <c r="C279" i="3"/>
  <c r="F279" i="3" a="1"/>
  <c r="C280" i="3"/>
  <c r="F280" i="3" a="1"/>
  <c r="C281" i="3"/>
  <c r="F281" i="3" a="1"/>
  <c r="C282" i="3"/>
  <c r="F282" i="3" a="1"/>
  <c r="C283" i="3"/>
  <c r="F283" i="3" a="1"/>
  <c r="C284" i="3"/>
  <c r="F284" i="3" a="1"/>
  <c r="C285" i="3"/>
  <c r="F285" i="3" a="1"/>
  <c r="C286" i="3"/>
  <c r="F286" i="3" a="1"/>
  <c r="C287" i="3"/>
  <c r="F287" i="3" a="1"/>
  <c r="C288" i="3"/>
  <c r="F288" i="3" a="1"/>
  <c r="C289" i="3"/>
  <c r="F289" i="3" a="1"/>
  <c r="C290" i="3"/>
  <c r="F290" i="3" a="1"/>
  <c r="C291" i="3"/>
  <c r="F291" i="3" a="1"/>
  <c r="C292" i="3"/>
  <c r="F292" i="3" a="1"/>
  <c r="C293" i="3"/>
  <c r="F293" i="3" a="1"/>
  <c r="C294" i="3"/>
  <c r="F294" i="3" a="1"/>
  <c r="C295" i="3"/>
  <c r="F295" i="3" a="1"/>
  <c r="C296" i="3"/>
  <c r="F296" i="3" a="1"/>
  <c r="C297" i="3"/>
  <c r="F297" i="3" a="1"/>
  <c r="C298" i="3"/>
  <c r="F298" i="3" a="1"/>
  <c r="C299" i="3"/>
  <c r="F299" i="3" a="1"/>
  <c r="C300" i="3"/>
  <c r="F300" i="3" a="1"/>
  <c r="C301" i="3"/>
  <c r="F301" i="3" a="1"/>
  <c r="C302" i="3"/>
  <c r="F302" i="3" a="1"/>
  <c r="C303" i="3"/>
  <c r="F303" i="3" a="1"/>
  <c r="C304" i="3"/>
  <c r="F304" i="3" a="1"/>
  <c r="C305" i="3"/>
  <c r="F305" i="3" a="1"/>
  <c r="C306" i="3"/>
  <c r="F306" i="3" a="1"/>
  <c r="C307" i="3"/>
  <c r="F307" i="3" a="1"/>
  <c r="C308" i="3"/>
  <c r="F308" i="3" a="1"/>
  <c r="C309" i="3"/>
  <c r="F309" i="3" a="1"/>
  <c r="C310" i="3"/>
  <c r="F310" i="3" a="1"/>
  <c r="C311" i="3"/>
  <c r="F311" i="3" a="1"/>
  <c r="C312" i="3"/>
  <c r="F312" i="3" a="1"/>
  <c r="C313" i="3"/>
  <c r="F313" i="3" a="1"/>
  <c r="C314" i="3"/>
  <c r="F314" i="3" a="1"/>
  <c r="C315" i="3"/>
  <c r="F315" i="3" a="1"/>
  <c r="C316" i="3"/>
  <c r="F316" i="3" a="1"/>
  <c r="C317" i="3"/>
  <c r="F317" i="3" a="1"/>
  <c r="C318" i="3"/>
  <c r="F318" i="3" a="1"/>
  <c r="C319" i="3"/>
  <c r="F319" i="3" a="1"/>
  <c r="C320" i="3"/>
  <c r="F320" i="3" a="1"/>
  <c r="C321" i="3"/>
  <c r="F321" i="3" a="1"/>
  <c r="C322" i="3"/>
  <c r="F322" i="3" a="1"/>
  <c r="C323" i="3"/>
  <c r="F323" i="3" a="1"/>
  <c r="C324" i="3"/>
  <c r="F324" i="3" a="1"/>
  <c r="C325" i="3"/>
  <c r="F325" i="3" a="1"/>
  <c r="C326" i="3"/>
  <c r="F326" i="3" a="1"/>
  <c r="C327" i="3"/>
  <c r="F327" i="3" a="1"/>
  <c r="C328" i="3"/>
  <c r="F328" i="3" a="1"/>
  <c r="C329" i="3"/>
  <c r="F329" i="3" a="1"/>
  <c r="C330" i="3"/>
  <c r="F330" i="3" a="1"/>
  <c r="C331" i="3"/>
  <c r="F331" i="3" a="1"/>
  <c r="C332" i="3"/>
  <c r="F332" i="3" a="1"/>
  <c r="C333" i="3"/>
  <c r="F333" i="3" a="1"/>
  <c r="C334" i="3"/>
  <c r="F334" i="3" a="1"/>
  <c r="C335" i="3"/>
  <c r="F335" i="3" a="1"/>
  <c r="F336" i="3" a="1"/>
  <c r="C336" i="3"/>
  <c r="F337" i="3" a="1"/>
  <c r="C337" i="3"/>
  <c r="F338" i="3" a="1"/>
  <c r="C338" i="3"/>
  <c r="F339" i="3" a="1"/>
  <c r="C339" i="3"/>
  <c r="F340" i="3" a="1"/>
  <c r="C340" i="3"/>
  <c r="C341" i="3"/>
  <c r="F341" i="3" a="1"/>
  <c r="C342" i="3"/>
  <c r="F342" i="3" a="1"/>
  <c r="C343" i="3"/>
  <c r="F343" i="3" a="1"/>
  <c r="C344" i="3"/>
  <c r="F344" i="3" a="1"/>
  <c r="C345" i="3"/>
  <c r="F345" i="3" a="1"/>
  <c r="F346" i="3" a="1"/>
  <c r="C346" i="3"/>
  <c r="F347" i="3" a="1"/>
  <c r="C347" i="3"/>
  <c r="F348" i="3" a="1"/>
  <c r="C348" i="3"/>
  <c r="F349" i="3" a="1"/>
  <c r="C349" i="3"/>
  <c r="F350" i="3" a="1"/>
  <c r="C350" i="3"/>
  <c r="F351" i="3" a="1"/>
  <c r="C351" i="3"/>
  <c r="F352" i="3" a="1"/>
  <c r="C352" i="3"/>
  <c r="F353" i="3" a="1"/>
  <c r="C353" i="3"/>
  <c r="F354" i="3" a="1"/>
  <c r="C354" i="3"/>
  <c r="F355" i="3" a="1"/>
  <c r="C355" i="3"/>
  <c r="F356" i="3" a="1"/>
  <c r="C356" i="3"/>
  <c r="F357" i="3" a="1"/>
  <c r="C357" i="3"/>
  <c r="F358" i="3" a="1"/>
  <c r="C358" i="3"/>
  <c r="F359" i="3" a="1"/>
  <c r="C359" i="3"/>
  <c r="F360" i="3" a="1"/>
  <c r="C360" i="3"/>
  <c r="F361" i="3" a="1"/>
  <c r="C361" i="3"/>
  <c r="F362" i="3" a="1"/>
  <c r="C362" i="3"/>
  <c r="F363" i="3" a="1"/>
  <c r="C363" i="3"/>
  <c r="F364" i="3" a="1"/>
  <c r="C364" i="3"/>
  <c r="F365" i="3" a="1"/>
  <c r="C365" i="3"/>
  <c r="F366" i="3" a="1"/>
  <c r="C366" i="3"/>
  <c r="F367" i="3" a="1"/>
  <c r="C367" i="3"/>
  <c r="F368" i="3" a="1"/>
  <c r="C368" i="3"/>
  <c r="F369" i="3" a="1"/>
  <c r="C369" i="3"/>
  <c r="F370" i="3" a="1"/>
  <c r="C370" i="3"/>
  <c r="F371" i="3" a="1"/>
  <c r="C371" i="3"/>
  <c r="F372" i="3" a="1"/>
  <c r="C372" i="3"/>
  <c r="F373" i="3" a="1"/>
  <c r="C373" i="3"/>
  <c r="F374" i="3" a="1"/>
  <c r="C374" i="3"/>
  <c r="C375" i="3"/>
  <c r="F375" i="3" a="1"/>
  <c r="F376" i="3" a="1"/>
  <c r="C376" i="3"/>
  <c r="F377" i="3" a="1"/>
  <c r="C377" i="3"/>
  <c r="F378" i="3" a="1"/>
  <c r="C378" i="3"/>
  <c r="F379" i="3" a="1"/>
  <c r="C379" i="3"/>
  <c r="F380" i="3" a="1"/>
  <c r="C380" i="3"/>
  <c r="C381" i="3"/>
  <c r="F381" i="3" a="1"/>
  <c r="F382" i="3" a="1"/>
  <c r="C382" i="3"/>
  <c r="F383" i="3" a="1"/>
  <c r="C383" i="3"/>
  <c r="C384" i="3"/>
  <c r="F384" i="3" a="1"/>
  <c r="C385" i="3"/>
  <c r="F385" i="3" a="1"/>
  <c r="C386" i="3"/>
  <c r="F386" i="3" a="1"/>
  <c r="C387" i="3"/>
  <c r="F387" i="3" a="1"/>
  <c r="C388" i="3"/>
  <c r="F388" i="3" a="1"/>
  <c r="F389" i="3" a="1"/>
  <c r="C389" i="3"/>
  <c r="F390" i="3" a="1"/>
  <c r="C390" i="3"/>
  <c r="F391" i="3" a="1"/>
  <c r="C391" i="3"/>
  <c r="F392" i="3" a="1"/>
  <c r="C392" i="3"/>
  <c r="F393" i="3" a="1"/>
  <c r="C393" i="3"/>
  <c r="F394" i="3" a="1"/>
  <c r="C394" i="3"/>
  <c r="F395" i="3" a="1"/>
  <c r="C395" i="3"/>
  <c r="F396" i="3" a="1"/>
  <c r="C396" i="3"/>
  <c r="F397" i="3" a="1"/>
  <c r="C397" i="3"/>
  <c r="F398" i="3" a="1"/>
  <c r="C398" i="3"/>
  <c r="C399" i="3"/>
  <c r="F399" i="3" a="1"/>
  <c r="C400" i="3"/>
  <c r="F400" i="3" a="1"/>
  <c r="C401" i="3"/>
  <c r="F401" i="3" a="1"/>
  <c r="C402" i="3"/>
  <c r="F402" i="3" a="1"/>
  <c r="F403" i="3" a="1"/>
  <c r="C403" i="3"/>
  <c r="C404" i="3"/>
  <c r="F404" i="3" a="1"/>
  <c r="C405" i="3"/>
  <c r="F405" i="3" a="1"/>
  <c r="C406" i="3"/>
  <c r="F406" i="3" a="1"/>
  <c r="F407" i="3" a="1"/>
  <c r="C407" i="3"/>
  <c r="F408" i="3" a="1"/>
  <c r="C408" i="3"/>
  <c r="F409" i="3" a="1"/>
  <c r="C409" i="3"/>
  <c r="F410" i="3" a="1"/>
  <c r="C410" i="3"/>
  <c r="F411" i="3" a="1"/>
  <c r="C411" i="3"/>
  <c r="F412" i="3" a="1"/>
  <c r="C412" i="3"/>
  <c r="F413" i="3" a="1"/>
  <c r="C413" i="3"/>
  <c r="C414" i="3"/>
  <c r="F414" i="3" a="1"/>
  <c r="F415" i="3" a="1"/>
  <c r="C415" i="3"/>
  <c r="F416" i="3" a="1"/>
  <c r="C416" i="3"/>
  <c r="F417" i="3" a="1"/>
  <c r="C417" i="3"/>
  <c r="F418" i="3" a="1"/>
  <c r="C418" i="3"/>
  <c r="F419" i="3" a="1"/>
  <c r="C419" i="3"/>
  <c r="F420" i="3" a="1"/>
  <c r="C420" i="3"/>
  <c r="F421" i="3" a="1"/>
  <c r="C421" i="3"/>
  <c r="F422" i="3" a="1"/>
  <c r="C422" i="3"/>
  <c r="C423" i="3"/>
  <c r="F423" i="3" a="1"/>
  <c r="C424" i="3"/>
  <c r="F424" i="3" a="1"/>
  <c r="C425" i="3"/>
  <c r="F425" i="3" a="1"/>
  <c r="C426" i="3"/>
  <c r="F426" i="3" a="1"/>
  <c r="C427" i="3"/>
  <c r="F427" i="3" a="1"/>
  <c r="C428" i="3"/>
  <c r="F428" i="3" a="1"/>
  <c r="C429" i="3"/>
  <c r="F429" i="3" a="1"/>
  <c r="C430" i="3"/>
  <c r="F430" i="3" a="1"/>
  <c r="C431" i="3"/>
  <c r="F431" i="3" a="1"/>
  <c r="C432" i="3"/>
  <c r="F432" i="3" a="1"/>
  <c r="C433" i="3"/>
  <c r="F433" i="3" a="1"/>
  <c r="C434" i="3"/>
  <c r="F434" i="3" a="1"/>
  <c r="F435" i="3" a="1"/>
  <c r="C435" i="3"/>
  <c r="C436" i="3"/>
  <c r="F436" i="3" a="1"/>
  <c r="C437" i="3"/>
  <c r="F437" i="3" a="1"/>
  <c r="C438" i="3"/>
  <c r="F438" i="3" a="1"/>
  <c r="C439" i="3"/>
  <c r="F439" i="3" a="1"/>
  <c r="C440" i="3"/>
  <c r="F440" i="3" a="1"/>
  <c r="C441" i="3"/>
  <c r="F441" i="3" a="1"/>
  <c r="C442" i="3"/>
  <c r="F442" i="3" a="1"/>
  <c r="C443" i="3"/>
  <c r="F443" i="3" a="1"/>
  <c r="C444" i="3"/>
  <c r="F444" i="3" a="1"/>
  <c r="C445" i="3"/>
  <c r="F445" i="3" a="1"/>
  <c r="C446" i="3"/>
  <c r="F446" i="3" a="1"/>
  <c r="C447" i="3"/>
  <c r="F447" i="3" a="1"/>
  <c r="C448" i="3"/>
  <c r="F448" i="3" a="1"/>
  <c r="C449" i="3"/>
  <c r="F449" i="3" a="1"/>
  <c r="C450" i="3"/>
  <c r="F450" i="3" a="1"/>
  <c r="C451" i="3"/>
  <c r="F451" i="3" a="1"/>
  <c r="C452" i="3"/>
  <c r="F452" i="3" a="1"/>
  <c r="C453" i="3"/>
  <c r="F453" i="3" a="1"/>
  <c r="C454" i="3"/>
  <c r="F454" i="3" a="1"/>
  <c r="C455" i="3"/>
  <c r="F455" i="3" a="1"/>
  <c r="C456" i="3"/>
  <c r="F456" i="3" a="1"/>
  <c r="F457" i="3" a="1"/>
  <c r="C457" i="3"/>
  <c r="C458" i="3"/>
  <c r="F458" i="3" a="1"/>
  <c r="C459" i="3"/>
  <c r="F459" i="3" a="1"/>
  <c r="C460" i="3"/>
  <c r="F460" i="3" a="1"/>
  <c r="C461" i="3"/>
  <c r="F461" i="3" a="1"/>
  <c r="C462" i="3"/>
  <c r="F462" i="3" a="1"/>
  <c r="F463" i="3" a="1"/>
  <c r="C463" i="3"/>
  <c r="F464" i="3" a="1"/>
  <c r="C464" i="3"/>
  <c r="F465" i="3" a="1"/>
  <c r="C465" i="3"/>
  <c r="C466" i="3"/>
  <c r="F466" i="3" a="1"/>
  <c r="C467" i="3"/>
  <c r="F467" i="3" a="1"/>
  <c r="C468" i="3"/>
  <c r="F468" i="3" a="1"/>
  <c r="F469" i="3" a="1"/>
  <c r="C469" i="3"/>
  <c r="F470" i="3" a="1"/>
  <c r="C470" i="3"/>
  <c r="F471" i="3" a="1"/>
  <c r="C471" i="3"/>
  <c r="F472" i="3" a="1"/>
  <c r="C472" i="3"/>
  <c r="C473" i="3"/>
  <c r="F473" i="3" a="1"/>
  <c r="C474" i="3"/>
  <c r="F474" i="3" a="1"/>
  <c r="C475" i="3"/>
  <c r="F475" i="3" a="1"/>
  <c r="C476" i="3"/>
  <c r="F476" i="3" a="1"/>
  <c r="C477" i="3"/>
  <c r="F477" i="3" a="1"/>
  <c r="C478" i="3"/>
  <c r="F478" i="3" a="1"/>
  <c r="F479" i="3" a="1"/>
  <c r="C479" i="3"/>
  <c r="F480" i="3" a="1"/>
  <c r="C480" i="3"/>
  <c r="F481" i="3" a="1"/>
  <c r="C481" i="3"/>
  <c r="F482" i="3" a="1"/>
  <c r="C482" i="3"/>
  <c r="F483" i="3" a="1"/>
  <c r="C483" i="3"/>
  <c r="F484" i="3" a="1"/>
  <c r="C484" i="3"/>
  <c r="F485" i="3" a="1"/>
  <c r="C485" i="3"/>
  <c r="C486" i="3"/>
  <c r="F486" i="3" a="1"/>
  <c r="C487" i="3"/>
  <c r="F487" i="3" a="1"/>
  <c r="C488" i="3"/>
  <c r="F488" i="3" a="1"/>
  <c r="C489" i="3"/>
  <c r="F489" i="3" a="1"/>
  <c r="C490" i="3"/>
  <c r="F490" i="3" a="1"/>
  <c r="C491" i="3"/>
  <c r="F491" i="3" a="1"/>
  <c r="C492" i="3"/>
  <c r="F492" i="3" a="1"/>
  <c r="C493" i="3"/>
  <c r="F493" i="3" a="1"/>
  <c r="C494" i="3"/>
  <c r="F494" i="3" a="1"/>
  <c r="C495" i="3"/>
  <c r="F495" i="3" a="1"/>
  <c r="C496" i="3"/>
  <c r="F496" i="3" a="1"/>
  <c r="C497" i="3"/>
  <c r="F497" i="3" a="1"/>
  <c r="F498" i="3" a="1"/>
  <c r="C498" i="3"/>
  <c r="F499" i="3" a="1"/>
  <c r="C499" i="3"/>
  <c r="F500" i="3" a="1"/>
  <c r="C500" i="3"/>
  <c r="F501" i="3" a="1"/>
  <c r="C501" i="3"/>
  <c r="F502" i="3" a="1"/>
  <c r="C502" i="3"/>
  <c r="F503" i="3" a="1"/>
  <c r="C503" i="3"/>
  <c r="F504" i="3" a="1"/>
  <c r="C504" i="3"/>
  <c r="F505" i="3" a="1"/>
  <c r="C505" i="3"/>
  <c r="F506" i="3" a="1"/>
  <c r="C506" i="3"/>
  <c r="C507" i="3"/>
  <c r="F507" i="3" a="1"/>
  <c r="F508" i="3" a="1"/>
  <c r="C508" i="3"/>
  <c r="F509" i="3" a="1"/>
  <c r="C509" i="3"/>
  <c r="F510" i="3" a="1"/>
  <c r="C510" i="3"/>
  <c r="C511" i="3"/>
  <c r="F511" i="3" a="1"/>
  <c r="F512" i="3" a="1"/>
  <c r="C512" i="3"/>
  <c r="F513" i="3" a="1"/>
  <c r="C513" i="3"/>
  <c r="C514" i="3"/>
  <c r="F514" i="3" a="1"/>
  <c r="C515" i="3"/>
  <c r="F515" i="3" a="1"/>
  <c r="C516" i="3"/>
  <c r="F516" i="3" a="1"/>
  <c r="C517" i="3"/>
  <c r="F517" i="3" a="1"/>
  <c r="C518" i="3"/>
  <c r="F518" i="3" a="1"/>
  <c r="C519" i="3"/>
  <c r="F519" i="3" a="1"/>
  <c r="C520" i="3"/>
  <c r="F520" i="3" a="1"/>
  <c r="C521" i="3"/>
  <c r="F521" i="3" a="1"/>
  <c r="C522" i="3"/>
  <c r="F522" i="3" a="1"/>
  <c r="F523" i="3" a="1"/>
  <c r="C523" i="3"/>
  <c r="F524" i="3" a="1"/>
  <c r="C524" i="3"/>
  <c r="C525" i="3"/>
  <c r="F525" i="3" a="1"/>
  <c r="C526" i="3"/>
  <c r="F526" i="3" a="1"/>
  <c r="C527" i="3"/>
  <c r="F527" i="3" a="1"/>
  <c r="F528" i="3" a="1"/>
  <c r="C528" i="3"/>
  <c r="F529" i="3" a="1"/>
  <c r="C529" i="3"/>
  <c r="F530" i="3" a="1"/>
  <c r="C530" i="3"/>
  <c r="F531" i="3" a="1"/>
  <c r="C531" i="3"/>
  <c r="C532" i="3"/>
  <c r="F532" i="3" a="1"/>
  <c r="C533" i="3"/>
  <c r="F533" i="3" a="1"/>
  <c r="C534" i="3"/>
  <c r="F534" i="3" a="1"/>
  <c r="C535" i="3"/>
  <c r="F535" i="3" a="1"/>
  <c r="C536" i="3"/>
  <c r="F536" i="3" a="1"/>
  <c r="C537" i="3"/>
  <c r="F537" i="3" a="1"/>
  <c r="C538" i="3"/>
  <c r="F538" i="3" a="1"/>
  <c r="F539" i="3" a="1"/>
  <c r="C539" i="3"/>
  <c r="F540" i="3" a="1"/>
  <c r="C540" i="3"/>
  <c r="C541" i="3"/>
  <c r="F541" i="3" a="1"/>
  <c r="F542" i="3" a="1"/>
  <c r="C542" i="3"/>
  <c r="F543" i="3" a="1"/>
  <c r="C543" i="3"/>
  <c r="F544" i="3" a="1"/>
  <c r="C544" i="3"/>
  <c r="C545" i="3"/>
  <c r="F545" i="3" a="1"/>
  <c r="F546" i="3" a="1"/>
  <c r="C546" i="3"/>
  <c r="F547" i="3" a="1"/>
  <c r="C547" i="3"/>
  <c r="C548" i="3"/>
  <c r="F548" i="3" a="1"/>
  <c r="F549" i="3" a="1"/>
  <c r="C549" i="3"/>
  <c r="C550" i="3"/>
  <c r="F550" i="3" a="1"/>
  <c r="F551" i="3" a="1"/>
  <c r="C551" i="3"/>
  <c r="C552" i="3"/>
  <c r="F552" i="3" a="1"/>
  <c r="F553" i="3" a="1"/>
  <c r="C553" i="3"/>
  <c r="F554" i="3" a="1"/>
  <c r="C554" i="3"/>
  <c r="F555" i="3" a="1"/>
  <c r="C555" i="3"/>
  <c r="F556" i="3" a="1"/>
  <c r="C556" i="3"/>
  <c r="F557" i="3" a="1"/>
  <c r="C557" i="3"/>
  <c r="F558" i="3" a="1"/>
  <c r="C558" i="3"/>
  <c r="C559" i="3"/>
  <c r="F559" i="3" a="1"/>
  <c r="F560" i="3" a="1"/>
  <c r="C560" i="3"/>
  <c r="C561" i="3"/>
  <c r="F561" i="3" a="1"/>
  <c r="C562" i="3"/>
  <c r="F562" i="3" a="1"/>
  <c r="C563" i="3"/>
  <c r="F563" i="3" a="1"/>
  <c r="C564" i="3"/>
  <c r="F564" i="3" a="1"/>
  <c r="C565" i="3"/>
  <c r="F565" i="3" a="1"/>
  <c r="C566" i="3"/>
  <c r="F566" i="3" a="1"/>
  <c r="C567" i="3"/>
  <c r="F567" i="3" a="1"/>
  <c r="F568" i="3" a="1"/>
  <c r="C568" i="3"/>
  <c r="F569" i="3" a="1"/>
  <c r="C569" i="3"/>
  <c r="F570" i="3" a="1"/>
  <c r="C570" i="3"/>
  <c r="C571" i="3"/>
  <c r="F571" i="3" a="1"/>
  <c r="C572" i="3"/>
  <c r="F572" i="3" a="1"/>
  <c r="C573" i="3"/>
  <c r="F573" i="3" a="1"/>
  <c r="C574" i="3"/>
  <c r="F574" i="3" a="1"/>
  <c r="C575" i="3"/>
  <c r="F575" i="3" a="1"/>
  <c r="C576" i="3"/>
  <c r="F576" i="3" a="1"/>
  <c r="C577" i="3"/>
  <c r="F577" i="3" a="1"/>
  <c r="C578" i="3"/>
  <c r="F578" i="3" a="1"/>
  <c r="C579" i="3"/>
  <c r="F579" i="3" a="1"/>
  <c r="C580" i="3"/>
  <c r="F580" i="3" a="1"/>
  <c r="C581" i="3"/>
  <c r="F581" i="3" a="1"/>
  <c r="C582" i="3"/>
  <c r="F582" i="3" a="1"/>
  <c r="C583" i="3"/>
  <c r="F583" i="3" a="1"/>
  <c r="C584" i="3"/>
  <c r="F584" i="3" a="1"/>
  <c r="C585" i="3"/>
  <c r="F585" i="3" a="1"/>
  <c r="C586" i="3"/>
  <c r="F586" i="3" a="1"/>
  <c r="F587" i="3" a="1"/>
  <c r="C587" i="3"/>
  <c r="C588" i="3"/>
  <c r="F588" i="3" a="1"/>
  <c r="C589" i="3"/>
  <c r="F589" i="3" a="1"/>
  <c r="F590" i="3" a="1"/>
  <c r="C590" i="3"/>
  <c r="F591" i="3" a="1"/>
  <c r="C591" i="3"/>
  <c r="F592" i="3" a="1"/>
  <c r="C592" i="3"/>
  <c r="C593" i="3"/>
  <c r="F593" i="3" a="1"/>
  <c r="C594" i="3"/>
  <c r="F594" i="3" a="1"/>
  <c r="C595" i="3"/>
  <c r="F595" i="3" a="1"/>
  <c r="C596" i="3"/>
  <c r="F596" i="3" a="1"/>
  <c r="C597" i="3"/>
  <c r="F597" i="3" a="1"/>
  <c r="F598" i="3" a="1"/>
  <c r="C598" i="3"/>
  <c r="C599" i="3"/>
  <c r="F599" i="3" a="1"/>
  <c r="C600" i="3"/>
  <c r="F600" i="3" a="1"/>
  <c r="C601" i="3"/>
  <c r="F601" i="3" a="1"/>
  <c r="C602" i="3"/>
  <c r="F602" i="3" a="1"/>
  <c r="C603" i="3"/>
  <c r="F603" i="3" a="1"/>
  <c r="C604" i="3"/>
  <c r="F604" i="3" a="1"/>
  <c r="F605" i="3" a="1"/>
  <c r="C605" i="3"/>
  <c r="F606" i="3" a="1"/>
  <c r="C606" i="3"/>
  <c r="F607" i="3" a="1"/>
  <c r="C607" i="3"/>
  <c r="C608" i="3"/>
  <c r="F608" i="3" a="1"/>
  <c r="C609" i="3"/>
  <c r="F609" i="3" a="1"/>
  <c r="F610" i="3" a="1"/>
  <c r="C610" i="3"/>
  <c r="F611" i="3" a="1"/>
  <c r="C611" i="3"/>
  <c r="F612" i="3" a="1"/>
  <c r="C612" i="3"/>
  <c r="F613" i="3" a="1"/>
  <c r="C613" i="3"/>
  <c r="C614" i="3"/>
  <c r="F614" i="3" a="1"/>
  <c r="F615" i="3" a="1"/>
  <c r="C615" i="3"/>
  <c r="F616" i="3" a="1"/>
  <c r="C616" i="3"/>
  <c r="F617" i="3" a="1"/>
  <c r="C617" i="3"/>
  <c r="C618" i="3"/>
  <c r="F618" i="3" a="1"/>
  <c r="C619" i="3"/>
  <c r="F619" i="3" a="1"/>
  <c r="F620" i="3" a="1"/>
  <c r="C620" i="3"/>
  <c r="C621" i="3"/>
  <c r="F621" i="3" a="1"/>
  <c r="C622" i="3"/>
  <c r="F622" i="3" a="1"/>
  <c r="C623" i="3"/>
  <c r="F623" i="3" a="1"/>
  <c r="C624" i="3"/>
  <c r="F624" i="3" a="1"/>
  <c r="C625" i="3"/>
  <c r="F625" i="3" a="1"/>
  <c r="F626" i="3" a="1"/>
  <c r="C626" i="3"/>
  <c r="F627" i="3" a="1"/>
  <c r="C627" i="3"/>
  <c r="F628" i="3" a="1"/>
  <c r="C628" i="3"/>
  <c r="F629" i="3" a="1"/>
  <c r="C629" i="3"/>
  <c r="F630" i="3" a="1"/>
  <c r="C630" i="3"/>
  <c r="F631" i="3" a="1"/>
  <c r="C631" i="3"/>
  <c r="F632" i="3" a="1"/>
  <c r="C632" i="3"/>
  <c r="C633" i="3"/>
  <c r="F633" i="3" a="1"/>
  <c r="C634" i="3"/>
  <c r="F634" i="3" a="1"/>
  <c r="F635" i="3" a="1"/>
  <c r="C635" i="3"/>
  <c r="F636" i="3" a="1"/>
  <c r="C636" i="3"/>
  <c r="C637" i="3"/>
  <c r="F637" i="3" a="1"/>
  <c r="C638" i="3"/>
  <c r="F638" i="3" a="1"/>
  <c r="C639" i="3"/>
  <c r="F639" i="3" a="1"/>
  <c r="C640" i="3"/>
  <c r="F640" i="3" a="1"/>
  <c r="C641" i="3"/>
  <c r="F641" i="3" a="1"/>
  <c r="C642" i="3"/>
  <c r="F642" i="3" a="1"/>
  <c r="F643" i="3" a="1"/>
  <c r="C643" i="3"/>
  <c r="F644" i="3" a="1"/>
  <c r="C644" i="3"/>
  <c r="F645" i="3" a="1"/>
  <c r="C645" i="3"/>
  <c r="F646" i="3" a="1"/>
  <c r="C646" i="3"/>
  <c r="F647" i="3" a="1"/>
  <c r="C647" i="3"/>
  <c r="C648" i="3"/>
  <c r="F648" i="3" a="1"/>
  <c r="F649" i="3" a="1"/>
  <c r="C649" i="3"/>
  <c r="C650" i="3"/>
  <c r="F650" i="3" a="1"/>
  <c r="C651" i="3"/>
  <c r="F651" i="3" a="1"/>
  <c r="C652" i="3"/>
  <c r="F652" i="3" a="1"/>
  <c r="F653" i="3" a="1"/>
  <c r="C653" i="3"/>
  <c r="F654" i="3" a="1"/>
  <c r="C654" i="3"/>
  <c r="C655" i="3"/>
  <c r="F655" i="3" a="1"/>
  <c r="C656" i="3"/>
  <c r="F656" i="3" a="1"/>
  <c r="C657" i="3"/>
  <c r="F657" i="3" a="1"/>
  <c r="F658" i="3" a="1"/>
  <c r="C658" i="3"/>
  <c r="C659" i="3"/>
  <c r="F659" i="3" a="1"/>
  <c r="C660" i="3"/>
  <c r="F660" i="3" a="1"/>
  <c r="C661" i="3"/>
  <c r="F661" i="3" a="1"/>
  <c r="C662" i="3"/>
  <c r="F662" i="3" a="1"/>
  <c r="F663" i="3" a="1"/>
  <c r="C663" i="3"/>
  <c r="F664" i="3" a="1"/>
  <c r="C664" i="3"/>
  <c r="F665" i="3" a="1"/>
  <c r="C665" i="3"/>
  <c r="F666" i="3" a="1"/>
  <c r="C666" i="3"/>
  <c r="C667" i="3"/>
  <c r="F667" i="3" a="1"/>
  <c r="C668" i="3"/>
  <c r="F668" i="3" a="1"/>
  <c r="F2" i="3" a="1"/>
  <c r="C2" i="3"/>
  <c r="F3" i="3" a="1"/>
  <c r="C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<sst xmlns="http://schemas.openxmlformats.org/spreadsheetml/2006/main" count="4391" uniqueCount="184">
  <si>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</si>
  <si>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</si>
  <si>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</si>
  <si>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</si>
  <si>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</si>
  <si>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</si>
  <si>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</si>
  <si>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</si>
  <si>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</si>
  <si>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</si>
  <si>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</si>
  <si>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</si>
  <si>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</si>
  <si>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</si>
  <si>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</si>
  <si>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</si>
  <si>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</si>
  <si>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</si>
  <si>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</si>
  <si>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</si>
  <si>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LA</t>
  </si>
  <si>
    <t>No</t>
  </si>
  <si>
    <t>IN</t>
  </si>
  <si>
    <t>NY</t>
  </si>
  <si>
    <t>SC</t>
  </si>
  <si>
    <t>HI</t>
  </si>
  <si>
    <t>AK</t>
  </si>
  <si>
    <t>Yes</t>
  </si>
  <si>
    <t>MI</t>
  </si>
  <si>
    <t>ID</t>
  </si>
  <si>
    <t>VA</t>
  </si>
  <si>
    <t>WI</t>
  </si>
  <si>
    <t>MN</t>
  </si>
  <si>
    <t>VT</t>
  </si>
  <si>
    <t>MT</t>
  </si>
  <si>
    <t>MA</t>
  </si>
  <si>
    <t>KY</t>
  </si>
  <si>
    <t>CO</t>
  </si>
  <si>
    <t>AZ</t>
  </si>
  <si>
    <t>CA</t>
  </si>
  <si>
    <t>WA</t>
  </si>
  <si>
    <t>NE</t>
  </si>
  <si>
    <t>OH</t>
  </si>
  <si>
    <t>MO</t>
  </si>
  <si>
    <t>AL</t>
  </si>
  <si>
    <t>NH</t>
  </si>
  <si>
    <t>NM</t>
  </si>
  <si>
    <t>OR</t>
  </si>
  <si>
    <t>TX</t>
  </si>
  <si>
    <t>MS</t>
  </si>
  <si>
    <t>WY</t>
  </si>
  <si>
    <t>FL</t>
  </si>
  <si>
    <t>KS</t>
  </si>
  <si>
    <t>NC</t>
  </si>
  <si>
    <t>SD</t>
  </si>
  <si>
    <t>OK</t>
  </si>
  <si>
    <t>CT</t>
  </si>
  <si>
    <t>RI</t>
  </si>
  <si>
    <t>DE</t>
  </si>
  <si>
    <t>UT</t>
  </si>
  <si>
    <t>NV</t>
  </si>
  <si>
    <t>DC</t>
  </si>
  <si>
    <t>ME</t>
  </si>
  <si>
    <t>IL</t>
  </si>
  <si>
    <t>NJ</t>
  </si>
  <si>
    <t>MD</t>
  </si>
  <si>
    <t>WV</t>
  </si>
  <si>
    <t>PA</t>
  </si>
  <si>
    <t>ND</t>
  </si>
  <si>
    <t>AR</t>
  </si>
  <si>
    <t>TN</t>
  </si>
  <si>
    <t>IA</t>
  </si>
  <si>
    <t>GA</t>
  </si>
  <si>
    <t>Customer State</t>
  </si>
  <si>
    <t>Churn Status</t>
  </si>
  <si>
    <t>Customer Type</t>
  </si>
  <si>
    <t>High Day Usage</t>
  </si>
  <si>
    <t>Risk Level</t>
  </si>
  <si>
    <t>Plan Status</t>
  </si>
  <si>
    <t>Service Issue</t>
  </si>
  <si>
    <t>SWITCH Result</t>
  </si>
  <si>
    <t>ISERROR</t>
  </si>
  <si>
    <t>ISBLANK</t>
  </si>
  <si>
    <t>ISNUMBER</t>
  </si>
  <si>
    <t>Area Code</t>
  </si>
  <si>
    <t>Region</t>
  </si>
  <si>
    <t>Area 408</t>
  </si>
  <si>
    <t>Area 415</t>
  </si>
  <si>
    <t>Area 510</t>
  </si>
  <si>
    <t>VLOOKUP Region</t>
  </si>
  <si>
    <t>XLOOKUP Region</t>
  </si>
  <si>
    <t>INDEX-MATCH Region</t>
  </si>
  <si>
    <t>Hlookup</t>
  </si>
  <si>
    <t>Customer Row</t>
  </si>
  <si>
    <t>Highest Day Minutes</t>
  </si>
  <si>
    <t>Offset</t>
  </si>
  <si>
    <t>DYNAMIC ARRAY ANALYSIS</t>
  </si>
  <si>
    <t>Unique Status</t>
  </si>
  <si>
    <t>Churned Customers</t>
  </si>
  <si>
    <t>Sorted Day Minutes</t>
  </si>
  <si>
    <t>Customer IDs</t>
  </si>
  <si>
    <t>TRIM</t>
  </si>
  <si>
    <t>CLEAN</t>
  </si>
  <si>
    <t>TRIM + CLEAN</t>
  </si>
  <si>
    <t>Substitute</t>
  </si>
  <si>
    <t>Blank Check</t>
  </si>
  <si>
    <t>Duplicate Check</t>
  </si>
  <si>
    <t>Original State</t>
  </si>
  <si>
    <t>DESCRIPTIVE STATISTICS</t>
  </si>
  <si>
    <t>Metric</t>
  </si>
  <si>
    <t>Account Lenth</t>
  </si>
  <si>
    <t>Day Minutes</t>
  </si>
  <si>
    <t>Day Calls</t>
  </si>
  <si>
    <t>Day Charge</t>
  </si>
  <si>
    <t>Eve Minutes</t>
  </si>
  <si>
    <t>Night Minutes</t>
  </si>
  <si>
    <t>Intl minutes</t>
  </si>
  <si>
    <t>Servie Calls</t>
  </si>
  <si>
    <t>Average</t>
  </si>
  <si>
    <t>median</t>
  </si>
  <si>
    <t>Total</t>
  </si>
  <si>
    <t>Mode</t>
  </si>
  <si>
    <t>Variance</t>
  </si>
  <si>
    <t>Standard Deviation</t>
  </si>
  <si>
    <t>Minimum</t>
  </si>
  <si>
    <t>Maximum</t>
  </si>
  <si>
    <t>CHUN ANALYSIS</t>
  </si>
  <si>
    <t>Total customers</t>
  </si>
  <si>
    <t>Churnrd customers</t>
  </si>
  <si>
    <t>Retained customers</t>
  </si>
  <si>
    <t>Churn rate</t>
  </si>
  <si>
    <t>CHURN BY INTERNATIONAL PLAN</t>
  </si>
  <si>
    <t>Plan</t>
  </si>
  <si>
    <t>Total Customers</t>
  </si>
  <si>
    <t>Churned</t>
  </si>
  <si>
    <t>Churn Rate</t>
  </si>
  <si>
    <t>SERVICE CALL ANALYSIS</t>
  </si>
  <si>
    <t>Service calls</t>
  </si>
  <si>
    <t>Customers</t>
  </si>
  <si>
    <t>CORRELATION ANALYSIS</t>
  </si>
  <si>
    <t>Variables</t>
  </si>
  <si>
    <t>correlation</t>
  </si>
  <si>
    <t>Day Minutes Vs Day Charge</t>
  </si>
  <si>
    <t>Eve Minutes Vs Eve Charge</t>
  </si>
  <si>
    <t>Night Minutes Vs Night Charge</t>
  </si>
  <si>
    <t>Intl Minutes Vs Intl Charge</t>
  </si>
  <si>
    <t>REGRESSION ANALYSIS</t>
  </si>
  <si>
    <t>Slope</t>
  </si>
  <si>
    <t>Intercept</t>
  </si>
  <si>
    <t>R-Squared</t>
  </si>
  <si>
    <t>Predicted Charge</t>
  </si>
  <si>
    <t>Churned Day Minutes</t>
  </si>
  <si>
    <t>Retained Day Minutes</t>
  </si>
  <si>
    <t>P-Value</t>
  </si>
  <si>
    <t>Chi_Square test</t>
  </si>
  <si>
    <t>International Plan</t>
  </si>
  <si>
    <t>Retained</t>
  </si>
  <si>
    <t>yes</t>
  </si>
  <si>
    <t>no</t>
  </si>
  <si>
    <t>CHURN WHAT-IF ANALYSIS</t>
  </si>
  <si>
    <t>Current Customers</t>
  </si>
  <si>
    <t>Current Churn Rate</t>
  </si>
  <si>
    <t>Target Churn Rate</t>
  </si>
  <si>
    <t>Required Churned Customers</t>
  </si>
  <si>
    <t>Row Labels</t>
  </si>
  <si>
    <t>FALSE</t>
  </si>
  <si>
    <t>TRUE</t>
  </si>
  <si>
    <t>Grand Total</t>
  </si>
  <si>
    <t>Sum of Customer service calls</t>
  </si>
  <si>
    <t>Count of Area code</t>
  </si>
  <si>
    <t>Sum of Total intl calls</t>
  </si>
  <si>
    <t>High Contact</t>
  </si>
  <si>
    <t>Low Contact</t>
  </si>
  <si>
    <t>Normal Contact</t>
  </si>
  <si>
    <t>Sum of Total day calls</t>
  </si>
  <si>
    <t>Sum of Total day charge</t>
  </si>
  <si>
    <t>Sum of Total eve minutes</t>
  </si>
  <si>
    <t>Sum of Total eve calls</t>
  </si>
  <si>
    <t>Sum of Total eve charge</t>
  </si>
  <si>
    <t>Sum of Total night minutes</t>
  </si>
  <si>
    <t>Sum of Total night calls</t>
  </si>
  <si>
    <t>Sum of Total night charge</t>
  </si>
  <si>
    <t>Sum of Total intl minutes</t>
  </si>
  <si>
    <t>Sum of Total intl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</si>
</sst>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17" fillId="33" borderId="10" xfId="0" applyFont="1" applyFill="1" applyBorder="1"/>
    <xf numFmtId="0" fontId="17" fillId="33" borderId="0" xfId="0" applyFont="1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9" fontId="0" fillId="0" borderId="0" xfId="42" applyFont="1"/>
    <xf numFmtId="0" fontId="0" fillId="33" borderId="0" xfId="0" applyFill="1"/>
    <xf numFmtId="9" fontId="0" fillId="0" borderId="10" xfId="42" applyFont="1" applyBorder="1"/>
    <xf numFmtId="9" fontId="0" fillId="0" borderId="10" xfId="0" applyNumberFormat="1" applyBorder="1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analysed.xlsx]Power_Pivot!PivotTable6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Power_Pivot!$J$59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Power_Pivot!$I$60:$I$111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Power_Pivot!$J$60:$J$111</c:f>
              <c:numCache>
                <c:formatCode>General</c:formatCode>
                <c:ptCount val="51"/>
                <c:pt idx="0">
                  <c:v>260.14999999999998</c:v>
                </c:pt>
                <c:pt idx="1">
                  <c:v>416.19</c:v>
                </c:pt>
                <c:pt idx="2">
                  <c:v>250.87</c:v>
                </c:pt>
                <c:pt idx="3">
                  <c:v>537.89</c:v>
                </c:pt>
                <c:pt idx="4">
                  <c:v>323.39999999999998</c:v>
                </c:pt>
                <c:pt idx="5">
                  <c:v>204.63</c:v>
                </c:pt>
                <c:pt idx="6">
                  <c:v>455.24</c:v>
                </c:pt>
                <c:pt idx="7">
                  <c:v>290.08</c:v>
                </c:pt>
                <c:pt idx="8">
                  <c:v>305.89</c:v>
                </c:pt>
                <c:pt idx="9">
                  <c:v>283.45</c:v>
                </c:pt>
                <c:pt idx="10">
                  <c:v>145.1</c:v>
                </c:pt>
                <c:pt idx="11">
                  <c:v>293.63</c:v>
                </c:pt>
                <c:pt idx="12">
                  <c:v>151.40999999999997</c:v>
                </c:pt>
                <c:pt idx="13">
                  <c:v>556.00999999999976</c:v>
                </c:pt>
                <c:pt idx="14">
                  <c:v>411.40000000000003</c:v>
                </c:pt>
                <c:pt idx="15">
                  <c:v>564.25</c:v>
                </c:pt>
                <c:pt idx="16">
                  <c:v>545.31000000000006</c:v>
                </c:pt>
                <c:pt idx="17">
                  <c:v>460.28999999999996</c:v>
                </c:pt>
                <c:pt idx="18">
                  <c:v>525.5</c:v>
                </c:pt>
                <c:pt idx="19">
                  <c:v>427.39</c:v>
                </c:pt>
                <c:pt idx="20">
                  <c:v>321.15000000000003</c:v>
                </c:pt>
                <c:pt idx="21">
                  <c:v>432.81999999999994</c:v>
                </c:pt>
                <c:pt idx="22">
                  <c:v>475.81</c:v>
                </c:pt>
                <c:pt idx="23">
                  <c:v>480.9899999999999</c:v>
                </c:pt>
                <c:pt idx="24">
                  <c:v>351.37</c:v>
                </c:pt>
                <c:pt idx="25">
                  <c:v>550.79</c:v>
                </c:pt>
                <c:pt idx="26">
                  <c:v>448.09</c:v>
                </c:pt>
                <c:pt idx="27">
                  <c:v>374.40000000000009</c:v>
                </c:pt>
                <c:pt idx="28">
                  <c:v>581.52</c:v>
                </c:pt>
                <c:pt idx="29">
                  <c:v>475.9199999999999</c:v>
                </c:pt>
                <c:pt idx="30">
                  <c:v>390.49</c:v>
                </c:pt>
                <c:pt idx="31">
                  <c:v>576.15</c:v>
                </c:pt>
                <c:pt idx="32">
                  <c:v>507.7</c:v>
                </c:pt>
                <c:pt idx="33">
                  <c:v>136.22</c:v>
                </c:pt>
                <c:pt idx="34">
                  <c:v>474.60000000000008</c:v>
                </c:pt>
                <c:pt idx="35">
                  <c:v>358.01</c:v>
                </c:pt>
                <c:pt idx="36">
                  <c:v>274.46000000000004</c:v>
                </c:pt>
                <c:pt idx="37">
                  <c:v>541.28</c:v>
                </c:pt>
                <c:pt idx="38">
                  <c:v>240.28</c:v>
                </c:pt>
                <c:pt idx="39">
                  <c:v>428.59000000000003</c:v>
                </c:pt>
                <c:pt idx="40">
                  <c:v>343.86000000000007</c:v>
                </c:pt>
                <c:pt idx="41">
                  <c:v>340.45000000000005</c:v>
                </c:pt>
                <c:pt idx="42">
                  <c:v>309.27</c:v>
                </c:pt>
                <c:pt idx="43">
                  <c:v>529.12</c:v>
                </c:pt>
                <c:pt idx="44">
                  <c:v>374.5</c:v>
                </c:pt>
                <c:pt idx="45">
                  <c:v>280.49</c:v>
                </c:pt>
                <c:pt idx="46">
                  <c:v>484.64999999999992</c:v>
                </c:pt>
                <c:pt idx="47">
                  <c:v>573.71</c:v>
                </c:pt>
                <c:pt idx="48">
                  <c:v>552.4899999999999</c:v>
                </c:pt>
                <c:pt idx="49">
                  <c:v>561.29999999999995</c:v>
                </c:pt>
                <c:pt idx="50">
                  <c:v>339.54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F-4732-8B15-A81F43DBD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812063"/>
        <c:axId val="318517871"/>
      </c:barChart>
      <c:catAx>
        <c:axId val="31281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17871"/>
        <c:crosses val="autoZero"/>
        <c:auto val="1"/>
        <c:lblAlgn val="ctr"/>
        <c:lblOffset val="100"/>
        <c:noMultiLvlLbl val="0"/>
      </c:catAx>
      <c:valAx>
        <c:axId val="3185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81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152400</xdr:rowOff>
    </xdr:from>
    <xdr:to>
      <xdr:col>11</xdr:col>
      <xdr:colOff>38100</xdr:colOff>
      <xdr:row>22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8BF7E-4752-46C2-945F-1A0DE6EF4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1</xdr:row>
      <xdr:rowOff>171450</xdr:rowOff>
    </xdr:from>
    <xdr:to>
      <xdr:col>2</xdr:col>
      <xdr:colOff>533400</xdr:colOff>
      <xdr:row>7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B7D6B01-5882-9412-DED1-DB11BE94150F}"/>
            </a:ext>
          </a:extLst>
        </xdr:cNvPr>
        <xdr:cNvSpPr/>
      </xdr:nvSpPr>
      <xdr:spPr>
        <a:xfrm>
          <a:off x="142875" y="361950"/>
          <a:ext cx="1609725" cy="971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 Day Minutes</a:t>
          </a:r>
        </a:p>
        <a:p>
          <a:pPr algn="l"/>
          <a:r>
            <a:rPr lang="en-US" sz="1800">
              <a:effectLst/>
            </a:rPr>
            <a:t> </a:t>
          </a:r>
          <a:r>
            <a:rPr lang="en-US" sz="18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186.1</a:t>
          </a:r>
          <a:r>
            <a:rPr lang="en-US" sz="1800" b="1">
              <a:solidFill>
                <a:sysClr val="windowText" lastClr="000000"/>
              </a:solidFill>
              <a:effectLst/>
            </a:rPr>
            <a:t> 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523875</xdr:colOff>
      <xdr:row>1</xdr:row>
      <xdr:rowOff>180975</xdr:rowOff>
    </xdr:from>
    <xdr:to>
      <xdr:col>6</xdr:col>
      <xdr:colOff>304800</xdr:colOff>
      <xdr:row>7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27CBFB8-C9D9-4E7D-9906-5AD53227EADC}"/>
            </a:ext>
          </a:extLst>
        </xdr:cNvPr>
        <xdr:cNvSpPr/>
      </xdr:nvSpPr>
      <xdr:spPr>
        <a:xfrm>
          <a:off x="2352675" y="371475"/>
          <a:ext cx="1609725" cy="9810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</a:t>
          </a:r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Day Calls</a:t>
          </a:r>
          <a:r>
            <a:rPr lang="en-US" sz="1600">
              <a:effectLst/>
            </a:rPr>
            <a:t>  </a:t>
          </a:r>
          <a:endParaRPr lang="en-US" sz="16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8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100.9370315</a:t>
          </a:r>
          <a:r>
            <a:rPr lang="en-US" sz="1600">
              <a:effectLst/>
            </a:rPr>
            <a:t> </a:t>
          </a:r>
          <a:endParaRPr lang="en-US" sz="16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228600</xdr:colOff>
      <xdr:row>2</xdr:row>
      <xdr:rowOff>47625</xdr:rowOff>
    </xdr:from>
    <xdr:to>
      <xdr:col>10</xdr:col>
      <xdr:colOff>9525</xdr:colOff>
      <xdr:row>7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12D190D-84BB-46AE-9CA6-DA311B836E1B}"/>
            </a:ext>
          </a:extLst>
        </xdr:cNvPr>
        <xdr:cNvSpPr/>
      </xdr:nvSpPr>
      <xdr:spPr>
        <a:xfrm>
          <a:off x="4495800" y="428625"/>
          <a:ext cx="1609725" cy="1019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US" sz="1600">
              <a:effectLst/>
            </a:rPr>
            <a:t> </a:t>
          </a:r>
        </a:p>
        <a:p>
          <a:pPr algn="l"/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Eve Minutes</a:t>
          </a:r>
          <a:r>
            <a:rPr lang="en-US" sz="1600">
              <a:effectLst/>
            </a:rPr>
            <a:t> </a:t>
          </a:r>
          <a:r>
            <a:rPr lang="en-US" sz="18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203.3553223</a:t>
          </a:r>
          <a:r>
            <a:rPr lang="en-US" sz="1600">
              <a:effectLst/>
            </a:rPr>
            <a:t> </a:t>
          </a:r>
          <a:endParaRPr lang="en-US" sz="1600"/>
        </a:p>
      </xdr:txBody>
    </xdr:sp>
    <xdr:clientData/>
  </xdr:twoCellAnchor>
  <xdr:twoCellAnchor>
    <xdr:from>
      <xdr:col>11</xdr:col>
      <xdr:colOff>123825</xdr:colOff>
      <xdr:row>2</xdr:row>
      <xdr:rowOff>57150</xdr:rowOff>
    </xdr:from>
    <xdr:to>
      <xdr:col>13</xdr:col>
      <xdr:colOff>514350</xdr:colOff>
      <xdr:row>7</xdr:row>
      <xdr:rowOff>85725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8ECFD42-55F0-49FA-947D-2881382BD2CC}"/>
            </a:ext>
          </a:extLst>
        </xdr:cNvPr>
        <xdr:cNvSpPr/>
      </xdr:nvSpPr>
      <xdr:spPr>
        <a:xfrm>
          <a:off x="6829425" y="438150"/>
          <a:ext cx="1609725" cy="9810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</a:t>
          </a:r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Night Minutes</a:t>
          </a:r>
        </a:p>
        <a:p>
          <a:pPr algn="l"/>
          <a:r>
            <a:rPr lang="en-US" sz="18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100.4767616</a:t>
          </a:r>
          <a:r>
            <a:rPr lang="en-US" sz="1600" b="1">
              <a:solidFill>
                <a:sysClr val="windowText" lastClr="000000"/>
              </a:solidFill>
              <a:effectLst/>
            </a:rPr>
            <a:t> </a:t>
          </a:r>
          <a:r>
            <a:rPr lang="en-US" sz="1600">
              <a:effectLst/>
            </a:rPr>
            <a:t> </a:t>
          </a:r>
          <a:endParaRPr lang="en-US" sz="1600"/>
        </a:p>
      </xdr:txBody>
    </xdr:sp>
    <xdr:clientData/>
  </xdr:twoCellAnchor>
  <xdr:twoCellAnchor>
    <xdr:from>
      <xdr:col>15</xdr:col>
      <xdr:colOff>47625</xdr:colOff>
      <xdr:row>1</xdr:row>
      <xdr:rowOff>171450</xdr:rowOff>
    </xdr:from>
    <xdr:to>
      <xdr:col>17</xdr:col>
      <xdr:colOff>438150</xdr:colOff>
      <xdr:row>7</xdr:row>
      <xdr:rowOff>28575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4DB581F-A623-4FC0-AB82-23B0B07B68D2}"/>
            </a:ext>
          </a:extLst>
        </xdr:cNvPr>
        <xdr:cNvSpPr/>
      </xdr:nvSpPr>
      <xdr:spPr>
        <a:xfrm>
          <a:off x="9191625" y="361950"/>
          <a:ext cx="1609725" cy="10001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Servie Calls</a:t>
          </a:r>
        </a:p>
        <a:p>
          <a:pPr algn="l"/>
          <a:r>
            <a:rPr lang="en-US" sz="18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199.6853073</a:t>
          </a:r>
          <a:r>
            <a:rPr lang="en-US" sz="1600">
              <a:effectLst/>
            </a:rPr>
            <a:t>  </a:t>
          </a:r>
          <a:endParaRPr lang="en-US" sz="16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033013541666" createdVersion="8" refreshedVersion="8" minRefreshableVersion="3" recordCount="667" xr:uid="{91AF4BB5-0ACB-4437-AF7F-FEA54EC532CE}">
  <cacheSource type="worksheet">
    <worksheetSource name="Table13"/>
  </cacheSource>
  <cacheFields count="20">
    <cacheField name="State" numFmtId="0">
      <sharedItems count="51">
        <s v="LA"/>
        <s v="IN"/>
        <s v="NY"/>
        <s v="SC"/>
        <s v="HI"/>
        <s v="AK"/>
        <s v="MI"/>
        <s v="ID"/>
        <s v="VA"/>
        <s v="WI"/>
        <s v="MN"/>
        <s v="VT"/>
        <s v="MT"/>
        <s v="MA"/>
        <s v="KY"/>
        <s v="CO"/>
        <s v="AZ"/>
        <s v="CA"/>
        <s v="WA"/>
        <s v="NE"/>
        <s v="OH"/>
        <s v="MO"/>
        <s v="AL"/>
        <s v="NH"/>
        <s v="NM"/>
        <s v="OR"/>
        <s v="TX"/>
        <s v="MS"/>
        <s v="WY"/>
        <s v="FL"/>
        <s v="KS"/>
        <s v="NC"/>
        <s v="SD"/>
        <s v="OK"/>
        <s v="CT"/>
        <s v="RI"/>
        <s v="DE"/>
        <s v="UT"/>
        <s v="NV"/>
        <s v="DC"/>
        <s v="ME"/>
        <s v="IL"/>
        <s v="NJ"/>
        <s v="MD"/>
        <s v="WV"/>
        <s v="PA"/>
        <s v="ND"/>
        <s v="AR"/>
        <s v="TN"/>
        <s v="IA"/>
        <s v="GA"/>
      </sharedItems>
    </cacheField>
    <cacheField name="Account length" numFmtId="0">
      <sharedItems containsSemiMixedTypes="0" containsString="0" containsNumber="1" containsInteger="1" minValue="1" maxValue="232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No"/>
        <s v="Yes"/>
      </sharedItems>
    </cacheField>
    <cacheField name="Number vmail messages" numFmtId="0">
      <sharedItems containsSemiMixedTypes="0" containsString="0" containsNumber="1" containsInteger="1" minValue="0" maxValue="51"/>
    </cacheField>
    <cacheField name="Total day minutes" numFmtId="0">
      <sharedItems containsSemiMixedTypes="0" containsString="0" containsNumber="1" minValue="25.9" maxValue="334.3"/>
    </cacheField>
    <cacheField name="Total day calls" numFmtId="0">
      <sharedItems containsSemiMixedTypes="0" containsString="0" containsNumber="1" containsInteger="1" minValue="30" maxValue="165"/>
    </cacheField>
    <cacheField name="Total day charge" numFmtId="0">
      <sharedItems containsSemiMixedTypes="0" containsString="0" containsNumber="1" minValue="4.4000000000000004" maxValue="56.83"/>
    </cacheField>
    <cacheField name="Total eve minutes" numFmtId="0">
      <sharedItems containsSemiMixedTypes="0" containsString="0" containsNumber="1" minValue="48.1" maxValue="361.8"/>
    </cacheField>
    <cacheField name="Total eve calls" numFmtId="0">
      <sharedItems containsSemiMixedTypes="0" containsString="0" containsNumber="1" containsInteger="1" minValue="37" maxValue="168"/>
    </cacheField>
    <cacheField name="Total eve charge" numFmtId="0">
      <sharedItems containsSemiMixedTypes="0" containsString="0" containsNumber="1" minValue="4.09" maxValue="30.75"/>
    </cacheField>
    <cacheField name="Total night minutes" numFmtId="0">
      <sharedItems containsSemiMixedTypes="0" containsString="0" containsNumber="1" minValue="23.2" maxValue="367.7"/>
    </cacheField>
    <cacheField name="Total night calls" numFmtId="0">
      <sharedItems containsSemiMixedTypes="0" containsString="0" containsNumber="1" containsInteger="1" minValue="42" maxValue="175"/>
    </cacheField>
    <cacheField name="Total night charge" numFmtId="0">
      <sharedItems containsSemiMixedTypes="0" containsString="0" containsNumber="1" minValue="1.04" maxValue="16.55"/>
    </cacheField>
    <cacheField name="Total intl minutes" numFmtId="0">
      <sharedItems containsSemiMixedTypes="0" containsString="0" containsNumber="1" minValue="0" maxValue="18.3"/>
    </cacheField>
    <cacheField name="Total intl calls" numFmtId="0">
      <sharedItems containsSemiMixedTypes="0" containsString="0" containsNumber="1" containsInteger="1" minValue="0" maxValue="18"/>
    </cacheField>
    <cacheField name="Total intl charge" numFmtId="0">
      <sharedItems containsSemiMixedTypes="0" containsString="0" containsNumber="1" minValue="0" maxValue="4.9400000000000004"/>
    </cacheField>
    <cacheField name="Customer service calls" numFmtId="0">
      <sharedItems containsSemiMixedTypes="0" containsString="0" containsNumber="1" containsInteger="1" minValue="0" maxValue="8" count="9">
        <n v="1"/>
        <n v="4"/>
        <n v="2"/>
        <n v="0"/>
        <n v="3"/>
        <n v="5"/>
        <n v="6"/>
        <n v="8"/>
        <n v="7"/>
      </sharedItems>
    </cacheField>
    <cacheField name="Churn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039230902781" createdVersion="8" refreshedVersion="8" minRefreshableVersion="3" recordCount="667" xr:uid="{B860E70E-A9E3-420A-A416-B9DB70166CA8}">
  <cacheSource type="worksheet">
    <worksheetSource name="Table3"/>
  </cacheSource>
  <cacheFields count="12">
    <cacheField name="Customer State" numFmtId="0">
      <sharedItems count="51">
        <s v="LA"/>
        <s v="IN"/>
        <s v="NY"/>
        <s v="SC"/>
        <s v="HI"/>
        <s v="AK"/>
        <s v="MI"/>
        <s v="ID"/>
        <s v="VA"/>
        <s v="WI"/>
        <s v="MN"/>
        <s v="VT"/>
        <s v="MT"/>
        <s v="MA"/>
        <s v="KY"/>
        <s v="CO"/>
        <s v="AZ"/>
        <s v="CA"/>
        <s v="WA"/>
        <s v="NE"/>
        <s v="OH"/>
        <s v="MO"/>
        <s v="AL"/>
        <s v="NH"/>
        <s v="NM"/>
        <s v="OR"/>
        <s v="TX"/>
        <s v="MS"/>
        <s v="WY"/>
        <s v="FL"/>
        <s v="KS"/>
        <s v="NC"/>
        <s v="SD"/>
        <s v="OK"/>
        <s v="CT"/>
        <s v="RI"/>
        <s v="DE"/>
        <s v="UT"/>
        <s v="NV"/>
        <s v="DC"/>
        <s v="ME"/>
        <s v="IL"/>
        <s v="NJ"/>
        <s v="MD"/>
        <s v="WV"/>
        <s v="PA"/>
        <s v="ND"/>
        <s v="AR"/>
        <s v="TN"/>
        <s v="IA"/>
        <s v="GA"/>
      </sharedItems>
    </cacheField>
    <cacheField name="Churn" numFmtId="0">
      <sharedItems/>
    </cacheField>
    <cacheField name="Churn Status" numFmtId="0">
      <sharedItems count="2">
        <s v="Retained"/>
        <s v="Churned"/>
      </sharedItems>
    </cacheField>
    <cacheField name="Customer Type" numFmtId="0">
      <sharedItems count="3">
        <s v="Normal Contact"/>
        <s v="High Contact"/>
        <s v="Low Contact"/>
      </sharedItems>
    </cacheField>
    <cacheField name="High Day Usage" numFmtId="0">
      <sharedItems/>
    </cacheField>
    <cacheField name="Risk Level" numFmtId="0">
      <sharedItems count="3">
        <s v="Low Risk"/>
        <s v="High Risk"/>
        <s v="Medium Risk"/>
      </sharedItems>
    </cacheField>
    <cacheField name="Plan Status" numFmtId="0">
      <sharedItems count="2">
        <s v="No Special Plan"/>
        <s v="Has Plan"/>
      </sharedItems>
    </cacheField>
    <cacheField name="Service Issue" numFmtId="0">
      <sharedItems count="2">
        <s v="Normal Service Contact"/>
        <s v="Frequent Service Contact"/>
      </sharedItems>
    </cacheField>
    <cacheField name="SWITCH Result" numFmtId="0">
      <sharedItems/>
    </cacheField>
    <cacheField name="ISERROR" numFmtId="0">
      <sharedItems/>
    </cacheField>
    <cacheField name="ISBLANK" numFmtId="0">
      <sharedItems/>
    </cacheField>
    <cacheField name="ISN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7">
  <r>
    <x v="0"/>
    <n v="117"/>
    <n v="408"/>
    <x v="0"/>
    <x v="0"/>
    <n v="0"/>
    <n v="184.5"/>
    <n v="97"/>
    <n v="31.37"/>
    <n v="351.6"/>
    <n v="80"/>
    <n v="29.89"/>
    <n v="215.8"/>
    <n v="90"/>
    <n v="9.7100000000000009"/>
    <n v="8.6999999999999993"/>
    <n v="4"/>
    <n v="2.35"/>
    <x v="0"/>
    <x v="0"/>
  </r>
  <r>
    <x v="1"/>
    <n v="65"/>
    <n v="415"/>
    <x v="0"/>
    <x v="0"/>
    <n v="0"/>
    <n v="129.1"/>
    <n v="137"/>
    <n v="21.95"/>
    <n v="228.5"/>
    <n v="83"/>
    <n v="19.420000000000002"/>
    <n v="208.8"/>
    <n v="111"/>
    <n v="9.4"/>
    <n v="12.7"/>
    <n v="6"/>
    <n v="3.43"/>
    <x v="1"/>
    <x v="1"/>
  </r>
  <r>
    <x v="2"/>
    <n v="161"/>
    <n v="415"/>
    <x v="0"/>
    <x v="0"/>
    <n v="0"/>
    <n v="332.9"/>
    <n v="67"/>
    <n v="56.59"/>
    <n v="317.8"/>
    <n v="97"/>
    <n v="27.01"/>
    <n v="160.6"/>
    <n v="128"/>
    <n v="7.23"/>
    <n v="5.4"/>
    <n v="9"/>
    <n v="1.46"/>
    <x v="1"/>
    <x v="1"/>
  </r>
  <r>
    <x v="3"/>
    <n v="111"/>
    <n v="415"/>
    <x v="0"/>
    <x v="0"/>
    <n v="0"/>
    <n v="110.4"/>
    <n v="103"/>
    <n v="18.77"/>
    <n v="137.30000000000001"/>
    <n v="102"/>
    <n v="11.67"/>
    <n v="189.6"/>
    <n v="105"/>
    <n v="8.5299999999999994"/>
    <n v="7.7"/>
    <n v="6"/>
    <n v="2.08"/>
    <x v="2"/>
    <x v="0"/>
  </r>
  <r>
    <x v="4"/>
    <n v="49"/>
    <n v="510"/>
    <x v="0"/>
    <x v="0"/>
    <n v="0"/>
    <n v="119.3"/>
    <n v="117"/>
    <n v="20.28"/>
    <n v="215.1"/>
    <n v="109"/>
    <n v="18.28"/>
    <n v="178.7"/>
    <n v="90"/>
    <n v="8.0399999999999991"/>
    <n v="11.1"/>
    <n v="1"/>
    <n v="3"/>
    <x v="0"/>
    <x v="0"/>
  </r>
  <r>
    <x v="5"/>
    <n v="36"/>
    <n v="408"/>
    <x v="0"/>
    <x v="1"/>
    <n v="30"/>
    <n v="146.30000000000001"/>
    <n v="128"/>
    <n v="24.87"/>
    <n v="162.5"/>
    <n v="80"/>
    <n v="13.81"/>
    <n v="129.30000000000001"/>
    <n v="109"/>
    <n v="5.82"/>
    <n v="14.5"/>
    <n v="6"/>
    <n v="3.92"/>
    <x v="3"/>
    <x v="0"/>
  </r>
  <r>
    <x v="6"/>
    <n v="65"/>
    <n v="415"/>
    <x v="0"/>
    <x v="0"/>
    <n v="0"/>
    <n v="211.3"/>
    <n v="120"/>
    <n v="35.92"/>
    <n v="162.6"/>
    <n v="122"/>
    <n v="13.82"/>
    <n v="134.69999999999999"/>
    <n v="118"/>
    <n v="6.06"/>
    <n v="13.2"/>
    <n v="5"/>
    <n v="3.56"/>
    <x v="4"/>
    <x v="0"/>
  </r>
  <r>
    <x v="7"/>
    <n v="119"/>
    <n v="415"/>
    <x v="0"/>
    <x v="0"/>
    <n v="0"/>
    <n v="159.1"/>
    <n v="114"/>
    <n v="27.05"/>
    <n v="231.3"/>
    <n v="117"/>
    <n v="19.66"/>
    <n v="143.19999999999999"/>
    <n v="91"/>
    <n v="6.44"/>
    <n v="8.8000000000000007"/>
    <n v="3"/>
    <n v="2.38"/>
    <x v="5"/>
    <x v="1"/>
  </r>
  <r>
    <x v="8"/>
    <n v="10"/>
    <n v="408"/>
    <x v="0"/>
    <x v="0"/>
    <n v="0"/>
    <n v="186.1"/>
    <n v="112"/>
    <n v="31.64"/>
    <n v="190.2"/>
    <n v="66"/>
    <n v="16.170000000000002"/>
    <n v="282.8"/>
    <n v="57"/>
    <n v="12.73"/>
    <n v="11.4"/>
    <n v="6"/>
    <n v="3.08"/>
    <x v="2"/>
    <x v="0"/>
  </r>
  <r>
    <x v="9"/>
    <n v="68"/>
    <n v="415"/>
    <x v="0"/>
    <x v="0"/>
    <n v="0"/>
    <n v="148.80000000000001"/>
    <n v="70"/>
    <n v="25.3"/>
    <n v="246.5"/>
    <n v="164"/>
    <n v="20.95"/>
    <n v="129.80000000000001"/>
    <n v="103"/>
    <n v="5.84"/>
    <n v="12.1"/>
    <n v="3"/>
    <n v="3.27"/>
    <x v="4"/>
    <x v="0"/>
  </r>
  <r>
    <x v="10"/>
    <n v="74"/>
    <n v="510"/>
    <x v="0"/>
    <x v="1"/>
    <n v="33"/>
    <n v="193.7"/>
    <n v="91"/>
    <n v="32.93"/>
    <n v="246.1"/>
    <n v="96"/>
    <n v="20.92"/>
    <n v="138"/>
    <n v="92"/>
    <n v="6.21"/>
    <n v="14.6"/>
    <n v="3"/>
    <n v="3.94"/>
    <x v="2"/>
    <x v="0"/>
  </r>
  <r>
    <x v="4"/>
    <n v="85"/>
    <n v="415"/>
    <x v="0"/>
    <x v="0"/>
    <n v="0"/>
    <n v="235.8"/>
    <n v="109"/>
    <n v="40.090000000000003"/>
    <n v="157.19999999999999"/>
    <n v="94"/>
    <n v="13.36"/>
    <n v="188.2"/>
    <n v="99"/>
    <n v="8.4700000000000006"/>
    <n v="12"/>
    <n v="3"/>
    <n v="3.24"/>
    <x v="3"/>
    <x v="0"/>
  </r>
  <r>
    <x v="10"/>
    <n v="46"/>
    <n v="415"/>
    <x v="0"/>
    <x v="0"/>
    <n v="0"/>
    <n v="214.1"/>
    <n v="72"/>
    <n v="36.4"/>
    <n v="164.4"/>
    <n v="104"/>
    <n v="13.97"/>
    <n v="177.5"/>
    <n v="113"/>
    <n v="7.99"/>
    <n v="8.1999999999999993"/>
    <n v="3"/>
    <n v="2.21"/>
    <x v="2"/>
    <x v="0"/>
  </r>
  <r>
    <x v="11"/>
    <n v="128"/>
    <n v="510"/>
    <x v="0"/>
    <x v="1"/>
    <n v="29"/>
    <n v="179.3"/>
    <n v="104"/>
    <n v="30.48"/>
    <n v="225.9"/>
    <n v="86"/>
    <n v="19.2"/>
    <n v="323"/>
    <n v="78"/>
    <n v="14.54"/>
    <n v="8.6"/>
    <n v="7"/>
    <n v="2.3199999999999998"/>
    <x v="3"/>
    <x v="0"/>
  </r>
  <r>
    <x v="0"/>
    <n v="155"/>
    <n v="415"/>
    <x v="0"/>
    <x v="0"/>
    <n v="0"/>
    <n v="203.4"/>
    <n v="100"/>
    <n v="34.58"/>
    <n v="190.9"/>
    <n v="104"/>
    <n v="16.23"/>
    <n v="196"/>
    <n v="119"/>
    <n v="8.82"/>
    <n v="8.9"/>
    <n v="4"/>
    <n v="2.4"/>
    <x v="3"/>
    <x v="1"/>
  </r>
  <r>
    <x v="12"/>
    <n v="73"/>
    <n v="415"/>
    <x v="0"/>
    <x v="0"/>
    <n v="0"/>
    <n v="160.1"/>
    <n v="110"/>
    <n v="27.22"/>
    <n v="213.3"/>
    <n v="72"/>
    <n v="18.13"/>
    <n v="174.1"/>
    <n v="72"/>
    <n v="7.83"/>
    <n v="13"/>
    <n v="4"/>
    <n v="3.51"/>
    <x v="3"/>
    <x v="0"/>
  </r>
  <r>
    <x v="7"/>
    <n v="77"/>
    <n v="415"/>
    <x v="0"/>
    <x v="0"/>
    <n v="0"/>
    <n v="251.8"/>
    <n v="72"/>
    <n v="42.81"/>
    <n v="205.7"/>
    <n v="126"/>
    <n v="17.48"/>
    <n v="275.2"/>
    <n v="109"/>
    <n v="12.38"/>
    <n v="9.8000000000000007"/>
    <n v="7"/>
    <n v="2.65"/>
    <x v="2"/>
    <x v="1"/>
  </r>
  <r>
    <x v="13"/>
    <n v="108"/>
    <n v="415"/>
    <x v="0"/>
    <x v="0"/>
    <n v="0"/>
    <n v="178.3"/>
    <n v="137"/>
    <n v="30.31"/>
    <n v="189"/>
    <n v="76"/>
    <n v="16.07"/>
    <n v="129.1"/>
    <n v="102"/>
    <n v="5.81"/>
    <n v="14.6"/>
    <n v="5"/>
    <n v="3.94"/>
    <x v="3"/>
    <x v="0"/>
  </r>
  <r>
    <x v="14"/>
    <n v="95"/>
    <n v="408"/>
    <x v="0"/>
    <x v="0"/>
    <n v="0"/>
    <n v="135"/>
    <n v="99"/>
    <n v="22.95"/>
    <n v="183.6"/>
    <n v="106"/>
    <n v="15.61"/>
    <n v="245.3"/>
    <n v="102"/>
    <n v="11.04"/>
    <n v="12.5"/>
    <n v="9"/>
    <n v="3.38"/>
    <x v="0"/>
    <x v="0"/>
  </r>
  <r>
    <x v="6"/>
    <n v="36"/>
    <n v="510"/>
    <x v="0"/>
    <x v="1"/>
    <n v="29"/>
    <n v="281.39999999999998"/>
    <n v="102"/>
    <n v="47.84"/>
    <n v="202.2"/>
    <n v="76"/>
    <n v="17.190000000000001"/>
    <n v="187.2"/>
    <n v="113"/>
    <n v="8.42"/>
    <n v="9"/>
    <n v="6"/>
    <n v="2.4300000000000002"/>
    <x v="2"/>
    <x v="0"/>
  </r>
  <r>
    <x v="15"/>
    <n v="141"/>
    <n v="415"/>
    <x v="0"/>
    <x v="1"/>
    <n v="32"/>
    <n v="148.6"/>
    <n v="91"/>
    <n v="25.26"/>
    <n v="131.1"/>
    <n v="97"/>
    <n v="11.14"/>
    <n v="219.4"/>
    <n v="142"/>
    <n v="9.8699999999999992"/>
    <n v="10.1"/>
    <n v="1"/>
    <n v="2.73"/>
    <x v="0"/>
    <x v="0"/>
  </r>
  <r>
    <x v="16"/>
    <n v="63"/>
    <n v="415"/>
    <x v="0"/>
    <x v="0"/>
    <n v="0"/>
    <n v="58.9"/>
    <n v="125"/>
    <n v="10.01"/>
    <n v="169.6"/>
    <n v="59"/>
    <n v="14.42"/>
    <n v="211.4"/>
    <n v="88"/>
    <n v="9.51"/>
    <n v="9.4"/>
    <n v="3"/>
    <n v="2.54"/>
    <x v="0"/>
    <x v="0"/>
  </r>
  <r>
    <x v="7"/>
    <n v="97"/>
    <n v="408"/>
    <x v="0"/>
    <x v="0"/>
    <n v="0"/>
    <n v="239.8"/>
    <n v="125"/>
    <n v="40.770000000000003"/>
    <n v="214.8"/>
    <n v="111"/>
    <n v="18.260000000000002"/>
    <n v="143.30000000000001"/>
    <n v="81"/>
    <n v="6.45"/>
    <n v="8.6999999999999993"/>
    <n v="5"/>
    <n v="2.35"/>
    <x v="2"/>
    <x v="0"/>
  </r>
  <r>
    <x v="17"/>
    <n v="75"/>
    <n v="408"/>
    <x v="0"/>
    <x v="0"/>
    <n v="0"/>
    <n v="166.3"/>
    <n v="125"/>
    <n v="28.27"/>
    <n v="158.19999999999999"/>
    <n v="86"/>
    <n v="13.45"/>
    <n v="256.7"/>
    <n v="80"/>
    <n v="11.55"/>
    <n v="6.1"/>
    <n v="5"/>
    <n v="1.65"/>
    <x v="0"/>
    <x v="0"/>
  </r>
  <r>
    <x v="18"/>
    <n v="127"/>
    <n v="408"/>
    <x v="0"/>
    <x v="0"/>
    <n v="0"/>
    <n v="146.69999999999999"/>
    <n v="91"/>
    <n v="24.94"/>
    <n v="203.5"/>
    <n v="78"/>
    <n v="17.3"/>
    <n v="203.4"/>
    <n v="110"/>
    <n v="9.15"/>
    <n v="13.7"/>
    <n v="3"/>
    <n v="3.7"/>
    <x v="0"/>
    <x v="0"/>
  </r>
  <r>
    <x v="0"/>
    <n v="121"/>
    <n v="408"/>
    <x v="0"/>
    <x v="0"/>
    <n v="0"/>
    <n v="181.5"/>
    <n v="121"/>
    <n v="30.86"/>
    <n v="218.4"/>
    <n v="98"/>
    <n v="18.559999999999999"/>
    <n v="161.6"/>
    <n v="103"/>
    <n v="7.27"/>
    <n v="8.5"/>
    <n v="5"/>
    <n v="2.2999999999999998"/>
    <x v="0"/>
    <x v="0"/>
  </r>
  <r>
    <x v="19"/>
    <n v="117"/>
    <n v="415"/>
    <x v="0"/>
    <x v="0"/>
    <n v="0"/>
    <n v="102.8"/>
    <n v="119"/>
    <n v="17.48"/>
    <n v="206.7"/>
    <n v="91"/>
    <n v="17.57"/>
    <n v="299"/>
    <n v="105"/>
    <n v="13.46"/>
    <n v="10.1"/>
    <n v="7"/>
    <n v="2.73"/>
    <x v="0"/>
    <x v="0"/>
  </r>
  <r>
    <x v="20"/>
    <n v="65"/>
    <n v="408"/>
    <x v="0"/>
    <x v="0"/>
    <n v="0"/>
    <n v="187.9"/>
    <n v="116"/>
    <n v="31.94"/>
    <n v="157.6"/>
    <n v="117"/>
    <n v="13.4"/>
    <n v="227.3"/>
    <n v="86"/>
    <n v="10.23"/>
    <n v="7.5"/>
    <n v="6"/>
    <n v="2.0299999999999998"/>
    <x v="0"/>
    <x v="0"/>
  </r>
  <r>
    <x v="21"/>
    <n v="6"/>
    <n v="510"/>
    <x v="0"/>
    <x v="0"/>
    <n v="0"/>
    <n v="183.6"/>
    <n v="117"/>
    <n v="31.21"/>
    <n v="256.7"/>
    <n v="72"/>
    <n v="21.82"/>
    <n v="178.6"/>
    <n v="79"/>
    <n v="8.0399999999999991"/>
    <n v="10.199999999999999"/>
    <n v="2"/>
    <n v="2.75"/>
    <x v="0"/>
    <x v="0"/>
  </r>
  <r>
    <x v="22"/>
    <n v="32"/>
    <n v="510"/>
    <x v="0"/>
    <x v="0"/>
    <n v="0"/>
    <n v="230.9"/>
    <n v="87"/>
    <n v="39.25"/>
    <n v="187.4"/>
    <n v="90"/>
    <n v="15.93"/>
    <n v="154"/>
    <n v="53"/>
    <n v="6.93"/>
    <n v="6.3"/>
    <n v="2"/>
    <n v="1.7"/>
    <x v="3"/>
    <x v="0"/>
  </r>
  <r>
    <x v="23"/>
    <n v="64"/>
    <n v="408"/>
    <x v="0"/>
    <x v="1"/>
    <n v="27"/>
    <n v="182.1"/>
    <n v="91"/>
    <n v="30.96"/>
    <n v="169.7"/>
    <n v="98"/>
    <n v="14.42"/>
    <n v="164.7"/>
    <n v="86"/>
    <n v="7.41"/>
    <n v="10.6"/>
    <n v="5"/>
    <n v="2.86"/>
    <x v="2"/>
    <x v="0"/>
  </r>
  <r>
    <x v="24"/>
    <n v="25"/>
    <n v="415"/>
    <x v="0"/>
    <x v="0"/>
    <n v="0"/>
    <n v="119.3"/>
    <n v="87"/>
    <n v="20.28"/>
    <n v="211.5"/>
    <n v="101"/>
    <n v="17.98"/>
    <n v="268.89999999999998"/>
    <n v="86"/>
    <n v="12.1"/>
    <n v="10.5"/>
    <n v="4"/>
    <n v="2.84"/>
    <x v="4"/>
    <x v="0"/>
  </r>
  <r>
    <x v="25"/>
    <n v="65"/>
    <n v="415"/>
    <x v="0"/>
    <x v="0"/>
    <n v="0"/>
    <n v="116.8"/>
    <n v="87"/>
    <n v="19.86"/>
    <n v="178.9"/>
    <n v="93"/>
    <n v="15.21"/>
    <n v="182.4"/>
    <n v="150"/>
    <n v="8.2100000000000009"/>
    <n v="14.1"/>
    <n v="2"/>
    <n v="3.81"/>
    <x v="0"/>
    <x v="0"/>
  </r>
  <r>
    <x v="6"/>
    <n v="127"/>
    <n v="415"/>
    <x v="0"/>
    <x v="0"/>
    <n v="0"/>
    <n v="202.1"/>
    <n v="103"/>
    <n v="34.36"/>
    <n v="229.4"/>
    <n v="86"/>
    <n v="19.5"/>
    <n v="195.2"/>
    <n v="113"/>
    <n v="8.7799999999999994"/>
    <n v="11.5"/>
    <n v="3"/>
    <n v="3.11"/>
    <x v="2"/>
    <x v="0"/>
  </r>
  <r>
    <x v="16"/>
    <n v="93"/>
    <n v="415"/>
    <x v="0"/>
    <x v="0"/>
    <n v="0"/>
    <n v="271.60000000000002"/>
    <n v="71"/>
    <n v="46.17"/>
    <n v="229.4"/>
    <n v="108"/>
    <n v="19.5"/>
    <n v="77.3"/>
    <n v="121"/>
    <n v="3.48"/>
    <n v="10.9"/>
    <n v="3"/>
    <n v="2.94"/>
    <x v="2"/>
    <x v="0"/>
  </r>
  <r>
    <x v="26"/>
    <n v="208"/>
    <n v="510"/>
    <x v="0"/>
    <x v="0"/>
    <n v="0"/>
    <n v="326.5"/>
    <n v="67"/>
    <n v="55.51"/>
    <n v="176.3"/>
    <n v="113"/>
    <n v="14.99"/>
    <n v="181.7"/>
    <n v="102"/>
    <n v="8.18"/>
    <n v="10.7"/>
    <n v="6"/>
    <n v="2.89"/>
    <x v="2"/>
    <x v="1"/>
  </r>
  <r>
    <x v="1"/>
    <n v="122"/>
    <n v="415"/>
    <x v="0"/>
    <x v="0"/>
    <n v="0"/>
    <n v="243.8"/>
    <n v="98"/>
    <n v="41.45"/>
    <n v="83.9"/>
    <n v="72"/>
    <n v="7.13"/>
    <n v="179.8"/>
    <n v="84"/>
    <n v="8.09"/>
    <n v="13.7"/>
    <n v="8"/>
    <n v="3.7"/>
    <x v="2"/>
    <x v="0"/>
  </r>
  <r>
    <x v="0"/>
    <n v="99"/>
    <n v="415"/>
    <x v="0"/>
    <x v="0"/>
    <n v="0"/>
    <n v="241.1"/>
    <n v="72"/>
    <n v="40.99"/>
    <n v="155.6"/>
    <n v="98"/>
    <n v="13.23"/>
    <n v="188.2"/>
    <n v="109"/>
    <n v="8.4700000000000006"/>
    <n v="11.6"/>
    <n v="10"/>
    <n v="3.13"/>
    <x v="0"/>
    <x v="0"/>
  </r>
  <r>
    <x v="27"/>
    <n v="65"/>
    <n v="415"/>
    <x v="0"/>
    <x v="0"/>
    <n v="0"/>
    <n v="136.1"/>
    <n v="112"/>
    <n v="23.14"/>
    <n v="272.89999999999998"/>
    <n v="96"/>
    <n v="23.2"/>
    <n v="220.2"/>
    <n v="104"/>
    <n v="9.91"/>
    <n v="4.4000000000000004"/>
    <n v="2"/>
    <n v="1.19"/>
    <x v="0"/>
    <x v="0"/>
  </r>
  <r>
    <x v="1"/>
    <n v="65"/>
    <n v="415"/>
    <x v="0"/>
    <x v="0"/>
    <n v="0"/>
    <n v="213.4"/>
    <n v="111"/>
    <n v="36.28"/>
    <n v="234.5"/>
    <n v="94"/>
    <n v="19.93"/>
    <n v="250.1"/>
    <n v="123"/>
    <n v="11.25"/>
    <n v="2.7"/>
    <n v="4"/>
    <n v="0.73"/>
    <x v="0"/>
    <x v="0"/>
  </r>
  <r>
    <x v="14"/>
    <n v="45"/>
    <n v="415"/>
    <x v="0"/>
    <x v="1"/>
    <n v="22"/>
    <n v="196.6"/>
    <n v="84"/>
    <n v="33.42"/>
    <n v="313.2"/>
    <n v="92"/>
    <n v="26.62"/>
    <n v="163.30000000000001"/>
    <n v="108"/>
    <n v="7.35"/>
    <n v="11.9"/>
    <n v="3"/>
    <n v="3.21"/>
    <x v="3"/>
    <x v="0"/>
  </r>
  <r>
    <x v="10"/>
    <n v="139"/>
    <n v="510"/>
    <x v="0"/>
    <x v="0"/>
    <n v="0"/>
    <n v="134.4"/>
    <n v="106"/>
    <n v="22.85"/>
    <n v="211.3"/>
    <n v="98"/>
    <n v="17.96"/>
    <n v="193.6"/>
    <n v="125"/>
    <n v="8.7100000000000009"/>
    <n v="10.199999999999999"/>
    <n v="2"/>
    <n v="2.75"/>
    <x v="5"/>
    <x v="1"/>
  </r>
  <r>
    <x v="28"/>
    <n v="215"/>
    <n v="510"/>
    <x v="0"/>
    <x v="0"/>
    <n v="0"/>
    <n v="83.6"/>
    <n v="148"/>
    <n v="14.21"/>
    <n v="120.9"/>
    <n v="91"/>
    <n v="10.28"/>
    <n v="226.6"/>
    <n v="110"/>
    <n v="10.199999999999999"/>
    <n v="10.7"/>
    <n v="9"/>
    <n v="2.89"/>
    <x v="3"/>
    <x v="0"/>
  </r>
  <r>
    <x v="16"/>
    <n v="94"/>
    <n v="408"/>
    <x v="0"/>
    <x v="0"/>
    <n v="0"/>
    <n v="181.8"/>
    <n v="85"/>
    <n v="30.91"/>
    <n v="202.4"/>
    <n v="98"/>
    <n v="17.2"/>
    <n v="245.9"/>
    <n v="97"/>
    <n v="11.07"/>
    <n v="9.1999999999999993"/>
    <n v="2"/>
    <n v="2.48"/>
    <x v="1"/>
    <x v="0"/>
  </r>
  <r>
    <x v="24"/>
    <n v="119"/>
    <n v="510"/>
    <x v="0"/>
    <x v="1"/>
    <n v="23"/>
    <n v="154"/>
    <n v="114"/>
    <n v="26.18"/>
    <n v="278"/>
    <n v="137"/>
    <n v="23.63"/>
    <n v="228.4"/>
    <n v="112"/>
    <n v="10.28"/>
    <n v="11.8"/>
    <n v="4"/>
    <n v="3.19"/>
    <x v="2"/>
    <x v="0"/>
  </r>
  <r>
    <x v="6"/>
    <n v="86"/>
    <n v="510"/>
    <x v="0"/>
    <x v="1"/>
    <n v="41"/>
    <n v="119"/>
    <n v="101"/>
    <n v="20.23"/>
    <n v="230"/>
    <n v="134"/>
    <n v="19.55"/>
    <n v="236.9"/>
    <n v="58"/>
    <n v="10.66"/>
    <n v="9.5"/>
    <n v="3"/>
    <n v="2.57"/>
    <x v="3"/>
    <x v="0"/>
  </r>
  <r>
    <x v="29"/>
    <n v="106"/>
    <n v="408"/>
    <x v="0"/>
    <x v="1"/>
    <n v="32"/>
    <n v="165.9"/>
    <n v="126"/>
    <n v="28.2"/>
    <n v="216.5"/>
    <n v="93"/>
    <n v="18.399999999999999"/>
    <n v="173.1"/>
    <n v="86"/>
    <n v="7.79"/>
    <n v="14.1"/>
    <n v="8"/>
    <n v="3.81"/>
    <x v="1"/>
    <x v="0"/>
  </r>
  <r>
    <x v="30"/>
    <n v="92"/>
    <n v="408"/>
    <x v="1"/>
    <x v="0"/>
    <n v="0"/>
    <n v="62.6"/>
    <n v="111"/>
    <n v="10.64"/>
    <n v="180.6"/>
    <n v="126"/>
    <n v="15.35"/>
    <n v="221.7"/>
    <n v="80"/>
    <n v="9.98"/>
    <n v="10.4"/>
    <n v="2"/>
    <n v="2.81"/>
    <x v="0"/>
    <x v="1"/>
  </r>
  <r>
    <x v="3"/>
    <n v="78"/>
    <n v="510"/>
    <x v="0"/>
    <x v="0"/>
    <n v="0"/>
    <n v="168.3"/>
    <n v="110"/>
    <n v="28.61"/>
    <n v="221.2"/>
    <n v="73"/>
    <n v="18.8"/>
    <n v="241"/>
    <n v="136"/>
    <n v="10.85"/>
    <n v="12.5"/>
    <n v="1"/>
    <n v="3.38"/>
    <x v="0"/>
    <x v="0"/>
  </r>
  <r>
    <x v="31"/>
    <n v="155"/>
    <n v="408"/>
    <x v="0"/>
    <x v="0"/>
    <n v="0"/>
    <n v="262.39999999999998"/>
    <n v="55"/>
    <n v="44.61"/>
    <n v="194.6"/>
    <n v="113"/>
    <n v="16.54"/>
    <n v="146.5"/>
    <n v="85"/>
    <n v="6.59"/>
    <n v="8.3000000000000007"/>
    <n v="6"/>
    <n v="2.2400000000000002"/>
    <x v="2"/>
    <x v="0"/>
  </r>
  <r>
    <x v="21"/>
    <n v="64"/>
    <n v="510"/>
    <x v="0"/>
    <x v="1"/>
    <n v="48"/>
    <n v="94.4"/>
    <n v="104"/>
    <n v="16.05"/>
    <n v="136.19999999999999"/>
    <n v="101"/>
    <n v="11.58"/>
    <n v="147.4"/>
    <n v="89"/>
    <n v="6.63"/>
    <n v="4.5"/>
    <n v="4"/>
    <n v="1.22"/>
    <x v="3"/>
    <x v="0"/>
  </r>
  <r>
    <x v="18"/>
    <n v="83"/>
    <n v="415"/>
    <x v="0"/>
    <x v="0"/>
    <n v="0"/>
    <n v="221.4"/>
    <n v="103"/>
    <n v="37.64"/>
    <n v="231.8"/>
    <n v="103"/>
    <n v="19.7"/>
    <n v="122.5"/>
    <n v="100"/>
    <n v="5.51"/>
    <n v="9.8000000000000007"/>
    <n v="5"/>
    <n v="2.65"/>
    <x v="4"/>
    <x v="0"/>
  </r>
  <r>
    <x v="32"/>
    <n v="144"/>
    <n v="408"/>
    <x v="0"/>
    <x v="1"/>
    <n v="48"/>
    <n v="189.8"/>
    <n v="96"/>
    <n v="32.270000000000003"/>
    <n v="123.4"/>
    <n v="67"/>
    <n v="10.49"/>
    <n v="214.2"/>
    <n v="106"/>
    <n v="9.64"/>
    <n v="6.5"/>
    <n v="2"/>
    <n v="1.76"/>
    <x v="2"/>
    <x v="1"/>
  </r>
  <r>
    <x v="12"/>
    <n v="143"/>
    <n v="415"/>
    <x v="0"/>
    <x v="0"/>
    <n v="0"/>
    <n v="172.3"/>
    <n v="97"/>
    <n v="29.29"/>
    <n v="174"/>
    <n v="108"/>
    <n v="14.79"/>
    <n v="188.2"/>
    <n v="119"/>
    <n v="8.4700000000000006"/>
    <n v="13"/>
    <n v="4"/>
    <n v="3.51"/>
    <x v="2"/>
    <x v="0"/>
  </r>
  <r>
    <x v="10"/>
    <n v="81"/>
    <n v="415"/>
    <x v="0"/>
    <x v="0"/>
    <n v="0"/>
    <n v="198.4"/>
    <n v="93"/>
    <n v="33.729999999999997"/>
    <n v="210.9"/>
    <n v="108"/>
    <n v="17.93"/>
    <n v="193.3"/>
    <n v="71"/>
    <n v="8.6999999999999993"/>
    <n v="10.4"/>
    <n v="6"/>
    <n v="2.81"/>
    <x v="2"/>
    <x v="0"/>
  </r>
  <r>
    <x v="32"/>
    <n v="145"/>
    <n v="408"/>
    <x v="0"/>
    <x v="1"/>
    <n v="24"/>
    <n v="147.5"/>
    <n v="90"/>
    <n v="25.08"/>
    <n v="175.7"/>
    <n v="108"/>
    <n v="14.93"/>
    <n v="252.1"/>
    <n v="102"/>
    <n v="11.34"/>
    <n v="15.6"/>
    <n v="3"/>
    <n v="4.21"/>
    <x v="2"/>
    <x v="0"/>
  </r>
  <r>
    <x v="33"/>
    <n v="89"/>
    <n v="510"/>
    <x v="0"/>
    <x v="0"/>
    <n v="0"/>
    <n v="303.89999999999998"/>
    <n v="95"/>
    <n v="51.66"/>
    <n v="260.89999999999998"/>
    <n v="114"/>
    <n v="22.18"/>
    <n v="312.10000000000002"/>
    <n v="89"/>
    <n v="14.04"/>
    <n v="5.3"/>
    <n v="3"/>
    <n v="1.43"/>
    <x v="0"/>
    <x v="1"/>
  </r>
  <r>
    <x v="34"/>
    <n v="199"/>
    <n v="415"/>
    <x v="0"/>
    <x v="1"/>
    <n v="34"/>
    <n v="230.6"/>
    <n v="121"/>
    <n v="39.200000000000003"/>
    <n v="219.4"/>
    <n v="99"/>
    <n v="18.649999999999999"/>
    <n v="299.3"/>
    <n v="94"/>
    <n v="13.47"/>
    <n v="8"/>
    <n v="2"/>
    <n v="2.16"/>
    <x v="3"/>
    <x v="0"/>
  </r>
  <r>
    <x v="34"/>
    <n v="96"/>
    <n v="415"/>
    <x v="0"/>
    <x v="1"/>
    <n v="37"/>
    <n v="172.7"/>
    <n v="93"/>
    <n v="29.36"/>
    <n v="120.1"/>
    <n v="116"/>
    <n v="10.210000000000001"/>
    <n v="216.1"/>
    <n v="86"/>
    <n v="9.7200000000000006"/>
    <n v="10.3"/>
    <n v="5"/>
    <n v="2.78"/>
    <x v="5"/>
    <x v="1"/>
  </r>
  <r>
    <x v="10"/>
    <n v="94"/>
    <n v="415"/>
    <x v="0"/>
    <x v="0"/>
    <n v="0"/>
    <n v="181.5"/>
    <n v="98"/>
    <n v="30.86"/>
    <n v="199.9"/>
    <n v="88"/>
    <n v="16.989999999999998"/>
    <n v="287.7"/>
    <n v="114"/>
    <n v="12.95"/>
    <n v="6.6"/>
    <n v="5"/>
    <n v="1.78"/>
    <x v="0"/>
    <x v="0"/>
  </r>
  <r>
    <x v="29"/>
    <n v="127"/>
    <n v="415"/>
    <x v="0"/>
    <x v="0"/>
    <n v="0"/>
    <n v="266.60000000000002"/>
    <n v="106"/>
    <n v="45.32"/>
    <n v="264.8"/>
    <n v="168"/>
    <n v="22.51"/>
    <n v="207.2"/>
    <n v="119"/>
    <n v="9.32"/>
    <n v="5.9"/>
    <n v="2"/>
    <n v="1.59"/>
    <x v="0"/>
    <x v="1"/>
  </r>
  <r>
    <x v="35"/>
    <n v="121"/>
    <n v="408"/>
    <x v="0"/>
    <x v="0"/>
    <n v="0"/>
    <n v="170.4"/>
    <n v="108"/>
    <n v="28.97"/>
    <n v="350.5"/>
    <n v="68"/>
    <n v="29.79"/>
    <n v="297"/>
    <n v="87"/>
    <n v="13.37"/>
    <n v="11.2"/>
    <n v="3"/>
    <n v="3.02"/>
    <x v="3"/>
    <x v="1"/>
  </r>
  <r>
    <x v="1"/>
    <n v="122"/>
    <n v="408"/>
    <x v="0"/>
    <x v="0"/>
    <n v="0"/>
    <n v="296.39999999999998"/>
    <n v="99"/>
    <n v="50.39"/>
    <n v="214.8"/>
    <n v="89"/>
    <n v="18.260000000000002"/>
    <n v="133.9"/>
    <n v="107"/>
    <n v="6.03"/>
    <n v="11.4"/>
    <n v="3"/>
    <n v="3.08"/>
    <x v="1"/>
    <x v="1"/>
  </r>
  <r>
    <x v="22"/>
    <n v="121"/>
    <n v="408"/>
    <x v="0"/>
    <x v="1"/>
    <n v="35"/>
    <n v="68.7"/>
    <n v="95"/>
    <n v="11.68"/>
    <n v="209.2"/>
    <n v="69"/>
    <n v="17.78"/>
    <n v="197.4"/>
    <n v="42"/>
    <n v="8.8800000000000008"/>
    <n v="11.4"/>
    <n v="4"/>
    <n v="3.08"/>
    <x v="0"/>
    <x v="0"/>
  </r>
  <r>
    <x v="25"/>
    <n v="77"/>
    <n v="510"/>
    <x v="0"/>
    <x v="0"/>
    <n v="0"/>
    <n v="233.8"/>
    <n v="104"/>
    <n v="39.75"/>
    <n v="266.5"/>
    <n v="94"/>
    <n v="22.65"/>
    <n v="212.7"/>
    <n v="104"/>
    <n v="9.57"/>
    <n v="7.6"/>
    <n v="3"/>
    <n v="2.0499999999999998"/>
    <x v="2"/>
    <x v="0"/>
  </r>
  <r>
    <x v="27"/>
    <n v="64"/>
    <n v="408"/>
    <x v="1"/>
    <x v="0"/>
    <n v="0"/>
    <n v="236.2"/>
    <n v="77"/>
    <n v="40.15"/>
    <n v="218.6"/>
    <n v="85"/>
    <n v="18.579999999999998"/>
    <n v="194.1"/>
    <n v="97"/>
    <n v="8.73"/>
    <n v="13.2"/>
    <n v="2"/>
    <n v="3.56"/>
    <x v="2"/>
    <x v="1"/>
  </r>
  <r>
    <x v="17"/>
    <n v="124"/>
    <n v="408"/>
    <x v="1"/>
    <x v="0"/>
    <n v="0"/>
    <n v="244.6"/>
    <n v="89"/>
    <n v="41.58"/>
    <n v="188.8"/>
    <n v="80"/>
    <n v="16.05"/>
    <n v="206"/>
    <n v="114"/>
    <n v="9.27"/>
    <n v="11.3"/>
    <n v="4"/>
    <n v="3.05"/>
    <x v="0"/>
    <x v="0"/>
  </r>
  <r>
    <x v="36"/>
    <n v="148"/>
    <n v="415"/>
    <x v="0"/>
    <x v="0"/>
    <n v="0"/>
    <n v="124.4"/>
    <n v="83"/>
    <n v="21.15"/>
    <n v="179.7"/>
    <n v="81"/>
    <n v="15.27"/>
    <n v="253"/>
    <n v="99"/>
    <n v="11.39"/>
    <n v="11.3"/>
    <n v="6"/>
    <n v="3.05"/>
    <x v="3"/>
    <x v="0"/>
  </r>
  <r>
    <x v="27"/>
    <n v="77"/>
    <n v="408"/>
    <x v="0"/>
    <x v="0"/>
    <n v="0"/>
    <n v="230"/>
    <n v="87"/>
    <n v="39.1"/>
    <n v="103.2"/>
    <n v="138"/>
    <n v="8.77"/>
    <n v="309.60000000000002"/>
    <n v="136"/>
    <n v="13.93"/>
    <n v="11.3"/>
    <n v="3"/>
    <n v="3.05"/>
    <x v="2"/>
    <x v="0"/>
  </r>
  <r>
    <x v="31"/>
    <n v="135"/>
    <n v="415"/>
    <x v="0"/>
    <x v="0"/>
    <n v="0"/>
    <n v="201.8"/>
    <n v="81"/>
    <n v="34.31"/>
    <n v="225"/>
    <n v="114"/>
    <n v="19.13"/>
    <n v="204.4"/>
    <n v="82"/>
    <n v="9.1999999999999993"/>
    <n v="10.3"/>
    <n v="6"/>
    <n v="2.78"/>
    <x v="0"/>
    <x v="0"/>
  </r>
  <r>
    <x v="32"/>
    <n v="87"/>
    <n v="415"/>
    <x v="0"/>
    <x v="1"/>
    <n v="21"/>
    <n v="214"/>
    <n v="113"/>
    <n v="36.380000000000003"/>
    <n v="180"/>
    <n v="114"/>
    <n v="15.3"/>
    <n v="134.5"/>
    <n v="82"/>
    <n v="6.05"/>
    <n v="10.6"/>
    <n v="5"/>
    <n v="2.86"/>
    <x v="3"/>
    <x v="0"/>
  </r>
  <r>
    <x v="23"/>
    <n v="54"/>
    <n v="510"/>
    <x v="0"/>
    <x v="0"/>
    <n v="0"/>
    <n v="210.5"/>
    <n v="102"/>
    <n v="35.79"/>
    <n v="204.5"/>
    <n v="83"/>
    <n v="17.38"/>
    <n v="127.8"/>
    <n v="53"/>
    <n v="5.75"/>
    <n v="8.5"/>
    <n v="5"/>
    <n v="2.2999999999999998"/>
    <x v="0"/>
    <x v="0"/>
  </r>
  <r>
    <x v="13"/>
    <n v="35"/>
    <n v="415"/>
    <x v="0"/>
    <x v="0"/>
    <n v="0"/>
    <n v="105.6"/>
    <n v="129"/>
    <n v="17.95"/>
    <n v="258.2"/>
    <n v="129"/>
    <n v="21.95"/>
    <n v="213.1"/>
    <n v="77"/>
    <n v="9.59"/>
    <n v="8.6999999999999993"/>
    <n v="3"/>
    <n v="2.35"/>
    <x v="3"/>
    <x v="0"/>
  </r>
  <r>
    <x v="26"/>
    <n v="84"/>
    <n v="408"/>
    <x v="0"/>
    <x v="0"/>
    <n v="0"/>
    <n v="138.6"/>
    <n v="102"/>
    <n v="23.56"/>
    <n v="199"/>
    <n v="93"/>
    <n v="16.920000000000002"/>
    <n v="204.1"/>
    <n v="137"/>
    <n v="9.18"/>
    <n v="7.8"/>
    <n v="4"/>
    <n v="2.11"/>
    <x v="3"/>
    <x v="0"/>
  </r>
  <r>
    <x v="25"/>
    <n v="94"/>
    <n v="415"/>
    <x v="0"/>
    <x v="0"/>
    <n v="0"/>
    <n v="234.4"/>
    <n v="103"/>
    <n v="39.85"/>
    <n v="279.3"/>
    <n v="109"/>
    <n v="23.74"/>
    <n v="234.2"/>
    <n v="121"/>
    <n v="10.54"/>
    <n v="2"/>
    <n v="2"/>
    <n v="0.54"/>
    <x v="0"/>
    <x v="1"/>
  </r>
  <r>
    <x v="37"/>
    <n v="96"/>
    <n v="408"/>
    <x v="0"/>
    <x v="1"/>
    <n v="26"/>
    <n v="145.80000000000001"/>
    <n v="108"/>
    <n v="24.79"/>
    <n v="192.2"/>
    <n v="89"/>
    <n v="16.34"/>
    <n v="165.1"/>
    <n v="96"/>
    <n v="7.43"/>
    <n v="9.9"/>
    <n v="2"/>
    <n v="2.67"/>
    <x v="0"/>
    <x v="0"/>
  </r>
  <r>
    <x v="38"/>
    <n v="64"/>
    <n v="415"/>
    <x v="0"/>
    <x v="0"/>
    <n v="0"/>
    <n v="97.2"/>
    <n v="80"/>
    <n v="16.52"/>
    <n v="186.2"/>
    <n v="90"/>
    <n v="15.83"/>
    <n v="189"/>
    <n v="92"/>
    <n v="8.5"/>
    <n v="10.4"/>
    <n v="6"/>
    <n v="2.81"/>
    <x v="2"/>
    <x v="0"/>
  </r>
  <r>
    <x v="19"/>
    <n v="85"/>
    <n v="415"/>
    <x v="0"/>
    <x v="0"/>
    <n v="0"/>
    <n v="259.8"/>
    <n v="85"/>
    <n v="44.17"/>
    <n v="242.3"/>
    <n v="117"/>
    <n v="20.6"/>
    <n v="168.8"/>
    <n v="72"/>
    <n v="7.6"/>
    <n v="5.4"/>
    <n v="1"/>
    <n v="1.46"/>
    <x v="3"/>
    <x v="0"/>
  </r>
  <r>
    <x v="16"/>
    <n v="117"/>
    <n v="408"/>
    <x v="0"/>
    <x v="0"/>
    <n v="0"/>
    <n v="239.9"/>
    <n v="84"/>
    <n v="40.78"/>
    <n v="174.8"/>
    <n v="106"/>
    <n v="14.86"/>
    <n v="209.5"/>
    <n v="93"/>
    <n v="9.43"/>
    <n v="9.8000000000000007"/>
    <n v="2"/>
    <n v="2.65"/>
    <x v="3"/>
    <x v="0"/>
  </r>
  <r>
    <x v="39"/>
    <n v="112"/>
    <n v="415"/>
    <x v="0"/>
    <x v="1"/>
    <n v="16"/>
    <n v="221.6"/>
    <n v="110"/>
    <n v="37.67"/>
    <n v="130.19999999999999"/>
    <n v="123"/>
    <n v="11.07"/>
    <n v="200"/>
    <n v="108"/>
    <n v="9"/>
    <n v="11.3"/>
    <n v="3"/>
    <n v="3.05"/>
    <x v="0"/>
    <x v="0"/>
  </r>
  <r>
    <x v="13"/>
    <n v="129"/>
    <n v="510"/>
    <x v="1"/>
    <x v="0"/>
    <n v="0"/>
    <n v="192.9"/>
    <n v="131"/>
    <n v="32.79"/>
    <n v="185.5"/>
    <n v="101"/>
    <n v="15.77"/>
    <n v="205.2"/>
    <n v="130"/>
    <n v="9.23"/>
    <n v="10.9"/>
    <n v="4"/>
    <n v="2.94"/>
    <x v="0"/>
    <x v="0"/>
  </r>
  <r>
    <x v="16"/>
    <n v="140"/>
    <n v="408"/>
    <x v="0"/>
    <x v="0"/>
    <n v="0"/>
    <n v="173.2"/>
    <n v="91"/>
    <n v="29.44"/>
    <n v="196.8"/>
    <n v="106"/>
    <n v="16.73"/>
    <n v="209.3"/>
    <n v="128"/>
    <n v="9.42"/>
    <n v="11.2"/>
    <n v="5"/>
    <n v="3.02"/>
    <x v="4"/>
    <x v="0"/>
  </r>
  <r>
    <x v="6"/>
    <n v="81"/>
    <n v="415"/>
    <x v="0"/>
    <x v="0"/>
    <n v="0"/>
    <n v="153.5"/>
    <n v="99"/>
    <n v="26.1"/>
    <n v="197.6"/>
    <n v="102"/>
    <n v="16.8"/>
    <n v="198.5"/>
    <n v="86"/>
    <n v="8.93"/>
    <n v="6.3"/>
    <n v="2"/>
    <n v="1.7"/>
    <x v="2"/>
    <x v="0"/>
  </r>
  <r>
    <x v="26"/>
    <n v="70"/>
    <n v="510"/>
    <x v="0"/>
    <x v="0"/>
    <n v="0"/>
    <n v="59.5"/>
    <n v="103"/>
    <n v="10.119999999999999"/>
    <n v="257.2"/>
    <n v="106"/>
    <n v="21.86"/>
    <n v="208.3"/>
    <n v="86"/>
    <n v="9.3699999999999992"/>
    <n v="11.1"/>
    <n v="6"/>
    <n v="3"/>
    <x v="3"/>
    <x v="0"/>
  </r>
  <r>
    <x v="7"/>
    <n v="79"/>
    <n v="510"/>
    <x v="0"/>
    <x v="1"/>
    <n v="21"/>
    <n v="264.3"/>
    <n v="79"/>
    <n v="44.93"/>
    <n v="202.8"/>
    <n v="118"/>
    <n v="17.239999999999998"/>
    <n v="173.4"/>
    <n v="92"/>
    <n v="7.8"/>
    <n v="6.3"/>
    <n v="3"/>
    <n v="1.7"/>
    <x v="1"/>
    <x v="0"/>
  </r>
  <r>
    <x v="22"/>
    <n v="85"/>
    <n v="408"/>
    <x v="0"/>
    <x v="0"/>
    <n v="0"/>
    <n v="127.9"/>
    <n v="107"/>
    <n v="21.74"/>
    <n v="271.2"/>
    <n v="124"/>
    <n v="23.05"/>
    <n v="202.2"/>
    <n v="76"/>
    <n v="9.1"/>
    <n v="12.5"/>
    <n v="5"/>
    <n v="3.38"/>
    <x v="3"/>
    <x v="0"/>
  </r>
  <r>
    <x v="32"/>
    <n v="91"/>
    <n v="510"/>
    <x v="0"/>
    <x v="0"/>
    <n v="0"/>
    <n v="149"/>
    <n v="115"/>
    <n v="25.33"/>
    <n v="245.3"/>
    <n v="105"/>
    <n v="20.85"/>
    <n v="260"/>
    <n v="94"/>
    <n v="11.7"/>
    <n v="8.3000000000000007"/>
    <n v="3"/>
    <n v="2.2400000000000002"/>
    <x v="3"/>
    <x v="0"/>
  </r>
  <r>
    <x v="0"/>
    <n v="149"/>
    <n v="415"/>
    <x v="0"/>
    <x v="1"/>
    <n v="20"/>
    <n v="198.9"/>
    <n v="77"/>
    <n v="33.81"/>
    <n v="274"/>
    <n v="88"/>
    <n v="23.29"/>
    <n v="190.7"/>
    <n v="76"/>
    <n v="8.58"/>
    <n v="14.3"/>
    <n v="9"/>
    <n v="3.86"/>
    <x v="0"/>
    <x v="0"/>
  </r>
  <r>
    <x v="16"/>
    <n v="60"/>
    <n v="415"/>
    <x v="0"/>
    <x v="0"/>
    <n v="0"/>
    <n v="98.2"/>
    <n v="88"/>
    <n v="16.690000000000001"/>
    <n v="180.5"/>
    <n v="69"/>
    <n v="15.34"/>
    <n v="223.6"/>
    <n v="69"/>
    <n v="10.06"/>
    <n v="9.3000000000000007"/>
    <n v="2"/>
    <n v="2.5099999999999998"/>
    <x v="2"/>
    <x v="0"/>
  </r>
  <r>
    <x v="35"/>
    <n v="115"/>
    <n v="408"/>
    <x v="0"/>
    <x v="0"/>
    <n v="0"/>
    <n v="147.9"/>
    <n v="109"/>
    <n v="25.14"/>
    <n v="228.4"/>
    <n v="117"/>
    <n v="19.41"/>
    <n v="299.7"/>
    <n v="90"/>
    <n v="13.49"/>
    <n v="9.6"/>
    <n v="9"/>
    <n v="2.59"/>
    <x v="4"/>
    <x v="0"/>
  </r>
  <r>
    <x v="20"/>
    <n v="144"/>
    <n v="415"/>
    <x v="0"/>
    <x v="1"/>
    <n v="18"/>
    <n v="106.4"/>
    <n v="109"/>
    <n v="18.09"/>
    <n v="108.1"/>
    <n v="113"/>
    <n v="9.19"/>
    <n v="208.4"/>
    <n v="111"/>
    <n v="9.3800000000000008"/>
    <n v="10.1"/>
    <n v="5"/>
    <n v="2.73"/>
    <x v="0"/>
    <x v="0"/>
  </r>
  <r>
    <x v="16"/>
    <n v="86"/>
    <n v="415"/>
    <x v="0"/>
    <x v="1"/>
    <n v="32"/>
    <n v="70.900000000000006"/>
    <n v="163"/>
    <n v="12.05"/>
    <n v="166.7"/>
    <n v="121"/>
    <n v="14.17"/>
    <n v="244.9"/>
    <n v="105"/>
    <n v="11.02"/>
    <n v="11.1"/>
    <n v="5"/>
    <n v="3"/>
    <x v="4"/>
    <x v="0"/>
  </r>
  <r>
    <x v="6"/>
    <n v="139"/>
    <n v="415"/>
    <x v="0"/>
    <x v="1"/>
    <n v="20"/>
    <n v="214.6"/>
    <n v="101"/>
    <n v="36.479999999999997"/>
    <n v="235.1"/>
    <n v="132"/>
    <n v="19.98"/>
    <n v="162.80000000000001"/>
    <n v="132"/>
    <n v="7.33"/>
    <n v="14.8"/>
    <n v="12"/>
    <n v="4"/>
    <x v="3"/>
    <x v="0"/>
  </r>
  <r>
    <x v="38"/>
    <n v="124"/>
    <n v="408"/>
    <x v="0"/>
    <x v="0"/>
    <n v="0"/>
    <n v="151.1"/>
    <n v="123"/>
    <n v="25.69"/>
    <n v="187.4"/>
    <n v="104"/>
    <n v="15.93"/>
    <n v="255.4"/>
    <n v="93"/>
    <n v="11.49"/>
    <n v="5.3"/>
    <n v="3"/>
    <n v="1.43"/>
    <x v="0"/>
    <x v="0"/>
  </r>
  <r>
    <x v="13"/>
    <n v="102"/>
    <n v="510"/>
    <x v="1"/>
    <x v="0"/>
    <n v="0"/>
    <n v="233.8"/>
    <n v="103"/>
    <n v="39.75"/>
    <n v="221.6"/>
    <n v="131"/>
    <n v="18.84"/>
    <n v="146.9"/>
    <n v="106"/>
    <n v="6.61"/>
    <n v="12.8"/>
    <n v="3"/>
    <n v="3.46"/>
    <x v="3"/>
    <x v="0"/>
  </r>
  <r>
    <x v="1"/>
    <n v="78"/>
    <n v="415"/>
    <x v="0"/>
    <x v="0"/>
    <n v="0"/>
    <n v="208.9"/>
    <n v="119"/>
    <n v="35.51"/>
    <n v="252.4"/>
    <n v="132"/>
    <n v="21.45"/>
    <n v="280.2"/>
    <n v="120"/>
    <n v="12.61"/>
    <n v="12.8"/>
    <n v="7"/>
    <n v="3.46"/>
    <x v="3"/>
    <x v="0"/>
  </r>
  <r>
    <x v="22"/>
    <n v="55"/>
    <n v="415"/>
    <x v="1"/>
    <x v="0"/>
    <n v="0"/>
    <n v="191.9"/>
    <n v="91"/>
    <n v="32.619999999999997"/>
    <n v="256.10000000000002"/>
    <n v="110"/>
    <n v="21.77"/>
    <n v="203.7"/>
    <n v="101"/>
    <n v="9.17"/>
    <n v="14.3"/>
    <n v="6"/>
    <n v="3.86"/>
    <x v="0"/>
    <x v="1"/>
  </r>
  <r>
    <x v="35"/>
    <n v="129"/>
    <n v="415"/>
    <x v="0"/>
    <x v="1"/>
    <n v="33"/>
    <n v="119.6"/>
    <n v="104"/>
    <n v="20.329999999999998"/>
    <n v="278.7"/>
    <n v="88"/>
    <n v="23.69"/>
    <n v="263.39999999999998"/>
    <n v="175"/>
    <n v="11.85"/>
    <n v="5.9"/>
    <n v="2"/>
    <n v="1.59"/>
    <x v="2"/>
    <x v="0"/>
  </r>
  <r>
    <x v="40"/>
    <n v="75"/>
    <n v="408"/>
    <x v="1"/>
    <x v="0"/>
    <n v="0"/>
    <n v="211.3"/>
    <n v="61"/>
    <n v="35.92"/>
    <n v="105.6"/>
    <n v="119"/>
    <n v="8.98"/>
    <n v="175.9"/>
    <n v="63"/>
    <n v="7.92"/>
    <n v="9.6999999999999993"/>
    <n v="4"/>
    <n v="2.62"/>
    <x v="1"/>
    <x v="1"/>
  </r>
  <r>
    <x v="32"/>
    <n v="126"/>
    <n v="415"/>
    <x v="0"/>
    <x v="1"/>
    <n v="23"/>
    <n v="114.3"/>
    <n v="102"/>
    <n v="19.43"/>
    <n v="190.3"/>
    <n v="103"/>
    <n v="16.18"/>
    <n v="240.4"/>
    <n v="111"/>
    <n v="10.82"/>
    <n v="12.6"/>
    <n v="7"/>
    <n v="3.4"/>
    <x v="4"/>
    <x v="0"/>
  </r>
  <r>
    <x v="21"/>
    <n v="92"/>
    <n v="415"/>
    <x v="0"/>
    <x v="0"/>
    <n v="0"/>
    <n v="154"/>
    <n v="122"/>
    <n v="26.18"/>
    <n v="329.8"/>
    <n v="88"/>
    <n v="28.03"/>
    <n v="288"/>
    <n v="117"/>
    <n v="12.96"/>
    <n v="5.6"/>
    <n v="2"/>
    <n v="1.51"/>
    <x v="4"/>
    <x v="1"/>
  </r>
  <r>
    <x v="33"/>
    <n v="52"/>
    <n v="408"/>
    <x v="0"/>
    <x v="0"/>
    <n v="0"/>
    <n v="214.7"/>
    <n v="68"/>
    <n v="36.5"/>
    <n v="158.6"/>
    <n v="138"/>
    <n v="13.48"/>
    <n v="123.4"/>
    <n v="114"/>
    <n v="5.55"/>
    <n v="9.4"/>
    <n v="4"/>
    <n v="2.54"/>
    <x v="2"/>
    <x v="0"/>
  </r>
  <r>
    <x v="41"/>
    <n v="87"/>
    <n v="510"/>
    <x v="0"/>
    <x v="0"/>
    <n v="0"/>
    <n v="231.3"/>
    <n v="105"/>
    <n v="39.32"/>
    <n v="171.7"/>
    <n v="108"/>
    <n v="14.59"/>
    <n v="67.7"/>
    <n v="136"/>
    <n v="3.05"/>
    <n v="13"/>
    <n v="6"/>
    <n v="3.51"/>
    <x v="0"/>
    <x v="0"/>
  </r>
  <r>
    <x v="42"/>
    <n v="95"/>
    <n v="415"/>
    <x v="0"/>
    <x v="1"/>
    <n v="22"/>
    <n v="40.9"/>
    <n v="126"/>
    <n v="6.95"/>
    <n v="133.4"/>
    <n v="90"/>
    <n v="11.34"/>
    <n v="264.2"/>
    <n v="91"/>
    <n v="11.89"/>
    <n v="11.9"/>
    <n v="7"/>
    <n v="3.21"/>
    <x v="3"/>
    <x v="0"/>
  </r>
  <r>
    <x v="0"/>
    <n v="67"/>
    <n v="510"/>
    <x v="0"/>
    <x v="0"/>
    <n v="0"/>
    <n v="310.39999999999998"/>
    <n v="97"/>
    <n v="52.77"/>
    <n v="66.5"/>
    <n v="123"/>
    <n v="5.65"/>
    <n v="246.5"/>
    <n v="99"/>
    <n v="11.09"/>
    <n v="9.1999999999999993"/>
    <n v="10"/>
    <n v="2.48"/>
    <x v="1"/>
    <x v="0"/>
  </r>
  <r>
    <x v="25"/>
    <n v="165"/>
    <n v="415"/>
    <x v="0"/>
    <x v="0"/>
    <n v="0"/>
    <n v="216.6"/>
    <n v="126"/>
    <n v="36.82"/>
    <n v="190.8"/>
    <n v="104"/>
    <n v="16.22"/>
    <n v="224.7"/>
    <n v="123"/>
    <n v="10.11"/>
    <n v="12.4"/>
    <n v="8"/>
    <n v="3.35"/>
    <x v="3"/>
    <x v="0"/>
  </r>
  <r>
    <x v="35"/>
    <n v="150"/>
    <n v="415"/>
    <x v="0"/>
    <x v="1"/>
    <n v="29"/>
    <n v="209.9"/>
    <n v="77"/>
    <n v="35.68"/>
    <n v="158"/>
    <n v="52"/>
    <n v="13.43"/>
    <n v="141.9"/>
    <n v="113"/>
    <n v="6.39"/>
    <n v="6.6"/>
    <n v="1"/>
    <n v="1.78"/>
    <x v="3"/>
    <x v="0"/>
  </r>
  <r>
    <x v="31"/>
    <n v="26"/>
    <n v="415"/>
    <x v="0"/>
    <x v="0"/>
    <n v="0"/>
    <n v="234.5"/>
    <n v="109"/>
    <n v="39.869999999999997"/>
    <n v="216.5"/>
    <n v="129"/>
    <n v="18.399999999999999"/>
    <n v="191.6"/>
    <n v="94"/>
    <n v="8.6199999999999992"/>
    <n v="3.5"/>
    <n v="6"/>
    <n v="0.95"/>
    <x v="4"/>
    <x v="0"/>
  </r>
  <r>
    <x v="43"/>
    <n v="79"/>
    <n v="510"/>
    <x v="0"/>
    <x v="1"/>
    <n v="31"/>
    <n v="103.1"/>
    <n v="90"/>
    <n v="17.53"/>
    <n v="243"/>
    <n v="135"/>
    <n v="20.66"/>
    <n v="76.400000000000006"/>
    <n v="92"/>
    <n v="3.44"/>
    <n v="12.2"/>
    <n v="8"/>
    <n v="3.29"/>
    <x v="4"/>
    <x v="0"/>
  </r>
  <r>
    <x v="9"/>
    <n v="69"/>
    <n v="510"/>
    <x v="1"/>
    <x v="0"/>
    <n v="0"/>
    <n v="279.8"/>
    <n v="90"/>
    <n v="47.57"/>
    <n v="248.7"/>
    <n v="91"/>
    <n v="21.14"/>
    <n v="171"/>
    <n v="118"/>
    <n v="7.69"/>
    <n v="8.4"/>
    <n v="10"/>
    <n v="2.27"/>
    <x v="2"/>
    <x v="1"/>
  </r>
  <r>
    <x v="11"/>
    <n v="95"/>
    <n v="510"/>
    <x v="1"/>
    <x v="1"/>
    <n v="41"/>
    <n v="136.80000000000001"/>
    <n v="91"/>
    <n v="23.26"/>
    <n v="200.8"/>
    <n v="61"/>
    <n v="17.07"/>
    <n v="133.69999999999999"/>
    <n v="67"/>
    <n v="6.02"/>
    <n v="10.3"/>
    <n v="9"/>
    <n v="2.78"/>
    <x v="5"/>
    <x v="1"/>
  </r>
  <r>
    <x v="2"/>
    <n v="157"/>
    <n v="415"/>
    <x v="0"/>
    <x v="0"/>
    <n v="0"/>
    <n v="224.5"/>
    <n v="111"/>
    <n v="38.17"/>
    <n v="200.7"/>
    <n v="99"/>
    <n v="17.059999999999999"/>
    <n v="116.6"/>
    <n v="118"/>
    <n v="5.25"/>
    <n v="11.5"/>
    <n v="2"/>
    <n v="3.11"/>
    <x v="2"/>
    <x v="0"/>
  </r>
  <r>
    <x v="11"/>
    <n v="80"/>
    <n v="415"/>
    <x v="0"/>
    <x v="0"/>
    <n v="0"/>
    <n v="160.6"/>
    <n v="103"/>
    <n v="27.3"/>
    <n v="237"/>
    <n v="109"/>
    <n v="20.149999999999999"/>
    <n v="245.1"/>
    <n v="88"/>
    <n v="11.03"/>
    <n v="10.7"/>
    <n v="1"/>
    <n v="2.89"/>
    <x v="0"/>
    <x v="0"/>
  </r>
  <r>
    <x v="16"/>
    <n v="75"/>
    <n v="510"/>
    <x v="0"/>
    <x v="1"/>
    <n v="37"/>
    <n v="121.5"/>
    <n v="97"/>
    <n v="20.66"/>
    <n v="271.39999999999998"/>
    <n v="110"/>
    <n v="23.07"/>
    <n v="248.7"/>
    <n v="97"/>
    <n v="11.19"/>
    <n v="11.3"/>
    <n v="5"/>
    <n v="3.05"/>
    <x v="2"/>
    <x v="0"/>
  </r>
  <r>
    <x v="44"/>
    <n v="44"/>
    <n v="510"/>
    <x v="0"/>
    <x v="0"/>
    <n v="0"/>
    <n v="228.1"/>
    <n v="121"/>
    <n v="38.78"/>
    <n v="276.5"/>
    <n v="79"/>
    <n v="23.5"/>
    <n v="279.8"/>
    <n v="77"/>
    <n v="12.59"/>
    <n v="9.9"/>
    <n v="5"/>
    <n v="2.67"/>
    <x v="2"/>
    <x v="1"/>
  </r>
  <r>
    <x v="33"/>
    <n v="101"/>
    <n v="408"/>
    <x v="0"/>
    <x v="0"/>
    <n v="0"/>
    <n v="89.7"/>
    <n v="118"/>
    <n v="15.25"/>
    <n v="260.10000000000002"/>
    <n v="79"/>
    <n v="22.11"/>
    <n v="170.1"/>
    <n v="93"/>
    <n v="7.65"/>
    <n v="13.5"/>
    <n v="11"/>
    <n v="3.65"/>
    <x v="5"/>
    <x v="1"/>
  </r>
  <r>
    <x v="9"/>
    <n v="117"/>
    <n v="408"/>
    <x v="0"/>
    <x v="1"/>
    <n v="14"/>
    <n v="80.2"/>
    <n v="81"/>
    <n v="13.63"/>
    <n v="219"/>
    <n v="103"/>
    <n v="18.62"/>
    <n v="122.6"/>
    <n v="102"/>
    <n v="5.52"/>
    <n v="8.6"/>
    <n v="2"/>
    <n v="2.3199999999999998"/>
    <x v="0"/>
    <x v="0"/>
  </r>
  <r>
    <x v="45"/>
    <n v="82"/>
    <n v="408"/>
    <x v="0"/>
    <x v="0"/>
    <n v="0"/>
    <n v="125.7"/>
    <n v="96"/>
    <n v="21.37"/>
    <n v="207.6"/>
    <n v="137"/>
    <n v="17.649999999999999"/>
    <n v="183.1"/>
    <n v="103"/>
    <n v="8.24"/>
    <n v="12.9"/>
    <n v="2"/>
    <n v="3.48"/>
    <x v="0"/>
    <x v="0"/>
  </r>
  <r>
    <x v="2"/>
    <n v="39"/>
    <n v="408"/>
    <x v="0"/>
    <x v="0"/>
    <n v="0"/>
    <n v="160.4"/>
    <n v="68"/>
    <n v="27.27"/>
    <n v="102.6"/>
    <n v="103"/>
    <n v="8.7200000000000006"/>
    <n v="235.3"/>
    <n v="106"/>
    <n v="10.59"/>
    <n v="9.1"/>
    <n v="5"/>
    <n v="2.46"/>
    <x v="2"/>
    <x v="0"/>
  </r>
  <r>
    <x v="24"/>
    <n v="30"/>
    <n v="415"/>
    <x v="0"/>
    <x v="0"/>
    <n v="0"/>
    <n v="169.9"/>
    <n v="144"/>
    <n v="28.88"/>
    <n v="225.2"/>
    <n v="118"/>
    <n v="19.14"/>
    <n v="169.7"/>
    <n v="93"/>
    <n v="7.64"/>
    <n v="11.4"/>
    <n v="7"/>
    <n v="3.08"/>
    <x v="0"/>
    <x v="0"/>
  </r>
  <r>
    <x v="31"/>
    <n v="63"/>
    <n v="415"/>
    <x v="0"/>
    <x v="1"/>
    <n v="29"/>
    <n v="142.30000000000001"/>
    <n v="107"/>
    <n v="24.19"/>
    <n v="118.7"/>
    <n v="56"/>
    <n v="10.09"/>
    <n v="240.1"/>
    <n v="91"/>
    <n v="10.8"/>
    <n v="6.6"/>
    <n v="8"/>
    <n v="1.78"/>
    <x v="0"/>
    <x v="0"/>
  </r>
  <r>
    <x v="28"/>
    <n v="111"/>
    <n v="415"/>
    <x v="0"/>
    <x v="0"/>
    <n v="0"/>
    <n v="146.19999999999999"/>
    <n v="55"/>
    <n v="24.85"/>
    <n v="261.5"/>
    <n v="83"/>
    <n v="22.23"/>
    <n v="163.19999999999999"/>
    <n v="116"/>
    <n v="7.34"/>
    <n v="8.6999999999999993"/>
    <n v="3"/>
    <n v="2.35"/>
    <x v="4"/>
    <x v="0"/>
  </r>
  <r>
    <x v="45"/>
    <n v="91"/>
    <n v="510"/>
    <x v="0"/>
    <x v="0"/>
    <n v="0"/>
    <n v="231.8"/>
    <n v="120"/>
    <n v="39.409999999999997"/>
    <n v="150.6"/>
    <n v="106"/>
    <n v="12.8"/>
    <n v="269.2"/>
    <n v="129"/>
    <n v="12.11"/>
    <n v="11.6"/>
    <n v="7"/>
    <n v="3.13"/>
    <x v="4"/>
    <x v="0"/>
  </r>
  <r>
    <x v="38"/>
    <n v="105"/>
    <n v="415"/>
    <x v="1"/>
    <x v="1"/>
    <n v="29"/>
    <n v="220.7"/>
    <n v="82"/>
    <n v="37.520000000000003"/>
    <n v="217.7"/>
    <n v="110"/>
    <n v="18.5"/>
    <n v="190.5"/>
    <n v="100"/>
    <n v="8.57"/>
    <n v="13.2"/>
    <n v="6"/>
    <n v="3.56"/>
    <x v="0"/>
    <x v="1"/>
  </r>
  <r>
    <x v="18"/>
    <n v="166"/>
    <n v="408"/>
    <x v="1"/>
    <x v="1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x v="2"/>
    <x v="0"/>
  </r>
  <r>
    <x v="29"/>
    <n v="79"/>
    <n v="510"/>
    <x v="0"/>
    <x v="0"/>
    <n v="0"/>
    <n v="130.19999999999999"/>
    <n v="119"/>
    <n v="22.13"/>
    <n v="290.89999999999998"/>
    <n v="121"/>
    <n v="24.73"/>
    <n v="194.8"/>
    <n v="140"/>
    <n v="8.77"/>
    <n v="14"/>
    <n v="6"/>
    <n v="3.78"/>
    <x v="4"/>
    <x v="0"/>
  </r>
  <r>
    <x v="40"/>
    <n v="105"/>
    <n v="408"/>
    <x v="0"/>
    <x v="1"/>
    <n v="33"/>
    <n v="209.6"/>
    <n v="68"/>
    <n v="35.630000000000003"/>
    <n v="146.9"/>
    <n v="140"/>
    <n v="12.49"/>
    <n v="121"/>
    <n v="131"/>
    <n v="5.44"/>
    <n v="10.6"/>
    <n v="3"/>
    <n v="2.86"/>
    <x v="2"/>
    <x v="0"/>
  </r>
  <r>
    <x v="0"/>
    <n v="172"/>
    <n v="415"/>
    <x v="0"/>
    <x v="0"/>
    <n v="0"/>
    <n v="215.7"/>
    <n v="140"/>
    <n v="36.67"/>
    <n v="146.30000000000001"/>
    <n v="84"/>
    <n v="12.44"/>
    <n v="264.60000000000002"/>
    <n v="83"/>
    <n v="11.91"/>
    <n v="7.1"/>
    <n v="1"/>
    <n v="1.92"/>
    <x v="4"/>
    <x v="0"/>
  </r>
  <r>
    <x v="30"/>
    <n v="121"/>
    <n v="408"/>
    <x v="0"/>
    <x v="0"/>
    <n v="0"/>
    <n v="150.69999999999999"/>
    <n v="105"/>
    <n v="25.62"/>
    <n v="197.3"/>
    <n v="133"/>
    <n v="16.77"/>
    <n v="169"/>
    <n v="116"/>
    <n v="7.61"/>
    <n v="9.1999999999999993"/>
    <n v="15"/>
    <n v="2.48"/>
    <x v="0"/>
    <x v="0"/>
  </r>
  <r>
    <x v="46"/>
    <n v="88"/>
    <n v="415"/>
    <x v="0"/>
    <x v="0"/>
    <n v="0"/>
    <n v="161.5"/>
    <n v="92"/>
    <n v="27.46"/>
    <n v="173.5"/>
    <n v="108"/>
    <n v="14.75"/>
    <n v="206.2"/>
    <n v="95"/>
    <n v="9.2799999999999994"/>
    <n v="7.9"/>
    <n v="4"/>
    <n v="2.13"/>
    <x v="2"/>
    <x v="0"/>
  </r>
  <r>
    <x v="44"/>
    <n v="153"/>
    <n v="408"/>
    <x v="0"/>
    <x v="1"/>
    <n v="28"/>
    <n v="235.6"/>
    <n v="74"/>
    <n v="40.049999999999997"/>
    <n v="227.9"/>
    <n v="37"/>
    <n v="19.37"/>
    <n v="170.3"/>
    <n v="103"/>
    <n v="7.66"/>
    <n v="15.4"/>
    <n v="9"/>
    <n v="4.16"/>
    <x v="3"/>
    <x v="0"/>
  </r>
  <r>
    <x v="47"/>
    <n v="54"/>
    <n v="415"/>
    <x v="0"/>
    <x v="1"/>
    <n v="39"/>
    <n v="206.9"/>
    <n v="143"/>
    <n v="35.17"/>
    <n v="127.8"/>
    <n v="72"/>
    <n v="10.86"/>
    <n v="199.2"/>
    <n v="120"/>
    <n v="8.9600000000000009"/>
    <n v="9.1999999999999993"/>
    <n v="1"/>
    <n v="2.48"/>
    <x v="4"/>
    <x v="0"/>
  </r>
  <r>
    <x v="17"/>
    <n v="79"/>
    <n v="510"/>
    <x v="0"/>
    <x v="0"/>
    <n v="0"/>
    <n v="157.6"/>
    <n v="85"/>
    <n v="26.79"/>
    <n v="194.1"/>
    <n v="92"/>
    <n v="16.5"/>
    <n v="231.5"/>
    <n v="86"/>
    <n v="10.42"/>
    <n v="9.4"/>
    <n v="10"/>
    <n v="2.54"/>
    <x v="5"/>
    <x v="1"/>
  </r>
  <r>
    <x v="10"/>
    <n v="55"/>
    <n v="415"/>
    <x v="0"/>
    <x v="0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x v="3"/>
    <x v="0"/>
  </r>
  <r>
    <x v="12"/>
    <n v="109"/>
    <n v="408"/>
    <x v="0"/>
    <x v="0"/>
    <n v="0"/>
    <n v="264.7"/>
    <n v="69"/>
    <n v="45"/>
    <n v="305"/>
    <n v="120"/>
    <n v="25.93"/>
    <n v="197.4"/>
    <n v="86"/>
    <n v="8.8800000000000008"/>
    <n v="9.5"/>
    <n v="9"/>
    <n v="2.57"/>
    <x v="0"/>
    <x v="1"/>
  </r>
  <r>
    <x v="32"/>
    <n v="65"/>
    <n v="408"/>
    <x v="0"/>
    <x v="1"/>
    <n v="31"/>
    <n v="282.3"/>
    <n v="70"/>
    <n v="47.99"/>
    <n v="152"/>
    <n v="89"/>
    <n v="12.92"/>
    <n v="225.5"/>
    <n v="93"/>
    <n v="10.15"/>
    <n v="12"/>
    <n v="4"/>
    <n v="3.24"/>
    <x v="0"/>
    <x v="0"/>
  </r>
  <r>
    <x v="12"/>
    <n v="27"/>
    <n v="510"/>
    <x v="0"/>
    <x v="0"/>
    <n v="0"/>
    <n v="193.8"/>
    <n v="102"/>
    <n v="32.950000000000003"/>
    <n v="118.9"/>
    <n v="104"/>
    <n v="10.11"/>
    <n v="135.9"/>
    <n v="124"/>
    <n v="6.12"/>
    <n v="9.1999999999999993"/>
    <n v="3"/>
    <n v="2.48"/>
    <x v="3"/>
    <x v="0"/>
  </r>
  <r>
    <x v="44"/>
    <n v="32"/>
    <n v="408"/>
    <x v="0"/>
    <x v="1"/>
    <n v="26"/>
    <n v="266.7"/>
    <n v="109"/>
    <n v="45.34"/>
    <n v="232.3"/>
    <n v="107"/>
    <n v="19.75"/>
    <n v="212.8"/>
    <n v="98"/>
    <n v="9.58"/>
    <n v="16.3"/>
    <n v="4"/>
    <n v="4.4000000000000004"/>
    <x v="0"/>
    <x v="0"/>
  </r>
  <r>
    <x v="34"/>
    <n v="3"/>
    <n v="415"/>
    <x v="0"/>
    <x v="1"/>
    <n v="36"/>
    <n v="118.1"/>
    <n v="117"/>
    <n v="20.079999999999998"/>
    <n v="221.5"/>
    <n v="125"/>
    <n v="18.829999999999998"/>
    <n v="103.9"/>
    <n v="89"/>
    <n v="4.68"/>
    <n v="11.9"/>
    <n v="6"/>
    <n v="3.21"/>
    <x v="2"/>
    <x v="0"/>
  </r>
  <r>
    <x v="36"/>
    <n v="119"/>
    <n v="415"/>
    <x v="0"/>
    <x v="0"/>
    <n v="0"/>
    <n v="176.8"/>
    <n v="90"/>
    <n v="30.06"/>
    <n v="224.7"/>
    <n v="81"/>
    <n v="19.100000000000001"/>
    <n v="204.6"/>
    <n v="77"/>
    <n v="9.2100000000000009"/>
    <n v="7.5"/>
    <n v="15"/>
    <n v="2.0299999999999998"/>
    <x v="0"/>
    <x v="0"/>
  </r>
  <r>
    <x v="0"/>
    <n v="43"/>
    <n v="415"/>
    <x v="0"/>
    <x v="0"/>
    <n v="0"/>
    <n v="241.9"/>
    <n v="101"/>
    <n v="41.12"/>
    <n v="129.4"/>
    <n v="121"/>
    <n v="11"/>
    <n v="264.8"/>
    <n v="104"/>
    <n v="11.92"/>
    <n v="5.9"/>
    <n v="3"/>
    <n v="1.59"/>
    <x v="0"/>
    <x v="0"/>
  </r>
  <r>
    <x v="30"/>
    <n v="116"/>
    <n v="510"/>
    <x v="0"/>
    <x v="0"/>
    <n v="0"/>
    <n v="189.5"/>
    <n v="90"/>
    <n v="32.22"/>
    <n v="189.8"/>
    <n v="118"/>
    <n v="16.13"/>
    <n v="205.8"/>
    <n v="83"/>
    <n v="9.26"/>
    <n v="13.1"/>
    <n v="2"/>
    <n v="3.54"/>
    <x v="0"/>
    <x v="0"/>
  </r>
  <r>
    <x v="44"/>
    <n v="107"/>
    <n v="415"/>
    <x v="0"/>
    <x v="0"/>
    <n v="0"/>
    <n v="123.1"/>
    <n v="100"/>
    <n v="20.93"/>
    <n v="158.4"/>
    <n v="82"/>
    <n v="13.46"/>
    <n v="256.10000000000002"/>
    <n v="82"/>
    <n v="11.52"/>
    <n v="9.3000000000000007"/>
    <n v="5"/>
    <n v="2.5099999999999998"/>
    <x v="3"/>
    <x v="0"/>
  </r>
  <r>
    <x v="46"/>
    <n v="123"/>
    <n v="408"/>
    <x v="0"/>
    <x v="0"/>
    <n v="0"/>
    <n v="159.1"/>
    <n v="94"/>
    <n v="27.05"/>
    <n v="241.6"/>
    <n v="119"/>
    <n v="20.54"/>
    <n v="202.4"/>
    <n v="120"/>
    <n v="9.11"/>
    <n v="6.5"/>
    <n v="1"/>
    <n v="1.76"/>
    <x v="0"/>
    <x v="0"/>
  </r>
  <r>
    <x v="5"/>
    <n v="110"/>
    <n v="408"/>
    <x v="0"/>
    <x v="0"/>
    <n v="0"/>
    <n v="100.1"/>
    <n v="90"/>
    <n v="17.02"/>
    <n v="233.3"/>
    <n v="93"/>
    <n v="19.829999999999998"/>
    <n v="204.4"/>
    <n v="57"/>
    <n v="9.1999999999999993"/>
    <n v="11.1"/>
    <n v="8"/>
    <n v="3"/>
    <x v="4"/>
    <x v="0"/>
  </r>
  <r>
    <x v="40"/>
    <n v="176"/>
    <n v="415"/>
    <x v="0"/>
    <x v="0"/>
    <n v="0"/>
    <n v="223.2"/>
    <n v="76"/>
    <n v="37.94"/>
    <n v="214.4"/>
    <n v="131"/>
    <n v="18.22"/>
    <n v="154.4"/>
    <n v="80"/>
    <n v="6.95"/>
    <n v="10.1"/>
    <n v="2"/>
    <n v="2.73"/>
    <x v="4"/>
    <x v="0"/>
  </r>
  <r>
    <x v="10"/>
    <n v="13"/>
    <n v="510"/>
    <x v="0"/>
    <x v="1"/>
    <n v="21"/>
    <n v="315.60000000000002"/>
    <n v="105"/>
    <n v="53.65"/>
    <n v="208.9"/>
    <n v="71"/>
    <n v="17.760000000000002"/>
    <n v="260.10000000000002"/>
    <n v="123"/>
    <n v="11.7"/>
    <n v="12.1"/>
    <n v="3"/>
    <n v="3.27"/>
    <x v="4"/>
    <x v="0"/>
  </r>
  <r>
    <x v="30"/>
    <n v="88"/>
    <n v="415"/>
    <x v="0"/>
    <x v="0"/>
    <n v="0"/>
    <n v="189.8"/>
    <n v="111"/>
    <n v="32.270000000000003"/>
    <n v="197.3"/>
    <n v="101"/>
    <n v="16.77"/>
    <n v="234.5"/>
    <n v="111"/>
    <n v="10.55"/>
    <n v="14.9"/>
    <n v="3"/>
    <n v="4.0199999999999996"/>
    <x v="2"/>
    <x v="0"/>
  </r>
  <r>
    <x v="42"/>
    <n v="92"/>
    <n v="510"/>
    <x v="0"/>
    <x v="1"/>
    <n v="29"/>
    <n v="155.4"/>
    <n v="110"/>
    <n v="26.42"/>
    <n v="188.5"/>
    <n v="104"/>
    <n v="16.02"/>
    <n v="254.9"/>
    <n v="118"/>
    <n v="11.47"/>
    <n v="8"/>
    <n v="4"/>
    <n v="2.16"/>
    <x v="4"/>
    <x v="0"/>
  </r>
  <r>
    <x v="9"/>
    <n v="165"/>
    <n v="510"/>
    <x v="0"/>
    <x v="0"/>
    <n v="0"/>
    <n v="154.19999999999999"/>
    <n v="91"/>
    <n v="26.21"/>
    <n v="268.60000000000002"/>
    <n v="108"/>
    <n v="22.83"/>
    <n v="188.8"/>
    <n v="99"/>
    <n v="8.5"/>
    <n v="10.9"/>
    <n v="4"/>
    <n v="2.94"/>
    <x v="6"/>
    <x v="0"/>
  </r>
  <r>
    <x v="47"/>
    <n v="156"/>
    <n v="415"/>
    <x v="0"/>
    <x v="0"/>
    <n v="0"/>
    <n v="178.8"/>
    <n v="94"/>
    <n v="30.4"/>
    <n v="178.4"/>
    <n v="97"/>
    <n v="15.16"/>
    <n v="169.2"/>
    <n v="77"/>
    <n v="7.61"/>
    <n v="7.5"/>
    <n v="3"/>
    <n v="2.0299999999999998"/>
    <x v="0"/>
    <x v="0"/>
  </r>
  <r>
    <x v="18"/>
    <n v="63"/>
    <n v="408"/>
    <x v="0"/>
    <x v="0"/>
    <n v="0"/>
    <n v="149.30000000000001"/>
    <n v="104"/>
    <n v="25.38"/>
    <n v="273.60000000000002"/>
    <n v="75"/>
    <n v="23.26"/>
    <n v="206.6"/>
    <n v="72"/>
    <n v="9.3000000000000007"/>
    <n v="9.1"/>
    <n v="4"/>
    <n v="2.46"/>
    <x v="3"/>
    <x v="0"/>
  </r>
  <r>
    <x v="7"/>
    <n v="83"/>
    <n v="415"/>
    <x v="1"/>
    <x v="1"/>
    <n v="32"/>
    <n v="94.7"/>
    <n v="111"/>
    <n v="16.100000000000001"/>
    <n v="154.4"/>
    <n v="98"/>
    <n v="13.12"/>
    <n v="200.4"/>
    <n v="109"/>
    <n v="9.02"/>
    <n v="10.6"/>
    <n v="6"/>
    <n v="2.86"/>
    <x v="2"/>
    <x v="0"/>
  </r>
  <r>
    <x v="8"/>
    <n v="158"/>
    <n v="415"/>
    <x v="0"/>
    <x v="0"/>
    <n v="0"/>
    <n v="222.8"/>
    <n v="101"/>
    <n v="37.880000000000003"/>
    <n v="203"/>
    <n v="128"/>
    <n v="17.260000000000002"/>
    <n v="210.6"/>
    <n v="106"/>
    <n v="9.48"/>
    <n v="6.9"/>
    <n v="2"/>
    <n v="1.86"/>
    <x v="2"/>
    <x v="0"/>
  </r>
  <r>
    <x v="44"/>
    <n v="115"/>
    <n v="510"/>
    <x v="1"/>
    <x v="0"/>
    <n v="0"/>
    <n v="249.9"/>
    <n v="95"/>
    <n v="42.48"/>
    <n v="242.5"/>
    <n v="104"/>
    <n v="20.61"/>
    <n v="151.69999999999999"/>
    <n v="121"/>
    <n v="6.83"/>
    <n v="15.3"/>
    <n v="6"/>
    <n v="4.13"/>
    <x v="0"/>
    <x v="1"/>
  </r>
  <r>
    <x v="37"/>
    <n v="103"/>
    <n v="510"/>
    <x v="0"/>
    <x v="1"/>
    <n v="36"/>
    <n v="87.2"/>
    <n v="92"/>
    <n v="14.82"/>
    <n v="169.3"/>
    <n v="110"/>
    <n v="14.39"/>
    <n v="166.7"/>
    <n v="80"/>
    <n v="7.5"/>
    <n v="10.9"/>
    <n v="5"/>
    <n v="2.94"/>
    <x v="6"/>
    <x v="1"/>
  </r>
  <r>
    <x v="42"/>
    <n v="64"/>
    <n v="415"/>
    <x v="0"/>
    <x v="0"/>
    <n v="0"/>
    <n v="224.8"/>
    <n v="111"/>
    <n v="38.22"/>
    <n v="190"/>
    <n v="101"/>
    <n v="16.149999999999999"/>
    <n v="221.4"/>
    <n v="110"/>
    <n v="9.9600000000000009"/>
    <n v="9.1999999999999993"/>
    <n v="2"/>
    <n v="2.48"/>
    <x v="0"/>
    <x v="0"/>
  </r>
  <r>
    <x v="27"/>
    <n v="86"/>
    <n v="510"/>
    <x v="0"/>
    <x v="1"/>
    <n v="39"/>
    <n v="261.2"/>
    <n v="122"/>
    <n v="44.4"/>
    <n v="214.2"/>
    <n v="101"/>
    <n v="18.21"/>
    <n v="154.9"/>
    <n v="101"/>
    <n v="6.97"/>
    <n v="12.7"/>
    <n v="5"/>
    <n v="3.43"/>
    <x v="2"/>
    <x v="0"/>
  </r>
  <r>
    <x v="40"/>
    <n v="151"/>
    <n v="415"/>
    <x v="0"/>
    <x v="1"/>
    <n v="26"/>
    <n v="196.5"/>
    <n v="98"/>
    <n v="33.409999999999997"/>
    <n v="175.8"/>
    <n v="111"/>
    <n v="14.94"/>
    <n v="221.8"/>
    <n v="124"/>
    <n v="9.98"/>
    <n v="13.4"/>
    <n v="5"/>
    <n v="3.62"/>
    <x v="3"/>
    <x v="0"/>
  </r>
  <r>
    <x v="24"/>
    <n v="87"/>
    <n v="510"/>
    <x v="1"/>
    <x v="0"/>
    <n v="0"/>
    <n v="167.3"/>
    <n v="119"/>
    <n v="28.44"/>
    <n v="198.5"/>
    <n v="119"/>
    <n v="16.87"/>
    <n v="133.1"/>
    <n v="88"/>
    <n v="5.99"/>
    <n v="11"/>
    <n v="6"/>
    <n v="2.97"/>
    <x v="0"/>
    <x v="0"/>
  </r>
  <r>
    <x v="26"/>
    <n v="90"/>
    <n v="415"/>
    <x v="0"/>
    <x v="0"/>
    <n v="0"/>
    <n v="109.6"/>
    <n v="88"/>
    <n v="18.63"/>
    <n v="137.6"/>
    <n v="108"/>
    <n v="11.7"/>
    <n v="159.69999999999999"/>
    <n v="121"/>
    <n v="7.19"/>
    <n v="11"/>
    <n v="5"/>
    <n v="2.97"/>
    <x v="2"/>
    <x v="0"/>
  </r>
  <r>
    <x v="0"/>
    <n v="108"/>
    <n v="510"/>
    <x v="0"/>
    <x v="1"/>
    <n v="30"/>
    <n v="276.60000000000002"/>
    <n v="99"/>
    <n v="47.02"/>
    <n v="220.1"/>
    <n v="113"/>
    <n v="18.71"/>
    <n v="177.9"/>
    <n v="95"/>
    <n v="8.01"/>
    <n v="9.8000000000000007"/>
    <n v="6"/>
    <n v="2.65"/>
    <x v="2"/>
    <x v="0"/>
  </r>
  <r>
    <x v="48"/>
    <n v="33"/>
    <n v="415"/>
    <x v="0"/>
    <x v="1"/>
    <n v="35"/>
    <n v="186.8"/>
    <n v="124"/>
    <n v="31.76"/>
    <n v="261"/>
    <n v="69"/>
    <n v="22.19"/>
    <n v="317.8"/>
    <n v="103"/>
    <n v="14.3"/>
    <n v="15"/>
    <n v="5"/>
    <n v="4.05"/>
    <x v="3"/>
    <x v="0"/>
  </r>
  <r>
    <x v="9"/>
    <n v="149"/>
    <n v="415"/>
    <x v="1"/>
    <x v="1"/>
    <n v="28"/>
    <n v="126.9"/>
    <n v="97"/>
    <n v="21.57"/>
    <n v="166.9"/>
    <n v="102"/>
    <n v="14.19"/>
    <n v="145.19999999999999"/>
    <n v="77"/>
    <n v="6.53"/>
    <n v="8.8000000000000007"/>
    <n v="3"/>
    <n v="2.38"/>
    <x v="5"/>
    <x v="1"/>
  </r>
  <r>
    <x v="12"/>
    <n v="106"/>
    <n v="510"/>
    <x v="0"/>
    <x v="0"/>
    <n v="0"/>
    <n v="169.4"/>
    <n v="107"/>
    <n v="28.8"/>
    <n v="197.2"/>
    <n v="71"/>
    <n v="16.760000000000002"/>
    <n v="202.2"/>
    <n v="79"/>
    <n v="9.1"/>
    <n v="10.7"/>
    <n v="4"/>
    <n v="2.89"/>
    <x v="0"/>
    <x v="0"/>
  </r>
  <r>
    <x v="46"/>
    <n v="167"/>
    <n v="408"/>
    <x v="1"/>
    <x v="0"/>
    <n v="0"/>
    <n v="219.1"/>
    <n v="100"/>
    <n v="37.25"/>
    <n v="242.9"/>
    <n v="90"/>
    <n v="20.65"/>
    <n v="168.9"/>
    <n v="101"/>
    <n v="7.6"/>
    <n v="10.1"/>
    <n v="4"/>
    <n v="2.73"/>
    <x v="2"/>
    <x v="0"/>
  </r>
  <r>
    <x v="9"/>
    <n v="35"/>
    <n v="510"/>
    <x v="0"/>
    <x v="1"/>
    <n v="27"/>
    <n v="241.7"/>
    <n v="87"/>
    <n v="41.09"/>
    <n v="142"/>
    <n v="101"/>
    <n v="12.07"/>
    <n v="288.89999999999998"/>
    <n v="68"/>
    <n v="13"/>
    <n v="9.4"/>
    <n v="4"/>
    <n v="2.54"/>
    <x v="0"/>
    <x v="0"/>
  </r>
  <r>
    <x v="21"/>
    <n v="107"/>
    <n v="415"/>
    <x v="0"/>
    <x v="1"/>
    <n v="22"/>
    <n v="281.10000000000002"/>
    <n v="83"/>
    <n v="47.79"/>
    <n v="143.69999999999999"/>
    <n v="130"/>
    <n v="12.21"/>
    <n v="239.4"/>
    <n v="128"/>
    <n v="10.77"/>
    <n v="11.2"/>
    <n v="9"/>
    <n v="3.02"/>
    <x v="0"/>
    <x v="0"/>
  </r>
  <r>
    <x v="16"/>
    <n v="92"/>
    <n v="415"/>
    <x v="1"/>
    <x v="1"/>
    <n v="45"/>
    <n v="281.10000000000002"/>
    <n v="88"/>
    <n v="47.79"/>
    <n v="198"/>
    <n v="103"/>
    <n v="16.829999999999998"/>
    <n v="94.3"/>
    <n v="76"/>
    <n v="4.24"/>
    <n v="7.5"/>
    <n v="3"/>
    <n v="2.0299999999999998"/>
    <x v="3"/>
    <x v="0"/>
  </r>
  <r>
    <x v="11"/>
    <n v="38"/>
    <n v="415"/>
    <x v="0"/>
    <x v="0"/>
    <n v="0"/>
    <n v="137.80000000000001"/>
    <n v="86"/>
    <n v="23.43"/>
    <n v="286.3"/>
    <n v="76"/>
    <n v="24.34"/>
    <n v="167"/>
    <n v="77"/>
    <n v="7.52"/>
    <n v="14.1"/>
    <n v="3"/>
    <n v="3.81"/>
    <x v="2"/>
    <x v="0"/>
  </r>
  <r>
    <x v="8"/>
    <n v="68"/>
    <n v="408"/>
    <x v="1"/>
    <x v="0"/>
    <n v="0"/>
    <n v="148.5"/>
    <n v="126"/>
    <n v="25.25"/>
    <n v="219.4"/>
    <n v="125"/>
    <n v="18.649999999999999"/>
    <n v="198.5"/>
    <n v="121"/>
    <n v="8.93"/>
    <n v="14.5"/>
    <n v="7"/>
    <n v="3.92"/>
    <x v="0"/>
    <x v="1"/>
  </r>
  <r>
    <x v="19"/>
    <n v="123"/>
    <n v="510"/>
    <x v="0"/>
    <x v="0"/>
    <n v="0"/>
    <n v="194"/>
    <n v="118"/>
    <n v="32.979999999999997"/>
    <n v="242"/>
    <n v="114"/>
    <n v="20.57"/>
    <n v="146.30000000000001"/>
    <n v="108"/>
    <n v="6.58"/>
    <n v="12.1"/>
    <n v="4"/>
    <n v="3.27"/>
    <x v="0"/>
    <x v="0"/>
  </r>
  <r>
    <x v="18"/>
    <n v="75"/>
    <n v="510"/>
    <x v="0"/>
    <x v="1"/>
    <n v="41"/>
    <n v="130.9"/>
    <n v="115"/>
    <n v="22.25"/>
    <n v="203.4"/>
    <n v="110"/>
    <n v="17.29"/>
    <n v="171.7"/>
    <n v="68"/>
    <n v="7.73"/>
    <n v="12.4"/>
    <n v="4"/>
    <n v="3.35"/>
    <x v="0"/>
    <x v="0"/>
  </r>
  <r>
    <x v="24"/>
    <n v="153"/>
    <n v="408"/>
    <x v="0"/>
    <x v="0"/>
    <n v="0"/>
    <n v="185.3"/>
    <n v="127"/>
    <n v="31.5"/>
    <n v="208"/>
    <n v="73"/>
    <n v="17.68"/>
    <n v="206.1"/>
    <n v="124"/>
    <n v="9.27"/>
    <n v="15.1"/>
    <n v="3"/>
    <n v="4.08"/>
    <x v="0"/>
    <x v="0"/>
  </r>
  <r>
    <x v="29"/>
    <n v="143"/>
    <n v="415"/>
    <x v="0"/>
    <x v="0"/>
    <n v="0"/>
    <n v="119.1"/>
    <n v="117"/>
    <n v="20.25"/>
    <n v="287.7"/>
    <n v="136"/>
    <n v="24.45"/>
    <n v="223"/>
    <n v="100"/>
    <n v="10.039999999999999"/>
    <n v="12.2"/>
    <n v="4"/>
    <n v="3.29"/>
    <x v="3"/>
    <x v="0"/>
  </r>
  <r>
    <x v="3"/>
    <n v="87"/>
    <n v="408"/>
    <x v="0"/>
    <x v="0"/>
    <n v="0"/>
    <n v="322.5"/>
    <n v="106"/>
    <n v="54.83"/>
    <n v="204.6"/>
    <n v="93"/>
    <n v="17.39"/>
    <n v="186.2"/>
    <n v="128"/>
    <n v="8.3800000000000008"/>
    <n v="9.4"/>
    <n v="4"/>
    <n v="2.54"/>
    <x v="2"/>
    <x v="1"/>
  </r>
  <r>
    <x v="1"/>
    <n v="100"/>
    <n v="510"/>
    <x v="0"/>
    <x v="0"/>
    <n v="0"/>
    <n v="216.2"/>
    <n v="107"/>
    <n v="36.75"/>
    <n v="215.6"/>
    <n v="84"/>
    <n v="18.329999999999998"/>
    <n v="138.4"/>
    <n v="127"/>
    <n v="6.23"/>
    <n v="10.199999999999999"/>
    <n v="3"/>
    <n v="2.75"/>
    <x v="3"/>
    <x v="0"/>
  </r>
  <r>
    <x v="29"/>
    <n v="144"/>
    <n v="415"/>
    <x v="0"/>
    <x v="1"/>
    <n v="51"/>
    <n v="283.89999999999998"/>
    <n v="98"/>
    <n v="48.26"/>
    <n v="192"/>
    <n v="109"/>
    <n v="16.32"/>
    <n v="196.3"/>
    <n v="85"/>
    <n v="8.83"/>
    <n v="10"/>
    <n v="4"/>
    <n v="2.7"/>
    <x v="0"/>
    <x v="0"/>
  </r>
  <r>
    <x v="46"/>
    <n v="70"/>
    <n v="415"/>
    <x v="0"/>
    <x v="1"/>
    <n v="31"/>
    <n v="125.9"/>
    <n v="101"/>
    <n v="21.4"/>
    <n v="196.4"/>
    <n v="102"/>
    <n v="16.690000000000001"/>
    <n v="252.7"/>
    <n v="75"/>
    <n v="11.37"/>
    <n v="10.3"/>
    <n v="4"/>
    <n v="2.78"/>
    <x v="0"/>
    <x v="0"/>
  </r>
  <r>
    <x v="13"/>
    <n v="136"/>
    <n v="408"/>
    <x v="1"/>
    <x v="0"/>
    <n v="0"/>
    <n v="199.6"/>
    <n v="89"/>
    <n v="33.93"/>
    <n v="211.4"/>
    <n v="96"/>
    <n v="17.97"/>
    <n v="72.400000000000006"/>
    <n v="84"/>
    <n v="3.26"/>
    <n v="11"/>
    <n v="4"/>
    <n v="2.97"/>
    <x v="4"/>
    <x v="1"/>
  </r>
  <r>
    <x v="21"/>
    <n v="120"/>
    <n v="415"/>
    <x v="0"/>
    <x v="1"/>
    <n v="24"/>
    <n v="212.7"/>
    <n v="73"/>
    <n v="36.159999999999997"/>
    <n v="257.5"/>
    <n v="103"/>
    <n v="21.89"/>
    <n v="227.8"/>
    <n v="119"/>
    <n v="10.25"/>
    <n v="9.6999999999999993"/>
    <n v="13"/>
    <n v="2.62"/>
    <x v="2"/>
    <x v="0"/>
  </r>
  <r>
    <x v="28"/>
    <n v="104"/>
    <n v="408"/>
    <x v="0"/>
    <x v="0"/>
    <n v="0"/>
    <n v="183.6"/>
    <n v="133"/>
    <n v="31.21"/>
    <n v="120.7"/>
    <n v="98"/>
    <n v="10.26"/>
    <n v="215.1"/>
    <n v="112"/>
    <n v="9.68"/>
    <n v="12.7"/>
    <n v="2"/>
    <n v="3.43"/>
    <x v="0"/>
    <x v="0"/>
  </r>
  <r>
    <x v="17"/>
    <n v="75"/>
    <n v="510"/>
    <x v="0"/>
    <x v="1"/>
    <n v="38"/>
    <n v="163.6"/>
    <n v="132"/>
    <n v="27.81"/>
    <n v="146.69999999999999"/>
    <n v="113"/>
    <n v="12.47"/>
    <n v="345.8"/>
    <n v="115"/>
    <n v="15.56"/>
    <n v="13.1"/>
    <n v="3"/>
    <n v="3.54"/>
    <x v="4"/>
    <x v="0"/>
  </r>
  <r>
    <x v="19"/>
    <n v="127"/>
    <n v="510"/>
    <x v="1"/>
    <x v="0"/>
    <n v="0"/>
    <n v="180.9"/>
    <n v="114"/>
    <n v="30.75"/>
    <n v="209.5"/>
    <n v="118"/>
    <n v="17.809999999999999"/>
    <n v="249.9"/>
    <n v="105"/>
    <n v="11.25"/>
    <n v="7.4"/>
    <n v="4"/>
    <n v="2"/>
    <x v="2"/>
    <x v="0"/>
  </r>
  <r>
    <x v="7"/>
    <n v="122"/>
    <n v="510"/>
    <x v="0"/>
    <x v="1"/>
    <n v="33"/>
    <n v="270.8"/>
    <n v="96"/>
    <n v="46.04"/>
    <n v="220.4"/>
    <n v="110"/>
    <n v="18.73"/>
    <n v="169.9"/>
    <n v="104"/>
    <n v="7.65"/>
    <n v="11.8"/>
    <n v="8"/>
    <n v="3.19"/>
    <x v="1"/>
    <x v="0"/>
  </r>
  <r>
    <x v="11"/>
    <n v="124"/>
    <n v="415"/>
    <x v="0"/>
    <x v="0"/>
    <n v="0"/>
    <n v="178.4"/>
    <n v="72"/>
    <n v="30.33"/>
    <n v="233.6"/>
    <n v="134"/>
    <n v="19.86"/>
    <n v="179.4"/>
    <n v="91"/>
    <n v="8.07"/>
    <n v="12"/>
    <n v="2"/>
    <n v="3.24"/>
    <x v="3"/>
    <x v="0"/>
  </r>
  <r>
    <x v="21"/>
    <n v="167"/>
    <n v="415"/>
    <x v="1"/>
    <x v="0"/>
    <n v="0"/>
    <n v="244.8"/>
    <n v="91"/>
    <n v="41.62"/>
    <n v="60.8"/>
    <n v="105"/>
    <n v="5.17"/>
    <n v="176.7"/>
    <n v="110"/>
    <n v="7.95"/>
    <n v="10.7"/>
    <n v="3"/>
    <n v="2.89"/>
    <x v="2"/>
    <x v="0"/>
  </r>
  <r>
    <x v="8"/>
    <n v="89"/>
    <n v="415"/>
    <x v="0"/>
    <x v="1"/>
    <n v="32"/>
    <n v="209.9"/>
    <n v="113"/>
    <n v="35.68"/>
    <n v="249.8"/>
    <n v="104"/>
    <n v="21.23"/>
    <n v="224.2"/>
    <n v="92"/>
    <n v="10.09"/>
    <n v="8.6999999999999993"/>
    <n v="7"/>
    <n v="2.35"/>
    <x v="0"/>
    <x v="0"/>
  </r>
  <r>
    <x v="11"/>
    <n v="73"/>
    <n v="408"/>
    <x v="0"/>
    <x v="0"/>
    <n v="0"/>
    <n v="213"/>
    <n v="95"/>
    <n v="36.21"/>
    <n v="188.8"/>
    <n v="104"/>
    <n v="16.05"/>
    <n v="136.19999999999999"/>
    <n v="89"/>
    <n v="6.13"/>
    <n v="13.5"/>
    <n v="3"/>
    <n v="3.65"/>
    <x v="3"/>
    <x v="0"/>
  </r>
  <r>
    <x v="27"/>
    <n v="1"/>
    <n v="415"/>
    <x v="0"/>
    <x v="0"/>
    <n v="0"/>
    <n v="144.80000000000001"/>
    <n v="107"/>
    <n v="24.62"/>
    <n v="112.5"/>
    <n v="66"/>
    <n v="9.56"/>
    <n v="218.7"/>
    <n v="79"/>
    <n v="9.84"/>
    <n v="13.8"/>
    <n v="3"/>
    <n v="3.73"/>
    <x v="0"/>
    <x v="0"/>
  </r>
  <r>
    <x v="14"/>
    <n v="60"/>
    <n v="408"/>
    <x v="0"/>
    <x v="0"/>
    <n v="0"/>
    <n v="135.4"/>
    <n v="134"/>
    <n v="23.02"/>
    <n v="205.9"/>
    <n v="85"/>
    <n v="17.5"/>
    <n v="204"/>
    <n v="103"/>
    <n v="9.18"/>
    <n v="7.9"/>
    <n v="4"/>
    <n v="2.13"/>
    <x v="0"/>
    <x v="0"/>
  </r>
  <r>
    <x v="44"/>
    <n v="77"/>
    <n v="510"/>
    <x v="0"/>
    <x v="0"/>
    <n v="0"/>
    <n v="67.7"/>
    <n v="68"/>
    <n v="11.51"/>
    <n v="195.7"/>
    <n v="86"/>
    <n v="16.63"/>
    <n v="236.5"/>
    <n v="137"/>
    <n v="10.64"/>
    <n v="12"/>
    <n v="2"/>
    <n v="3.24"/>
    <x v="0"/>
    <x v="0"/>
  </r>
  <r>
    <x v="39"/>
    <n v="76"/>
    <n v="415"/>
    <x v="0"/>
    <x v="0"/>
    <n v="0"/>
    <n v="224.4"/>
    <n v="121"/>
    <n v="38.15"/>
    <n v="147.9"/>
    <n v="97"/>
    <n v="12.57"/>
    <n v="183.8"/>
    <n v="74"/>
    <n v="8.27"/>
    <n v="6.7"/>
    <n v="2"/>
    <n v="1.81"/>
    <x v="2"/>
    <x v="0"/>
  </r>
  <r>
    <x v="49"/>
    <n v="63"/>
    <n v="510"/>
    <x v="0"/>
    <x v="0"/>
    <n v="0"/>
    <n v="153.5"/>
    <n v="81"/>
    <n v="26.1"/>
    <n v="287.3"/>
    <n v="115"/>
    <n v="24.42"/>
    <n v="230.2"/>
    <n v="85"/>
    <n v="10.36"/>
    <n v="6.5"/>
    <n v="5"/>
    <n v="1.76"/>
    <x v="2"/>
    <x v="0"/>
  </r>
  <r>
    <x v="10"/>
    <n v="150"/>
    <n v="415"/>
    <x v="0"/>
    <x v="1"/>
    <n v="28"/>
    <n v="174.4"/>
    <n v="75"/>
    <n v="29.65"/>
    <n v="169.9"/>
    <n v="80"/>
    <n v="14.44"/>
    <n v="201.6"/>
    <n v="130"/>
    <n v="9.07"/>
    <n v="11"/>
    <n v="4"/>
    <n v="2.97"/>
    <x v="0"/>
    <x v="0"/>
  </r>
  <r>
    <x v="11"/>
    <n v="101"/>
    <n v="415"/>
    <x v="0"/>
    <x v="0"/>
    <n v="0"/>
    <n v="153.80000000000001"/>
    <n v="89"/>
    <n v="26.15"/>
    <n v="234"/>
    <n v="89"/>
    <n v="19.89"/>
    <n v="196.3"/>
    <n v="77"/>
    <n v="8.83"/>
    <n v="11.6"/>
    <n v="2"/>
    <n v="3.13"/>
    <x v="1"/>
    <x v="0"/>
  </r>
  <r>
    <x v="5"/>
    <n v="132"/>
    <n v="415"/>
    <x v="0"/>
    <x v="1"/>
    <n v="39"/>
    <n v="175.7"/>
    <n v="93"/>
    <n v="29.87"/>
    <n v="187.2"/>
    <n v="94"/>
    <n v="15.91"/>
    <n v="225.5"/>
    <n v="118"/>
    <n v="10.15"/>
    <n v="8.6"/>
    <n v="3"/>
    <n v="2.3199999999999998"/>
    <x v="2"/>
    <x v="0"/>
  </r>
  <r>
    <x v="17"/>
    <n v="158"/>
    <n v="510"/>
    <x v="0"/>
    <x v="0"/>
    <n v="0"/>
    <n v="155.9"/>
    <n v="123"/>
    <n v="26.5"/>
    <n v="224.2"/>
    <n v="112"/>
    <n v="19.059999999999999"/>
    <n v="221"/>
    <n v="116"/>
    <n v="9.9499999999999993"/>
    <n v="8.6"/>
    <n v="8"/>
    <n v="2.3199999999999998"/>
    <x v="2"/>
    <x v="0"/>
  </r>
  <r>
    <x v="27"/>
    <n v="114"/>
    <n v="415"/>
    <x v="0"/>
    <x v="1"/>
    <n v="34"/>
    <n v="154.4"/>
    <n v="109"/>
    <n v="26.25"/>
    <n v="221.4"/>
    <n v="142"/>
    <n v="18.82"/>
    <n v="208.5"/>
    <n v="103"/>
    <n v="9.3800000000000008"/>
    <n v="10.3"/>
    <n v="5"/>
    <n v="2.78"/>
    <x v="3"/>
    <x v="0"/>
  </r>
  <r>
    <x v="47"/>
    <n v="77"/>
    <n v="415"/>
    <x v="0"/>
    <x v="1"/>
    <n v="23"/>
    <n v="209.7"/>
    <n v="73"/>
    <n v="35.65"/>
    <n v="183.6"/>
    <n v="63"/>
    <n v="15.61"/>
    <n v="205.5"/>
    <n v="111"/>
    <n v="9.25"/>
    <n v="7.1"/>
    <n v="3"/>
    <n v="1.92"/>
    <x v="2"/>
    <x v="0"/>
  </r>
  <r>
    <x v="42"/>
    <n v="107"/>
    <n v="415"/>
    <x v="0"/>
    <x v="0"/>
    <n v="0"/>
    <n v="212.1"/>
    <n v="95"/>
    <n v="36.06"/>
    <n v="150.1"/>
    <n v="88"/>
    <n v="12.76"/>
    <n v="219.8"/>
    <n v="111"/>
    <n v="9.89"/>
    <n v="7.7"/>
    <n v="2"/>
    <n v="2.08"/>
    <x v="4"/>
    <x v="0"/>
  </r>
  <r>
    <x v="42"/>
    <n v="48"/>
    <n v="510"/>
    <x v="0"/>
    <x v="1"/>
    <n v="22"/>
    <n v="152"/>
    <n v="63"/>
    <n v="25.84"/>
    <n v="258.8"/>
    <n v="131"/>
    <n v="22"/>
    <n v="263.2"/>
    <n v="109"/>
    <n v="11.84"/>
    <n v="15.7"/>
    <n v="5"/>
    <n v="4.24"/>
    <x v="2"/>
    <x v="1"/>
  </r>
  <r>
    <x v="48"/>
    <n v="59"/>
    <n v="415"/>
    <x v="0"/>
    <x v="0"/>
    <n v="0"/>
    <n v="160.9"/>
    <n v="95"/>
    <n v="27.35"/>
    <n v="251.2"/>
    <n v="65"/>
    <n v="21.35"/>
    <n v="273.39999999999998"/>
    <n v="97"/>
    <n v="12.3"/>
    <n v="5"/>
    <n v="5"/>
    <n v="1.35"/>
    <x v="4"/>
    <x v="0"/>
  </r>
  <r>
    <x v="36"/>
    <n v="129"/>
    <n v="510"/>
    <x v="0"/>
    <x v="0"/>
    <n v="0"/>
    <n v="334.3"/>
    <n v="118"/>
    <n v="56.83"/>
    <n v="192.1"/>
    <n v="104"/>
    <n v="16.329999999999998"/>
    <n v="191"/>
    <n v="83"/>
    <n v="8.59"/>
    <n v="10.4"/>
    <n v="6"/>
    <n v="2.81"/>
    <x v="3"/>
    <x v="1"/>
  </r>
  <r>
    <x v="26"/>
    <n v="50"/>
    <n v="510"/>
    <x v="0"/>
    <x v="0"/>
    <n v="0"/>
    <n v="188.9"/>
    <n v="94"/>
    <n v="32.11"/>
    <n v="203.9"/>
    <n v="104"/>
    <n v="17.329999999999998"/>
    <n v="151.80000000000001"/>
    <n v="124"/>
    <n v="6.83"/>
    <n v="11.6"/>
    <n v="8"/>
    <n v="3.13"/>
    <x v="4"/>
    <x v="0"/>
  </r>
  <r>
    <x v="6"/>
    <n v="50"/>
    <n v="415"/>
    <x v="0"/>
    <x v="1"/>
    <n v="35"/>
    <n v="192.6"/>
    <n v="97"/>
    <n v="32.74"/>
    <n v="135.19999999999999"/>
    <n v="101"/>
    <n v="11.49"/>
    <n v="216.2"/>
    <n v="101"/>
    <n v="9.73"/>
    <n v="7.9"/>
    <n v="2"/>
    <n v="2.13"/>
    <x v="2"/>
    <x v="0"/>
  </r>
  <r>
    <x v="27"/>
    <n v="116"/>
    <n v="415"/>
    <x v="0"/>
    <x v="0"/>
    <n v="0"/>
    <n v="217.3"/>
    <n v="91"/>
    <n v="36.94"/>
    <n v="216.1"/>
    <n v="95"/>
    <n v="18.37"/>
    <n v="148.1"/>
    <n v="76"/>
    <n v="6.66"/>
    <n v="11.3"/>
    <n v="3"/>
    <n v="3.05"/>
    <x v="2"/>
    <x v="0"/>
  </r>
  <r>
    <x v="33"/>
    <n v="52"/>
    <n v="510"/>
    <x v="0"/>
    <x v="1"/>
    <n v="38"/>
    <n v="169.3"/>
    <n v="88"/>
    <n v="28.78"/>
    <n v="225.9"/>
    <n v="97"/>
    <n v="19.2"/>
    <n v="172"/>
    <n v="86"/>
    <n v="7.74"/>
    <n v="8.1999999999999993"/>
    <n v="3"/>
    <n v="2.21"/>
    <x v="3"/>
    <x v="0"/>
  </r>
  <r>
    <x v="46"/>
    <n v="12"/>
    <n v="510"/>
    <x v="1"/>
    <x v="0"/>
    <n v="0"/>
    <n v="216.7"/>
    <n v="117"/>
    <n v="36.840000000000003"/>
    <n v="116.5"/>
    <n v="126"/>
    <n v="9.9"/>
    <n v="220"/>
    <n v="110"/>
    <n v="9.9"/>
    <n v="9.8000000000000007"/>
    <n v="4"/>
    <n v="2.65"/>
    <x v="2"/>
    <x v="0"/>
  </r>
  <r>
    <x v="46"/>
    <n v="105"/>
    <n v="510"/>
    <x v="0"/>
    <x v="0"/>
    <n v="0"/>
    <n v="246.4"/>
    <n v="83"/>
    <n v="41.89"/>
    <n v="256.2"/>
    <n v="101"/>
    <n v="21.78"/>
    <n v="169"/>
    <n v="151"/>
    <n v="7.61"/>
    <n v="3.8"/>
    <n v="4"/>
    <n v="1.03"/>
    <x v="3"/>
    <x v="0"/>
  </r>
  <r>
    <x v="2"/>
    <n v="104"/>
    <n v="415"/>
    <x v="0"/>
    <x v="0"/>
    <n v="0"/>
    <n v="156.19999999999999"/>
    <n v="93"/>
    <n v="26.55"/>
    <n v="193"/>
    <n v="54"/>
    <n v="16.41"/>
    <n v="222.7"/>
    <n v="94"/>
    <n v="10.02"/>
    <n v="13.1"/>
    <n v="5"/>
    <n v="3.54"/>
    <x v="0"/>
    <x v="0"/>
  </r>
  <r>
    <x v="44"/>
    <n v="13"/>
    <n v="415"/>
    <x v="0"/>
    <x v="0"/>
    <n v="0"/>
    <n v="146.4"/>
    <n v="74"/>
    <n v="24.89"/>
    <n v="148.5"/>
    <n v="92"/>
    <n v="12.62"/>
    <n v="216.7"/>
    <n v="96"/>
    <n v="9.75"/>
    <n v="11.3"/>
    <n v="3"/>
    <n v="3.05"/>
    <x v="0"/>
    <x v="0"/>
  </r>
  <r>
    <x v="44"/>
    <n v="67"/>
    <n v="408"/>
    <x v="0"/>
    <x v="0"/>
    <n v="0"/>
    <n v="167.8"/>
    <n v="91"/>
    <n v="28.53"/>
    <n v="167.7"/>
    <n v="69"/>
    <n v="14.25"/>
    <n v="110.3"/>
    <n v="71"/>
    <n v="4.96"/>
    <n v="8.4"/>
    <n v="12"/>
    <n v="2.27"/>
    <x v="0"/>
    <x v="0"/>
  </r>
  <r>
    <x v="39"/>
    <n v="148"/>
    <n v="415"/>
    <x v="0"/>
    <x v="1"/>
    <n v="11"/>
    <n v="252.9"/>
    <n v="129"/>
    <n v="42.99"/>
    <n v="284.3"/>
    <n v="88"/>
    <n v="24.17"/>
    <n v="262.8"/>
    <n v="99"/>
    <n v="11.83"/>
    <n v="12.3"/>
    <n v="1"/>
    <n v="3.32"/>
    <x v="0"/>
    <x v="0"/>
  </r>
  <r>
    <x v="10"/>
    <n v="116"/>
    <n v="510"/>
    <x v="0"/>
    <x v="0"/>
    <n v="0"/>
    <n v="201.8"/>
    <n v="82"/>
    <n v="34.31"/>
    <n v="231.5"/>
    <n v="95"/>
    <n v="19.68"/>
    <n v="226.1"/>
    <n v="130"/>
    <n v="10.17"/>
    <n v="16.5"/>
    <n v="5"/>
    <n v="4.46"/>
    <x v="3"/>
    <x v="0"/>
  </r>
  <r>
    <x v="36"/>
    <n v="131"/>
    <n v="408"/>
    <x v="0"/>
    <x v="0"/>
    <n v="0"/>
    <n v="94.4"/>
    <n v="80"/>
    <n v="16.05"/>
    <n v="215.1"/>
    <n v="101"/>
    <n v="18.28"/>
    <n v="179.7"/>
    <n v="108"/>
    <n v="8.09"/>
    <n v="13.1"/>
    <n v="9"/>
    <n v="3.54"/>
    <x v="2"/>
    <x v="0"/>
  </r>
  <r>
    <x v="11"/>
    <n v="119"/>
    <n v="510"/>
    <x v="0"/>
    <x v="0"/>
    <n v="0"/>
    <n v="190.4"/>
    <n v="74"/>
    <n v="32.369999999999997"/>
    <n v="215.6"/>
    <n v="113"/>
    <n v="18.329999999999998"/>
    <n v="161.19999999999999"/>
    <n v="111"/>
    <n v="7.25"/>
    <n v="10"/>
    <n v="1"/>
    <n v="2.7"/>
    <x v="2"/>
    <x v="0"/>
  </r>
  <r>
    <x v="2"/>
    <n v="94"/>
    <n v="510"/>
    <x v="1"/>
    <x v="0"/>
    <n v="0"/>
    <n v="243.2"/>
    <n v="109"/>
    <n v="41.34"/>
    <n v="147"/>
    <n v="88"/>
    <n v="12.5"/>
    <n v="94.9"/>
    <n v="99"/>
    <n v="4.2699999999999996"/>
    <n v="7.2"/>
    <n v="4"/>
    <n v="1.94"/>
    <x v="1"/>
    <x v="0"/>
  </r>
  <r>
    <x v="26"/>
    <n v="217"/>
    <n v="408"/>
    <x v="0"/>
    <x v="0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x v="1"/>
    <x v="0"/>
  </r>
  <r>
    <x v="25"/>
    <n v="161"/>
    <n v="415"/>
    <x v="0"/>
    <x v="0"/>
    <n v="0"/>
    <n v="178.1"/>
    <n v="109"/>
    <n v="30.28"/>
    <n v="146.5"/>
    <n v="86"/>
    <n v="12.45"/>
    <n v="137.6"/>
    <n v="78"/>
    <n v="6.19"/>
    <n v="8.5"/>
    <n v="2"/>
    <n v="2.2999999999999998"/>
    <x v="0"/>
    <x v="0"/>
  </r>
  <r>
    <x v="30"/>
    <n v="67"/>
    <n v="408"/>
    <x v="0"/>
    <x v="0"/>
    <n v="0"/>
    <n v="201.4"/>
    <n v="101"/>
    <n v="34.24"/>
    <n v="97.6"/>
    <n v="122"/>
    <n v="8.3000000000000007"/>
    <n v="202.5"/>
    <n v="119"/>
    <n v="9.11"/>
    <n v="7"/>
    <n v="3"/>
    <n v="1.89"/>
    <x v="3"/>
    <x v="0"/>
  </r>
  <r>
    <x v="46"/>
    <n v="132"/>
    <n v="415"/>
    <x v="0"/>
    <x v="1"/>
    <n v="31"/>
    <n v="174.5"/>
    <n v="101"/>
    <n v="29.67"/>
    <n v="245.6"/>
    <n v="105"/>
    <n v="20.88"/>
    <n v="172.8"/>
    <n v="76"/>
    <n v="7.78"/>
    <n v="10.3"/>
    <n v="9"/>
    <n v="2.78"/>
    <x v="0"/>
    <x v="0"/>
  </r>
  <r>
    <x v="45"/>
    <n v="134"/>
    <n v="408"/>
    <x v="0"/>
    <x v="0"/>
    <n v="0"/>
    <n v="205.3"/>
    <n v="122"/>
    <n v="34.9"/>
    <n v="240.5"/>
    <n v="155"/>
    <n v="20.440000000000001"/>
    <n v="179.1"/>
    <n v="107"/>
    <n v="8.06"/>
    <n v="5"/>
    <n v="9"/>
    <n v="1.35"/>
    <x v="0"/>
    <x v="0"/>
  </r>
  <r>
    <x v="2"/>
    <n v="44"/>
    <n v="510"/>
    <x v="0"/>
    <x v="0"/>
    <n v="0"/>
    <n v="143.19999999999999"/>
    <n v="77"/>
    <n v="24.34"/>
    <n v="169.8"/>
    <n v="114"/>
    <n v="14.43"/>
    <n v="215.8"/>
    <n v="77"/>
    <n v="9.7100000000000009"/>
    <n v="7.6"/>
    <n v="4"/>
    <n v="2.0499999999999998"/>
    <x v="0"/>
    <x v="0"/>
  </r>
  <r>
    <x v="28"/>
    <n v="53"/>
    <n v="415"/>
    <x v="0"/>
    <x v="1"/>
    <n v="27"/>
    <n v="25.9"/>
    <n v="119"/>
    <n v="4.4000000000000004"/>
    <n v="206.5"/>
    <n v="96"/>
    <n v="17.55"/>
    <n v="228.1"/>
    <n v="64"/>
    <n v="10.26"/>
    <n v="6.5"/>
    <n v="7"/>
    <n v="1.76"/>
    <x v="0"/>
    <x v="0"/>
  </r>
  <r>
    <x v="2"/>
    <n v="108"/>
    <n v="415"/>
    <x v="0"/>
    <x v="0"/>
    <n v="0"/>
    <n v="154.19999999999999"/>
    <n v="123"/>
    <n v="26.21"/>
    <n v="112.3"/>
    <n v="86"/>
    <n v="9.5500000000000007"/>
    <n v="246.4"/>
    <n v="75"/>
    <n v="11.09"/>
    <n v="15.4"/>
    <n v="4"/>
    <n v="4.16"/>
    <x v="1"/>
    <x v="1"/>
  </r>
  <r>
    <x v="40"/>
    <n v="80"/>
    <n v="408"/>
    <x v="0"/>
    <x v="0"/>
    <n v="0"/>
    <n v="322.3"/>
    <n v="113"/>
    <n v="54.79"/>
    <n v="222"/>
    <n v="95"/>
    <n v="18.87"/>
    <n v="162.80000000000001"/>
    <n v="123"/>
    <n v="7.33"/>
    <n v="6.7"/>
    <n v="8"/>
    <n v="1.81"/>
    <x v="3"/>
    <x v="1"/>
  </r>
  <r>
    <x v="32"/>
    <n v="88"/>
    <n v="415"/>
    <x v="0"/>
    <x v="0"/>
    <n v="0"/>
    <n v="215.6"/>
    <n v="115"/>
    <n v="36.65"/>
    <n v="216.2"/>
    <n v="85"/>
    <n v="18.38"/>
    <n v="171.3"/>
    <n v="65"/>
    <n v="7.71"/>
    <n v="11.8"/>
    <n v="1"/>
    <n v="3.19"/>
    <x v="4"/>
    <x v="0"/>
  </r>
  <r>
    <x v="37"/>
    <n v="82"/>
    <n v="510"/>
    <x v="1"/>
    <x v="0"/>
    <n v="0"/>
    <n v="208.8"/>
    <n v="101"/>
    <n v="35.5"/>
    <n v="213.7"/>
    <n v="87"/>
    <n v="18.16"/>
    <n v="175.1"/>
    <n v="86"/>
    <n v="7.88"/>
    <n v="12.4"/>
    <n v="6"/>
    <n v="3.35"/>
    <x v="4"/>
    <x v="0"/>
  </r>
  <r>
    <x v="5"/>
    <n v="115"/>
    <n v="415"/>
    <x v="0"/>
    <x v="0"/>
    <n v="0"/>
    <n v="245.2"/>
    <n v="105"/>
    <n v="41.68"/>
    <n v="159"/>
    <n v="109"/>
    <n v="13.52"/>
    <n v="229.9"/>
    <n v="74"/>
    <n v="10.35"/>
    <n v="7.2"/>
    <n v="8"/>
    <n v="1.94"/>
    <x v="3"/>
    <x v="0"/>
  </r>
  <r>
    <x v="35"/>
    <n v="93"/>
    <n v="415"/>
    <x v="0"/>
    <x v="0"/>
    <n v="0"/>
    <n v="98.4"/>
    <n v="78"/>
    <n v="16.73"/>
    <n v="249.6"/>
    <n v="129"/>
    <n v="21.22"/>
    <n v="248.2"/>
    <n v="114"/>
    <n v="11.17"/>
    <n v="14.2"/>
    <n v="4"/>
    <n v="3.83"/>
    <x v="0"/>
    <x v="0"/>
  </r>
  <r>
    <x v="22"/>
    <n v="72"/>
    <n v="415"/>
    <x v="0"/>
    <x v="0"/>
    <n v="0"/>
    <n v="217.8"/>
    <n v="93"/>
    <n v="37.03"/>
    <n v="189.7"/>
    <n v="113"/>
    <n v="16.12"/>
    <n v="182.6"/>
    <n v="91"/>
    <n v="8.2200000000000006"/>
    <n v="10.4"/>
    <n v="5"/>
    <n v="2.81"/>
    <x v="1"/>
    <x v="0"/>
  </r>
  <r>
    <x v="36"/>
    <n v="98"/>
    <n v="415"/>
    <x v="0"/>
    <x v="1"/>
    <n v="29"/>
    <n v="179.9"/>
    <n v="97"/>
    <n v="30.58"/>
    <n v="189.2"/>
    <n v="89"/>
    <n v="16.079999999999998"/>
    <n v="164.3"/>
    <n v="76"/>
    <n v="7.39"/>
    <n v="12.8"/>
    <n v="7"/>
    <n v="3.46"/>
    <x v="4"/>
    <x v="0"/>
  </r>
  <r>
    <x v="7"/>
    <n v="118"/>
    <n v="415"/>
    <x v="0"/>
    <x v="0"/>
    <n v="0"/>
    <n v="140.4"/>
    <n v="112"/>
    <n v="23.87"/>
    <n v="187.1"/>
    <n v="60"/>
    <n v="15.9"/>
    <n v="207.9"/>
    <n v="155"/>
    <n v="9.36"/>
    <n v="7.9"/>
    <n v="1"/>
    <n v="2.13"/>
    <x v="3"/>
    <x v="0"/>
  </r>
  <r>
    <x v="21"/>
    <n v="55"/>
    <n v="510"/>
    <x v="0"/>
    <x v="0"/>
    <n v="0"/>
    <n v="189"/>
    <n v="100"/>
    <n v="32.130000000000003"/>
    <n v="118.5"/>
    <n v="99"/>
    <n v="10.07"/>
    <n v="248.1"/>
    <n v="87"/>
    <n v="11.16"/>
    <n v="17.100000000000001"/>
    <n v="6"/>
    <n v="4.62"/>
    <x v="3"/>
    <x v="0"/>
  </r>
  <r>
    <x v="41"/>
    <n v="130"/>
    <n v="415"/>
    <x v="0"/>
    <x v="0"/>
    <n v="0"/>
    <n v="155.9"/>
    <n v="95"/>
    <n v="26.5"/>
    <n v="256.10000000000002"/>
    <n v="97"/>
    <n v="21.77"/>
    <n v="262.89999999999998"/>
    <n v="103"/>
    <n v="11.83"/>
    <n v="11.7"/>
    <n v="3"/>
    <n v="3.16"/>
    <x v="4"/>
    <x v="0"/>
  </r>
  <r>
    <x v="29"/>
    <n v="136"/>
    <n v="408"/>
    <x v="1"/>
    <x v="0"/>
    <n v="0"/>
    <n v="199.2"/>
    <n v="122"/>
    <n v="33.86"/>
    <n v="214.7"/>
    <n v="114"/>
    <n v="18.25"/>
    <n v="150.9"/>
    <n v="105"/>
    <n v="6.79"/>
    <n v="11.8"/>
    <n v="7"/>
    <n v="3.19"/>
    <x v="0"/>
    <x v="0"/>
  </r>
  <r>
    <x v="14"/>
    <n v="107"/>
    <n v="415"/>
    <x v="0"/>
    <x v="0"/>
    <n v="0"/>
    <n v="157.1"/>
    <n v="79"/>
    <n v="26.71"/>
    <n v="162.6"/>
    <n v="124"/>
    <n v="13.82"/>
    <n v="150"/>
    <n v="138"/>
    <n v="6.75"/>
    <n v="12.1"/>
    <n v="6"/>
    <n v="3.27"/>
    <x v="0"/>
    <x v="0"/>
  </r>
  <r>
    <x v="6"/>
    <n v="91"/>
    <n v="415"/>
    <x v="0"/>
    <x v="0"/>
    <n v="0"/>
    <n v="154.4"/>
    <n v="165"/>
    <n v="26.25"/>
    <n v="168.3"/>
    <n v="121"/>
    <n v="14.31"/>
    <n v="239.9"/>
    <n v="81"/>
    <n v="10.8"/>
    <n v="11.7"/>
    <n v="4"/>
    <n v="3.16"/>
    <x v="5"/>
    <x v="1"/>
  </r>
  <r>
    <x v="2"/>
    <n v="167"/>
    <n v="415"/>
    <x v="0"/>
    <x v="0"/>
    <n v="0"/>
    <n v="166.4"/>
    <n v="85"/>
    <n v="28.29"/>
    <n v="243.2"/>
    <n v="135"/>
    <n v="20.67"/>
    <n v="229.2"/>
    <n v="95"/>
    <n v="10.31"/>
    <n v="9.9"/>
    <n v="5"/>
    <n v="2.67"/>
    <x v="0"/>
    <x v="0"/>
  </r>
  <r>
    <x v="30"/>
    <n v="159"/>
    <n v="415"/>
    <x v="0"/>
    <x v="1"/>
    <n v="19"/>
    <n v="184.1"/>
    <n v="78"/>
    <n v="31.3"/>
    <n v="194.5"/>
    <n v="71"/>
    <n v="16.53"/>
    <n v="225.6"/>
    <n v="101"/>
    <n v="10.15"/>
    <n v="16.899999999999999"/>
    <n v="3"/>
    <n v="4.5599999999999996"/>
    <x v="3"/>
    <x v="0"/>
  </r>
  <r>
    <x v="45"/>
    <n v="122"/>
    <n v="415"/>
    <x v="0"/>
    <x v="0"/>
    <n v="0"/>
    <n v="35.1"/>
    <n v="62"/>
    <n v="5.97"/>
    <n v="180.8"/>
    <n v="89"/>
    <n v="15.37"/>
    <n v="251.6"/>
    <n v="58"/>
    <n v="11.32"/>
    <n v="12.7"/>
    <n v="2"/>
    <n v="3.43"/>
    <x v="0"/>
    <x v="0"/>
  </r>
  <r>
    <x v="6"/>
    <n v="105"/>
    <n v="415"/>
    <x v="0"/>
    <x v="1"/>
    <n v="29"/>
    <n v="179.4"/>
    <n v="113"/>
    <n v="30.5"/>
    <n v="275.39999999999998"/>
    <n v="100"/>
    <n v="23.41"/>
    <n v="246.1"/>
    <n v="105"/>
    <n v="11.07"/>
    <n v="10"/>
    <n v="5"/>
    <n v="2.7"/>
    <x v="3"/>
    <x v="0"/>
  </r>
  <r>
    <x v="23"/>
    <n v="155"/>
    <n v="408"/>
    <x v="0"/>
    <x v="0"/>
    <n v="0"/>
    <n v="216.7"/>
    <n v="30"/>
    <n v="36.840000000000003"/>
    <n v="144.30000000000001"/>
    <n v="125"/>
    <n v="12.27"/>
    <n v="135.30000000000001"/>
    <n v="106"/>
    <n v="6.09"/>
    <n v="10.8"/>
    <n v="1"/>
    <n v="2.92"/>
    <x v="2"/>
    <x v="0"/>
  </r>
  <r>
    <x v="18"/>
    <n v="161"/>
    <n v="415"/>
    <x v="0"/>
    <x v="0"/>
    <n v="0"/>
    <n v="151.6"/>
    <n v="117"/>
    <n v="25.77"/>
    <n v="219.4"/>
    <n v="87"/>
    <n v="18.649999999999999"/>
    <n v="224.7"/>
    <n v="68"/>
    <n v="10.11"/>
    <n v="4"/>
    <n v="5"/>
    <n v="1.08"/>
    <x v="0"/>
    <x v="0"/>
  </r>
  <r>
    <x v="2"/>
    <n v="122"/>
    <n v="415"/>
    <x v="0"/>
    <x v="0"/>
    <n v="0"/>
    <n v="173.6"/>
    <n v="110"/>
    <n v="29.51"/>
    <n v="91.7"/>
    <n v="84"/>
    <n v="7.79"/>
    <n v="211.7"/>
    <n v="103"/>
    <n v="9.5299999999999994"/>
    <n v="9.6999999999999993"/>
    <n v="7"/>
    <n v="2.62"/>
    <x v="4"/>
    <x v="0"/>
  </r>
  <r>
    <x v="43"/>
    <n v="37"/>
    <n v="415"/>
    <x v="1"/>
    <x v="0"/>
    <n v="0"/>
    <n v="106.6"/>
    <n v="76"/>
    <n v="18.12"/>
    <n v="147.4"/>
    <n v="89"/>
    <n v="12.53"/>
    <n v="235.8"/>
    <n v="113"/>
    <n v="10.61"/>
    <n v="9.6"/>
    <n v="8"/>
    <n v="2.59"/>
    <x v="2"/>
    <x v="0"/>
  </r>
  <r>
    <x v="30"/>
    <n v="128"/>
    <n v="415"/>
    <x v="0"/>
    <x v="0"/>
    <n v="0"/>
    <n v="103.3"/>
    <n v="122"/>
    <n v="17.559999999999999"/>
    <n v="245.9"/>
    <n v="123"/>
    <n v="20.9"/>
    <n v="161.1"/>
    <n v="95"/>
    <n v="7.25"/>
    <n v="6.4"/>
    <n v="7"/>
    <n v="1.73"/>
    <x v="3"/>
    <x v="0"/>
  </r>
  <r>
    <x v="36"/>
    <n v="89"/>
    <n v="510"/>
    <x v="1"/>
    <x v="0"/>
    <n v="0"/>
    <n v="125.6"/>
    <n v="108"/>
    <n v="21.35"/>
    <n v="213"/>
    <n v="90"/>
    <n v="18.11"/>
    <n v="181.7"/>
    <n v="108"/>
    <n v="8.18"/>
    <n v="5.4"/>
    <n v="5"/>
    <n v="1.46"/>
    <x v="0"/>
    <x v="0"/>
  </r>
  <r>
    <x v="1"/>
    <n v="108"/>
    <n v="415"/>
    <x v="0"/>
    <x v="0"/>
    <n v="0"/>
    <n v="199.3"/>
    <n v="104"/>
    <n v="33.880000000000003"/>
    <n v="224.2"/>
    <n v="92"/>
    <n v="19.059999999999999"/>
    <n v="140.1"/>
    <n v="57"/>
    <n v="6.3"/>
    <n v="15.2"/>
    <n v="2"/>
    <n v="4.0999999999999996"/>
    <x v="3"/>
    <x v="0"/>
  </r>
  <r>
    <x v="11"/>
    <n v="109"/>
    <n v="408"/>
    <x v="0"/>
    <x v="0"/>
    <n v="0"/>
    <n v="222.2"/>
    <n v="113"/>
    <n v="37.770000000000003"/>
    <n v="218.5"/>
    <n v="122"/>
    <n v="18.57"/>
    <n v="266"/>
    <n v="88"/>
    <n v="11.97"/>
    <n v="10.9"/>
    <n v="5"/>
    <n v="2.94"/>
    <x v="0"/>
    <x v="0"/>
  </r>
  <r>
    <x v="18"/>
    <n v="29"/>
    <n v="415"/>
    <x v="0"/>
    <x v="0"/>
    <n v="0"/>
    <n v="157.4"/>
    <n v="122"/>
    <n v="26.76"/>
    <n v="145"/>
    <n v="75"/>
    <n v="12.33"/>
    <n v="281.8"/>
    <n v="92"/>
    <n v="12.68"/>
    <n v="9.3000000000000007"/>
    <n v="2"/>
    <n v="2.5099999999999998"/>
    <x v="0"/>
    <x v="0"/>
  </r>
  <r>
    <x v="24"/>
    <n v="119"/>
    <n v="415"/>
    <x v="1"/>
    <x v="1"/>
    <n v="15"/>
    <n v="160"/>
    <n v="95"/>
    <n v="27.2"/>
    <n v="209.5"/>
    <n v="110"/>
    <n v="17.809999999999999"/>
    <n v="82.3"/>
    <n v="107"/>
    <n v="3.7"/>
    <n v="8.6999999999999993"/>
    <n v="5"/>
    <n v="2.35"/>
    <x v="5"/>
    <x v="1"/>
  </r>
  <r>
    <x v="21"/>
    <n v="86"/>
    <n v="415"/>
    <x v="0"/>
    <x v="0"/>
    <n v="0"/>
    <n v="83.5"/>
    <n v="96"/>
    <n v="14.2"/>
    <n v="221.1"/>
    <n v="63"/>
    <n v="18.79"/>
    <n v="349.7"/>
    <n v="75"/>
    <n v="15.74"/>
    <n v="12.6"/>
    <n v="3"/>
    <n v="3.4"/>
    <x v="3"/>
    <x v="0"/>
  </r>
  <r>
    <x v="49"/>
    <n v="92"/>
    <n v="510"/>
    <x v="0"/>
    <x v="1"/>
    <n v="25"/>
    <n v="134"/>
    <n v="112"/>
    <n v="22.78"/>
    <n v="206"/>
    <n v="111"/>
    <n v="17.510000000000002"/>
    <n v="180.6"/>
    <n v="118"/>
    <n v="8.1300000000000008"/>
    <n v="9.6999999999999993"/>
    <n v="4"/>
    <n v="2.62"/>
    <x v="3"/>
    <x v="0"/>
  </r>
  <r>
    <x v="18"/>
    <n v="13"/>
    <n v="510"/>
    <x v="0"/>
    <x v="1"/>
    <n v="25"/>
    <n v="176.6"/>
    <n v="65"/>
    <n v="30.02"/>
    <n v="172.7"/>
    <n v="96"/>
    <n v="14.68"/>
    <n v="104.5"/>
    <n v="128"/>
    <n v="4.7"/>
    <n v="11.3"/>
    <n v="5"/>
    <n v="3.05"/>
    <x v="2"/>
    <x v="0"/>
  </r>
  <r>
    <x v="34"/>
    <n v="144"/>
    <n v="510"/>
    <x v="1"/>
    <x v="1"/>
    <n v="35"/>
    <n v="174.8"/>
    <n v="127"/>
    <n v="29.72"/>
    <n v="219.6"/>
    <n v="93"/>
    <n v="18.670000000000002"/>
    <n v="255.8"/>
    <n v="90"/>
    <n v="11.51"/>
    <n v="12.8"/>
    <n v="3"/>
    <n v="3.46"/>
    <x v="3"/>
    <x v="0"/>
  </r>
  <r>
    <x v="23"/>
    <n v="139"/>
    <n v="510"/>
    <x v="0"/>
    <x v="0"/>
    <n v="0"/>
    <n v="221.3"/>
    <n v="140"/>
    <n v="37.619999999999997"/>
    <n v="157.80000000000001"/>
    <n v="89"/>
    <n v="13.41"/>
    <n v="192.5"/>
    <n v="89"/>
    <n v="8.66"/>
    <n v="11.3"/>
    <n v="6"/>
    <n v="3.05"/>
    <x v="0"/>
    <x v="0"/>
  </r>
  <r>
    <x v="0"/>
    <n v="95"/>
    <n v="415"/>
    <x v="0"/>
    <x v="0"/>
    <n v="0"/>
    <n v="141.1"/>
    <n v="84"/>
    <n v="23.99"/>
    <n v="211.4"/>
    <n v="108"/>
    <n v="17.97"/>
    <n v="103.7"/>
    <n v="127"/>
    <n v="4.67"/>
    <n v="5.9"/>
    <n v="6"/>
    <n v="1.59"/>
    <x v="4"/>
    <x v="0"/>
  </r>
  <r>
    <x v="40"/>
    <n v="80"/>
    <n v="408"/>
    <x v="0"/>
    <x v="1"/>
    <n v="31"/>
    <n v="166.4"/>
    <n v="92"/>
    <n v="28.29"/>
    <n v="238.3"/>
    <n v="74"/>
    <n v="20.260000000000002"/>
    <n v="150.69999999999999"/>
    <n v="84"/>
    <n v="6.78"/>
    <n v="10.7"/>
    <n v="4"/>
    <n v="2.89"/>
    <x v="1"/>
    <x v="0"/>
  </r>
  <r>
    <x v="12"/>
    <n v="113"/>
    <n v="415"/>
    <x v="0"/>
    <x v="0"/>
    <n v="0"/>
    <n v="215.9"/>
    <n v="93"/>
    <n v="36.700000000000003"/>
    <n v="240.1"/>
    <n v="85"/>
    <n v="20.41"/>
    <n v="156.69999999999999"/>
    <n v="123"/>
    <n v="7.05"/>
    <n v="4.9000000000000004"/>
    <n v="5"/>
    <n v="1.32"/>
    <x v="4"/>
    <x v="0"/>
  </r>
  <r>
    <x v="7"/>
    <n v="88"/>
    <n v="415"/>
    <x v="0"/>
    <x v="1"/>
    <n v="31"/>
    <n v="181.6"/>
    <n v="91"/>
    <n v="30.87"/>
    <n v="213.2"/>
    <n v="120"/>
    <n v="18.12"/>
    <n v="207.8"/>
    <n v="104"/>
    <n v="9.35"/>
    <n v="11.4"/>
    <n v="4"/>
    <n v="3.08"/>
    <x v="0"/>
    <x v="0"/>
  </r>
  <r>
    <x v="37"/>
    <n v="74"/>
    <n v="415"/>
    <x v="0"/>
    <x v="0"/>
    <n v="0"/>
    <n v="106.4"/>
    <n v="84"/>
    <n v="18.09"/>
    <n v="140.19999999999999"/>
    <n v="104"/>
    <n v="11.92"/>
    <n v="90.9"/>
    <n v="81"/>
    <n v="4.09"/>
    <n v="11.4"/>
    <n v="3"/>
    <n v="3.08"/>
    <x v="0"/>
    <x v="0"/>
  </r>
  <r>
    <x v="41"/>
    <n v="48"/>
    <n v="510"/>
    <x v="0"/>
    <x v="0"/>
    <n v="0"/>
    <n v="128.19999999999999"/>
    <n v="71"/>
    <n v="21.79"/>
    <n v="48.1"/>
    <n v="78"/>
    <n v="4.09"/>
    <n v="116.3"/>
    <n v="80"/>
    <n v="5.23"/>
    <n v="8.9"/>
    <n v="3"/>
    <n v="2.4"/>
    <x v="3"/>
    <x v="0"/>
  </r>
  <r>
    <x v="16"/>
    <n v="163"/>
    <n v="510"/>
    <x v="0"/>
    <x v="0"/>
    <n v="0"/>
    <n v="178.7"/>
    <n v="56"/>
    <n v="30.38"/>
    <n v="215.7"/>
    <n v="79"/>
    <n v="18.329999999999998"/>
    <n v="152.69999999999999"/>
    <n v="84"/>
    <n v="6.87"/>
    <n v="10.6"/>
    <n v="2"/>
    <n v="2.86"/>
    <x v="1"/>
    <x v="0"/>
  </r>
  <r>
    <x v="7"/>
    <n v="56"/>
    <n v="510"/>
    <x v="0"/>
    <x v="0"/>
    <n v="0"/>
    <n v="150.9"/>
    <n v="79"/>
    <n v="25.65"/>
    <n v="161.80000000000001"/>
    <n v="87"/>
    <n v="13.75"/>
    <n v="167.7"/>
    <n v="115"/>
    <n v="7.55"/>
    <n v="11.7"/>
    <n v="5"/>
    <n v="3.16"/>
    <x v="4"/>
    <x v="0"/>
  </r>
  <r>
    <x v="26"/>
    <n v="64"/>
    <n v="415"/>
    <x v="0"/>
    <x v="0"/>
    <n v="0"/>
    <n v="168"/>
    <n v="116"/>
    <n v="28.56"/>
    <n v="192.4"/>
    <n v="94"/>
    <n v="16.350000000000001"/>
    <n v="166.5"/>
    <n v="98"/>
    <n v="7.49"/>
    <n v="10.1"/>
    <n v="3"/>
    <n v="2.73"/>
    <x v="2"/>
    <x v="0"/>
  </r>
  <r>
    <x v="12"/>
    <n v="116"/>
    <n v="415"/>
    <x v="0"/>
    <x v="1"/>
    <n v="35"/>
    <n v="182.8"/>
    <n v="122"/>
    <n v="31.08"/>
    <n v="212.7"/>
    <n v="119"/>
    <n v="18.079999999999998"/>
    <n v="193.8"/>
    <n v="103"/>
    <n v="8.7200000000000006"/>
    <n v="11"/>
    <n v="2"/>
    <n v="2.97"/>
    <x v="0"/>
    <x v="0"/>
  </r>
  <r>
    <x v="45"/>
    <n v="101"/>
    <n v="415"/>
    <x v="1"/>
    <x v="0"/>
    <n v="0"/>
    <n v="193.7"/>
    <n v="108"/>
    <n v="32.93"/>
    <n v="186.6"/>
    <n v="98"/>
    <n v="15.86"/>
    <n v="223"/>
    <n v="100"/>
    <n v="10.039999999999999"/>
    <n v="11.6"/>
    <n v="8"/>
    <n v="3.13"/>
    <x v="3"/>
    <x v="0"/>
  </r>
  <r>
    <x v="35"/>
    <n v="85"/>
    <n v="415"/>
    <x v="1"/>
    <x v="0"/>
    <n v="0"/>
    <n v="197.2"/>
    <n v="97"/>
    <n v="33.520000000000003"/>
    <n v="211.7"/>
    <n v="115"/>
    <n v="17.989999999999998"/>
    <n v="210.1"/>
    <n v="133"/>
    <n v="9.4499999999999993"/>
    <n v="8.3000000000000007"/>
    <n v="4"/>
    <n v="2.2400000000000002"/>
    <x v="1"/>
    <x v="0"/>
  </r>
  <r>
    <x v="23"/>
    <n v="90"/>
    <n v="415"/>
    <x v="0"/>
    <x v="0"/>
    <n v="0"/>
    <n v="76.099999999999994"/>
    <n v="121"/>
    <n v="12.94"/>
    <n v="290.3"/>
    <n v="73"/>
    <n v="24.68"/>
    <n v="236.9"/>
    <n v="89"/>
    <n v="10.66"/>
    <n v="10.8"/>
    <n v="3"/>
    <n v="2.92"/>
    <x v="3"/>
    <x v="0"/>
  </r>
  <r>
    <x v="37"/>
    <n v="73"/>
    <n v="415"/>
    <x v="0"/>
    <x v="0"/>
    <n v="0"/>
    <n v="182.3"/>
    <n v="115"/>
    <n v="30.99"/>
    <n v="199.2"/>
    <n v="97"/>
    <n v="16.93"/>
    <n v="120.2"/>
    <n v="113"/>
    <n v="5.41"/>
    <n v="18"/>
    <n v="5"/>
    <n v="4.8600000000000003"/>
    <x v="0"/>
    <x v="0"/>
  </r>
  <r>
    <x v="23"/>
    <n v="55"/>
    <n v="408"/>
    <x v="0"/>
    <x v="1"/>
    <n v="20"/>
    <n v="189.3"/>
    <n v="95"/>
    <n v="32.18"/>
    <n v="118.6"/>
    <n v="113"/>
    <n v="10.08"/>
    <n v="250.2"/>
    <n v="102"/>
    <n v="11.26"/>
    <n v="12.5"/>
    <n v="4"/>
    <n v="3.38"/>
    <x v="2"/>
    <x v="0"/>
  </r>
  <r>
    <x v="5"/>
    <n v="76"/>
    <n v="415"/>
    <x v="0"/>
    <x v="1"/>
    <n v="22"/>
    <n v="160.1"/>
    <n v="107"/>
    <n v="27.22"/>
    <n v="168.7"/>
    <n v="136"/>
    <n v="14.34"/>
    <n v="23.2"/>
    <n v="102"/>
    <n v="1.04"/>
    <n v="9.5"/>
    <n v="4"/>
    <n v="2.57"/>
    <x v="4"/>
    <x v="0"/>
  </r>
  <r>
    <x v="16"/>
    <n v="157"/>
    <n v="415"/>
    <x v="0"/>
    <x v="0"/>
    <n v="0"/>
    <n v="220.7"/>
    <n v="105"/>
    <n v="37.520000000000003"/>
    <n v="119.3"/>
    <n v="127"/>
    <n v="10.14"/>
    <n v="165.1"/>
    <n v="113"/>
    <n v="7.43"/>
    <n v="11.5"/>
    <n v="7"/>
    <n v="3.11"/>
    <x v="1"/>
    <x v="0"/>
  </r>
  <r>
    <x v="42"/>
    <n v="131"/>
    <n v="415"/>
    <x v="0"/>
    <x v="0"/>
    <n v="0"/>
    <n v="211.8"/>
    <n v="115"/>
    <n v="36.01"/>
    <n v="260.5"/>
    <n v="102"/>
    <n v="22.14"/>
    <n v="144.19999999999999"/>
    <n v="96"/>
    <n v="6.49"/>
    <n v="10.8"/>
    <n v="7"/>
    <n v="2.92"/>
    <x v="3"/>
    <x v="0"/>
  </r>
  <r>
    <x v="6"/>
    <n v="51"/>
    <n v="415"/>
    <x v="0"/>
    <x v="0"/>
    <n v="0"/>
    <n v="229.7"/>
    <n v="129"/>
    <n v="39.049999999999997"/>
    <n v="336"/>
    <n v="104"/>
    <n v="28.56"/>
    <n v="192.8"/>
    <n v="128"/>
    <n v="8.68"/>
    <n v="9.6"/>
    <n v="1"/>
    <n v="2.59"/>
    <x v="0"/>
    <x v="1"/>
  </r>
  <r>
    <x v="7"/>
    <n v="166"/>
    <n v="415"/>
    <x v="0"/>
    <x v="0"/>
    <n v="0"/>
    <n v="220.7"/>
    <n v="106"/>
    <n v="37.520000000000003"/>
    <n v="177.8"/>
    <n v="118"/>
    <n v="15.11"/>
    <n v="206.1"/>
    <n v="102"/>
    <n v="9.27"/>
    <n v="12.4"/>
    <n v="9"/>
    <n v="3.35"/>
    <x v="0"/>
    <x v="0"/>
  </r>
  <r>
    <x v="25"/>
    <n v="66"/>
    <n v="408"/>
    <x v="0"/>
    <x v="0"/>
    <n v="0"/>
    <n v="87.6"/>
    <n v="76"/>
    <n v="14.89"/>
    <n v="262"/>
    <n v="111"/>
    <n v="22.27"/>
    <n v="184.6"/>
    <n v="125"/>
    <n v="8.31"/>
    <n v="9.1999999999999993"/>
    <n v="5"/>
    <n v="2.48"/>
    <x v="0"/>
    <x v="0"/>
  </r>
  <r>
    <x v="37"/>
    <n v="49"/>
    <n v="415"/>
    <x v="0"/>
    <x v="0"/>
    <n v="0"/>
    <n v="266.3"/>
    <n v="90"/>
    <n v="45.27"/>
    <n v="207.8"/>
    <n v="117"/>
    <n v="17.66"/>
    <n v="205"/>
    <n v="98"/>
    <n v="9.23"/>
    <n v="14"/>
    <n v="2"/>
    <n v="3.78"/>
    <x v="2"/>
    <x v="1"/>
  </r>
  <r>
    <x v="0"/>
    <n v="89"/>
    <n v="415"/>
    <x v="0"/>
    <x v="0"/>
    <n v="0"/>
    <n v="141.1"/>
    <n v="92"/>
    <n v="23.99"/>
    <n v="249.1"/>
    <n v="126"/>
    <n v="21.17"/>
    <n v="136"/>
    <n v="73"/>
    <n v="6.12"/>
    <n v="10.8"/>
    <n v="2"/>
    <n v="2.92"/>
    <x v="2"/>
    <x v="0"/>
  </r>
  <r>
    <x v="9"/>
    <n v="90"/>
    <n v="415"/>
    <x v="0"/>
    <x v="0"/>
    <n v="0"/>
    <n v="200.9"/>
    <n v="92"/>
    <n v="34.15"/>
    <n v="164.3"/>
    <n v="91"/>
    <n v="13.97"/>
    <n v="249"/>
    <n v="98"/>
    <n v="11.21"/>
    <n v="8.9"/>
    <n v="7"/>
    <n v="2.4"/>
    <x v="0"/>
    <x v="0"/>
  </r>
  <r>
    <x v="7"/>
    <n v="193"/>
    <n v="415"/>
    <x v="0"/>
    <x v="0"/>
    <n v="0"/>
    <n v="96.8"/>
    <n v="92"/>
    <n v="16.46"/>
    <n v="142.6"/>
    <n v="103"/>
    <n v="12.12"/>
    <n v="210.1"/>
    <n v="115"/>
    <n v="9.4499999999999993"/>
    <n v="10.9"/>
    <n v="5"/>
    <n v="2.94"/>
    <x v="2"/>
    <x v="1"/>
  </r>
  <r>
    <x v="48"/>
    <n v="114"/>
    <n v="510"/>
    <x v="0"/>
    <x v="0"/>
    <n v="0"/>
    <n v="172"/>
    <n v="145"/>
    <n v="29.24"/>
    <n v="276.39999999999998"/>
    <n v="101"/>
    <n v="23.49"/>
    <n v="193.7"/>
    <n v="100"/>
    <n v="8.7200000000000006"/>
    <n v="10.1"/>
    <n v="9"/>
    <n v="2.73"/>
    <x v="0"/>
    <x v="0"/>
  </r>
  <r>
    <x v="38"/>
    <n v="7"/>
    <n v="408"/>
    <x v="0"/>
    <x v="1"/>
    <n v="30"/>
    <n v="221.4"/>
    <n v="114"/>
    <n v="37.64"/>
    <n v="165.8"/>
    <n v="116"/>
    <n v="14.09"/>
    <n v="247"/>
    <n v="105"/>
    <n v="11.12"/>
    <n v="10.8"/>
    <n v="12"/>
    <n v="2.92"/>
    <x v="0"/>
    <x v="0"/>
  </r>
  <r>
    <x v="28"/>
    <n v="71"/>
    <n v="415"/>
    <x v="0"/>
    <x v="0"/>
    <n v="0"/>
    <n v="243.7"/>
    <n v="124"/>
    <n v="41.43"/>
    <n v="60"/>
    <n v="90"/>
    <n v="5.0999999999999996"/>
    <n v="189"/>
    <n v="129"/>
    <n v="8.5"/>
    <n v="11.3"/>
    <n v="2"/>
    <n v="3.05"/>
    <x v="3"/>
    <x v="0"/>
  </r>
  <r>
    <x v="41"/>
    <n v="31"/>
    <n v="415"/>
    <x v="0"/>
    <x v="1"/>
    <n v="28"/>
    <n v="210.5"/>
    <n v="101"/>
    <n v="35.79"/>
    <n v="250.5"/>
    <n v="86"/>
    <n v="21.29"/>
    <n v="241.6"/>
    <n v="125"/>
    <n v="10.87"/>
    <n v="11.5"/>
    <n v="2"/>
    <n v="3.11"/>
    <x v="0"/>
    <x v="0"/>
  </r>
  <r>
    <x v="13"/>
    <n v="111"/>
    <n v="415"/>
    <x v="0"/>
    <x v="0"/>
    <n v="0"/>
    <n v="284.39999999999998"/>
    <n v="89"/>
    <n v="48.35"/>
    <n v="157"/>
    <n v="113"/>
    <n v="13.35"/>
    <n v="242.8"/>
    <n v="91"/>
    <n v="10.93"/>
    <n v="8.4"/>
    <n v="8"/>
    <n v="2.27"/>
    <x v="3"/>
    <x v="1"/>
  </r>
  <r>
    <x v="16"/>
    <n v="97"/>
    <n v="408"/>
    <x v="0"/>
    <x v="0"/>
    <n v="0"/>
    <n v="169.7"/>
    <n v="84"/>
    <n v="28.85"/>
    <n v="165.9"/>
    <n v="86"/>
    <n v="14.1"/>
    <n v="191.9"/>
    <n v="83"/>
    <n v="8.64"/>
    <n v="12.8"/>
    <n v="6"/>
    <n v="3.46"/>
    <x v="4"/>
    <x v="0"/>
  </r>
  <r>
    <x v="46"/>
    <n v="51"/>
    <n v="510"/>
    <x v="0"/>
    <x v="0"/>
    <n v="0"/>
    <n v="227.2"/>
    <n v="89"/>
    <n v="38.619999999999997"/>
    <n v="194.4"/>
    <n v="106"/>
    <n v="16.52"/>
    <n v="243.4"/>
    <n v="126"/>
    <n v="10.95"/>
    <n v="14.9"/>
    <n v="2"/>
    <n v="4.0199999999999996"/>
    <x v="3"/>
    <x v="0"/>
  </r>
  <r>
    <x v="32"/>
    <n v="86"/>
    <n v="415"/>
    <x v="0"/>
    <x v="0"/>
    <n v="0"/>
    <n v="223.9"/>
    <n v="75"/>
    <n v="38.06"/>
    <n v="155.69999999999999"/>
    <n v="109"/>
    <n v="13.23"/>
    <n v="150.19999999999999"/>
    <n v="143"/>
    <n v="6.76"/>
    <n v="7.3"/>
    <n v="9"/>
    <n v="1.97"/>
    <x v="0"/>
    <x v="0"/>
  </r>
  <r>
    <x v="46"/>
    <n v="190"/>
    <n v="415"/>
    <x v="0"/>
    <x v="0"/>
    <n v="0"/>
    <n v="169.4"/>
    <n v="102"/>
    <n v="28.8"/>
    <n v="253.5"/>
    <n v="113"/>
    <n v="21.55"/>
    <n v="197.1"/>
    <n v="93"/>
    <n v="8.8699999999999992"/>
    <n v="8.9"/>
    <n v="5"/>
    <n v="2.4"/>
    <x v="0"/>
    <x v="0"/>
  </r>
  <r>
    <x v="34"/>
    <n v="80"/>
    <n v="408"/>
    <x v="0"/>
    <x v="0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x v="0"/>
    <x v="0"/>
  </r>
  <r>
    <x v="21"/>
    <n v="36"/>
    <n v="415"/>
    <x v="0"/>
    <x v="0"/>
    <n v="0"/>
    <n v="202.4"/>
    <n v="115"/>
    <n v="34.409999999999997"/>
    <n v="230.7"/>
    <n v="115"/>
    <n v="19.61"/>
    <n v="202"/>
    <n v="127"/>
    <n v="9.09"/>
    <n v="10.199999999999999"/>
    <n v="2"/>
    <n v="2.75"/>
    <x v="4"/>
    <x v="0"/>
  </r>
  <r>
    <x v="42"/>
    <n v="45"/>
    <n v="510"/>
    <x v="0"/>
    <x v="0"/>
    <n v="0"/>
    <n v="155.69999999999999"/>
    <n v="110"/>
    <n v="26.47"/>
    <n v="260.3"/>
    <n v="103"/>
    <n v="22.13"/>
    <n v="192.2"/>
    <n v="98"/>
    <n v="8.65"/>
    <n v="11"/>
    <n v="1"/>
    <n v="2.97"/>
    <x v="0"/>
    <x v="0"/>
  </r>
  <r>
    <x v="31"/>
    <n v="170"/>
    <n v="415"/>
    <x v="0"/>
    <x v="0"/>
    <n v="0"/>
    <n v="246.4"/>
    <n v="107"/>
    <n v="41.89"/>
    <n v="228.1"/>
    <n v="124"/>
    <n v="19.39"/>
    <n v="166.4"/>
    <n v="95"/>
    <n v="7.49"/>
    <n v="9.1"/>
    <n v="8"/>
    <n v="2.46"/>
    <x v="3"/>
    <x v="0"/>
  </r>
  <r>
    <x v="37"/>
    <n v="103"/>
    <n v="415"/>
    <x v="0"/>
    <x v="0"/>
    <n v="0"/>
    <n v="189.8"/>
    <n v="110"/>
    <n v="32.270000000000003"/>
    <n v="115.5"/>
    <n v="83"/>
    <n v="9.82"/>
    <n v="191.3"/>
    <n v="103"/>
    <n v="8.61"/>
    <n v="12.2"/>
    <n v="4"/>
    <n v="3.29"/>
    <x v="3"/>
    <x v="0"/>
  </r>
  <r>
    <x v="9"/>
    <n v="112"/>
    <n v="408"/>
    <x v="0"/>
    <x v="0"/>
    <n v="0"/>
    <n v="167.8"/>
    <n v="88"/>
    <n v="28.53"/>
    <n v="247.9"/>
    <n v="81"/>
    <n v="21.07"/>
    <n v="155.1"/>
    <n v="108"/>
    <n v="6.98"/>
    <n v="11.9"/>
    <n v="4"/>
    <n v="3.21"/>
    <x v="3"/>
    <x v="0"/>
  </r>
  <r>
    <x v="12"/>
    <n v="125"/>
    <n v="510"/>
    <x v="0"/>
    <x v="0"/>
    <n v="0"/>
    <n v="143.19999999999999"/>
    <n v="80"/>
    <n v="24.34"/>
    <n v="88.1"/>
    <n v="94"/>
    <n v="7.49"/>
    <n v="233.2"/>
    <n v="135"/>
    <n v="10.49"/>
    <n v="8.8000000000000007"/>
    <n v="7"/>
    <n v="2.38"/>
    <x v="1"/>
    <x v="1"/>
  </r>
  <r>
    <x v="27"/>
    <n v="73"/>
    <n v="415"/>
    <x v="0"/>
    <x v="1"/>
    <n v="31"/>
    <n v="82.3"/>
    <n v="105"/>
    <n v="13.99"/>
    <n v="256.10000000000002"/>
    <n v="91"/>
    <n v="21.77"/>
    <n v="229.6"/>
    <n v="98"/>
    <n v="10.33"/>
    <n v="11.8"/>
    <n v="2"/>
    <n v="3.19"/>
    <x v="6"/>
    <x v="1"/>
  </r>
  <r>
    <x v="24"/>
    <n v="232"/>
    <n v="408"/>
    <x v="0"/>
    <x v="0"/>
    <n v="0"/>
    <n v="165.6"/>
    <n v="104"/>
    <n v="28.15"/>
    <n v="195.9"/>
    <n v="115"/>
    <n v="16.649999999999999"/>
    <n v="118.3"/>
    <n v="77"/>
    <n v="5.32"/>
    <n v="11.8"/>
    <n v="3"/>
    <n v="3.19"/>
    <x v="0"/>
    <x v="0"/>
  </r>
  <r>
    <x v="32"/>
    <n v="95"/>
    <n v="408"/>
    <x v="0"/>
    <x v="1"/>
    <n v="20"/>
    <n v="165.7"/>
    <n v="78"/>
    <n v="28.17"/>
    <n v="215.6"/>
    <n v="94"/>
    <n v="18.329999999999998"/>
    <n v="243.3"/>
    <n v="91"/>
    <n v="10.95"/>
    <n v="9.8000000000000007"/>
    <n v="6"/>
    <n v="2.65"/>
    <x v="3"/>
    <x v="0"/>
  </r>
  <r>
    <x v="8"/>
    <n v="182"/>
    <n v="415"/>
    <x v="0"/>
    <x v="0"/>
    <n v="0"/>
    <n v="176.1"/>
    <n v="90"/>
    <n v="29.94"/>
    <n v="174.9"/>
    <n v="106"/>
    <n v="14.87"/>
    <n v="234.7"/>
    <n v="134"/>
    <n v="10.56"/>
    <n v="9.6999999999999993"/>
    <n v="4"/>
    <n v="2.62"/>
    <x v="0"/>
    <x v="0"/>
  </r>
  <r>
    <x v="24"/>
    <n v="55"/>
    <n v="510"/>
    <x v="0"/>
    <x v="0"/>
    <n v="0"/>
    <n v="119.7"/>
    <n v="148"/>
    <n v="20.350000000000001"/>
    <n v="231.8"/>
    <n v="96"/>
    <n v="19.7"/>
    <n v="222.3"/>
    <n v="113"/>
    <n v="10"/>
    <n v="4.5999999999999996"/>
    <n v="2"/>
    <n v="1.24"/>
    <x v="2"/>
    <x v="0"/>
  </r>
  <r>
    <x v="8"/>
    <n v="86"/>
    <n v="415"/>
    <x v="0"/>
    <x v="1"/>
    <n v="30"/>
    <n v="99.9"/>
    <n v="84"/>
    <n v="16.98"/>
    <n v="263.5"/>
    <n v="125"/>
    <n v="22.4"/>
    <n v="254.7"/>
    <n v="90"/>
    <n v="11.46"/>
    <n v="9.8000000000000007"/>
    <n v="7"/>
    <n v="2.65"/>
    <x v="2"/>
    <x v="0"/>
  </r>
  <r>
    <x v="42"/>
    <n v="127"/>
    <n v="510"/>
    <x v="0"/>
    <x v="0"/>
    <n v="0"/>
    <n v="239.8"/>
    <n v="107"/>
    <n v="40.770000000000003"/>
    <n v="128.9"/>
    <n v="121"/>
    <n v="10.96"/>
    <n v="249.9"/>
    <n v="110"/>
    <n v="11.25"/>
    <n v="11.3"/>
    <n v="5"/>
    <n v="3.05"/>
    <x v="0"/>
    <x v="0"/>
  </r>
  <r>
    <x v="48"/>
    <n v="63"/>
    <n v="415"/>
    <x v="0"/>
    <x v="0"/>
    <n v="0"/>
    <n v="164.5"/>
    <n v="75"/>
    <n v="27.97"/>
    <n v="147.9"/>
    <n v="118"/>
    <n v="12.57"/>
    <n v="252.7"/>
    <n v="97"/>
    <n v="11.37"/>
    <n v="11.2"/>
    <n v="2"/>
    <n v="3.02"/>
    <x v="3"/>
    <x v="0"/>
  </r>
  <r>
    <x v="6"/>
    <n v="79"/>
    <n v="510"/>
    <x v="0"/>
    <x v="0"/>
    <n v="0"/>
    <n v="220.9"/>
    <n v="107"/>
    <n v="37.549999999999997"/>
    <n v="192.2"/>
    <n v="97"/>
    <n v="16.34"/>
    <n v="161"/>
    <n v="74"/>
    <n v="7.25"/>
    <n v="12.2"/>
    <n v="2"/>
    <n v="3.29"/>
    <x v="0"/>
    <x v="0"/>
  </r>
  <r>
    <x v="0"/>
    <n v="111"/>
    <n v="415"/>
    <x v="0"/>
    <x v="1"/>
    <n v="28"/>
    <n v="128.80000000000001"/>
    <n v="104"/>
    <n v="21.9"/>
    <n v="157.30000000000001"/>
    <n v="52"/>
    <n v="13.37"/>
    <n v="147.4"/>
    <n v="76"/>
    <n v="6.63"/>
    <n v="10.3"/>
    <n v="2"/>
    <n v="2.78"/>
    <x v="2"/>
    <x v="0"/>
  </r>
  <r>
    <x v="23"/>
    <n v="121"/>
    <n v="510"/>
    <x v="0"/>
    <x v="1"/>
    <n v="35"/>
    <n v="193.8"/>
    <n v="62"/>
    <n v="32.950000000000003"/>
    <n v="197.6"/>
    <n v="97"/>
    <n v="16.8"/>
    <n v="218.8"/>
    <n v="95"/>
    <n v="9.85"/>
    <n v="5.9"/>
    <n v="4"/>
    <n v="1.59"/>
    <x v="3"/>
    <x v="0"/>
  </r>
  <r>
    <x v="35"/>
    <n v="112"/>
    <n v="415"/>
    <x v="0"/>
    <x v="0"/>
    <n v="0"/>
    <n v="168.6"/>
    <n v="102"/>
    <n v="28.66"/>
    <n v="298"/>
    <n v="117"/>
    <n v="25.33"/>
    <n v="194.7"/>
    <n v="110"/>
    <n v="8.76"/>
    <n v="9.8000000000000007"/>
    <n v="5"/>
    <n v="2.65"/>
    <x v="0"/>
    <x v="0"/>
  </r>
  <r>
    <x v="0"/>
    <n v="81"/>
    <n v="415"/>
    <x v="0"/>
    <x v="1"/>
    <n v="36"/>
    <n v="115.9"/>
    <n v="120"/>
    <n v="19.7"/>
    <n v="236.6"/>
    <n v="95"/>
    <n v="20.11"/>
    <n v="255"/>
    <n v="90"/>
    <n v="11.48"/>
    <n v="11.7"/>
    <n v="6"/>
    <n v="3.16"/>
    <x v="4"/>
    <x v="0"/>
  </r>
  <r>
    <x v="16"/>
    <n v="72"/>
    <n v="510"/>
    <x v="0"/>
    <x v="0"/>
    <n v="0"/>
    <n v="272.39999999999998"/>
    <n v="88"/>
    <n v="46.31"/>
    <n v="107.9"/>
    <n v="125"/>
    <n v="9.17"/>
    <n v="185.5"/>
    <n v="81"/>
    <n v="8.35"/>
    <n v="12.7"/>
    <n v="2"/>
    <n v="3.43"/>
    <x v="3"/>
    <x v="0"/>
  </r>
  <r>
    <x v="3"/>
    <n v="64"/>
    <n v="510"/>
    <x v="0"/>
    <x v="1"/>
    <n v="40"/>
    <n v="210"/>
    <n v="116"/>
    <n v="35.700000000000003"/>
    <n v="232.7"/>
    <n v="89"/>
    <n v="19.78"/>
    <n v="168.8"/>
    <n v="94"/>
    <n v="7.6"/>
    <n v="5.9"/>
    <n v="4"/>
    <n v="1.59"/>
    <x v="7"/>
    <x v="0"/>
  </r>
  <r>
    <x v="43"/>
    <n v="163"/>
    <n v="408"/>
    <x v="0"/>
    <x v="0"/>
    <n v="0"/>
    <n v="223"/>
    <n v="120"/>
    <n v="37.909999999999997"/>
    <n v="227"/>
    <n v="98"/>
    <n v="19.3"/>
    <n v="188.3"/>
    <n v="125"/>
    <n v="8.4700000000000006"/>
    <n v="8.8000000000000007"/>
    <n v="5"/>
    <n v="2.38"/>
    <x v="0"/>
    <x v="0"/>
  </r>
  <r>
    <x v="18"/>
    <n v="104"/>
    <n v="415"/>
    <x v="0"/>
    <x v="0"/>
    <n v="0"/>
    <n v="139.69999999999999"/>
    <n v="78"/>
    <n v="23.75"/>
    <n v="202.6"/>
    <n v="119"/>
    <n v="17.22"/>
    <n v="203.6"/>
    <n v="102"/>
    <n v="9.16"/>
    <n v="11.3"/>
    <n v="5"/>
    <n v="3.05"/>
    <x v="2"/>
    <x v="0"/>
  </r>
  <r>
    <x v="17"/>
    <n v="93"/>
    <n v="510"/>
    <x v="0"/>
    <x v="1"/>
    <n v="19"/>
    <n v="136.80000000000001"/>
    <n v="113"/>
    <n v="23.26"/>
    <n v="179.5"/>
    <n v="105"/>
    <n v="15.26"/>
    <n v="71.099999999999994"/>
    <n v="95"/>
    <n v="3.2"/>
    <n v="12.5"/>
    <n v="3"/>
    <n v="3.38"/>
    <x v="2"/>
    <x v="0"/>
  </r>
  <r>
    <x v="42"/>
    <n v="197"/>
    <n v="510"/>
    <x v="0"/>
    <x v="0"/>
    <n v="0"/>
    <n v="154.80000000000001"/>
    <n v="111"/>
    <n v="26.32"/>
    <n v="171.5"/>
    <n v="102"/>
    <n v="14.58"/>
    <n v="227.3"/>
    <n v="86"/>
    <n v="10.23"/>
    <n v="10.6"/>
    <n v="2"/>
    <n v="2.86"/>
    <x v="4"/>
    <x v="0"/>
  </r>
  <r>
    <x v="47"/>
    <n v="57"/>
    <n v="510"/>
    <x v="0"/>
    <x v="0"/>
    <n v="0"/>
    <n v="192.8"/>
    <n v="68"/>
    <n v="32.78"/>
    <n v="158"/>
    <n v="86"/>
    <n v="13.43"/>
    <n v="235.5"/>
    <n v="105"/>
    <n v="10.6"/>
    <n v="12.7"/>
    <n v="6"/>
    <n v="3.43"/>
    <x v="0"/>
    <x v="0"/>
  </r>
  <r>
    <x v="34"/>
    <n v="107"/>
    <n v="408"/>
    <x v="0"/>
    <x v="0"/>
    <n v="0"/>
    <n v="103.4"/>
    <n v="94"/>
    <n v="17.579999999999998"/>
    <n v="189.3"/>
    <n v="125"/>
    <n v="16.09"/>
    <n v="227.2"/>
    <n v="125"/>
    <n v="10.220000000000001"/>
    <n v="14.4"/>
    <n v="3"/>
    <n v="3.89"/>
    <x v="0"/>
    <x v="0"/>
  </r>
  <r>
    <x v="32"/>
    <n v="75"/>
    <n v="408"/>
    <x v="0"/>
    <x v="0"/>
    <n v="0"/>
    <n v="147.5"/>
    <n v="110"/>
    <n v="25.08"/>
    <n v="191.7"/>
    <n v="97"/>
    <n v="16.29"/>
    <n v="135"/>
    <n v="68"/>
    <n v="6.08"/>
    <n v="16.399999999999999"/>
    <n v="3"/>
    <n v="4.43"/>
    <x v="2"/>
    <x v="0"/>
  </r>
  <r>
    <x v="29"/>
    <n v="106"/>
    <n v="408"/>
    <x v="0"/>
    <x v="0"/>
    <n v="0"/>
    <n v="178.4"/>
    <n v="143"/>
    <n v="30.33"/>
    <n v="247"/>
    <n v="123"/>
    <n v="21"/>
    <n v="259.89999999999998"/>
    <n v="105"/>
    <n v="11.7"/>
    <n v="9.6"/>
    <n v="2"/>
    <n v="2.59"/>
    <x v="3"/>
    <x v="0"/>
  </r>
  <r>
    <x v="27"/>
    <n v="70"/>
    <n v="408"/>
    <x v="0"/>
    <x v="0"/>
    <n v="0"/>
    <n v="148.4"/>
    <n v="110"/>
    <n v="25.23"/>
    <n v="267.10000000000002"/>
    <n v="90"/>
    <n v="22.7"/>
    <n v="151.5"/>
    <n v="101"/>
    <n v="6.82"/>
    <n v="8.9"/>
    <n v="4"/>
    <n v="2.4"/>
    <x v="3"/>
    <x v="0"/>
  </r>
  <r>
    <x v="13"/>
    <n v="80"/>
    <n v="408"/>
    <x v="0"/>
    <x v="0"/>
    <n v="0"/>
    <n v="148.6"/>
    <n v="106"/>
    <n v="25.26"/>
    <n v="210.8"/>
    <n v="65"/>
    <n v="17.920000000000002"/>
    <n v="203.7"/>
    <n v="86"/>
    <n v="9.17"/>
    <n v="10"/>
    <n v="2"/>
    <n v="2.7"/>
    <x v="2"/>
    <x v="0"/>
  </r>
  <r>
    <x v="11"/>
    <n v="137"/>
    <n v="510"/>
    <x v="0"/>
    <x v="0"/>
    <n v="0"/>
    <n v="97.5"/>
    <n v="95"/>
    <n v="16.579999999999998"/>
    <n v="195.8"/>
    <n v="82"/>
    <n v="16.64"/>
    <n v="288.8"/>
    <n v="78"/>
    <n v="13"/>
    <n v="0"/>
    <n v="0"/>
    <n v="0"/>
    <x v="0"/>
    <x v="0"/>
  </r>
  <r>
    <x v="41"/>
    <n v="90"/>
    <n v="415"/>
    <x v="0"/>
    <x v="1"/>
    <n v="29"/>
    <n v="185.6"/>
    <n v="106"/>
    <n v="31.55"/>
    <n v="219.7"/>
    <n v="113"/>
    <n v="18.670000000000002"/>
    <n v="152.1"/>
    <n v="120"/>
    <n v="6.84"/>
    <n v="11.1"/>
    <n v="5"/>
    <n v="3"/>
    <x v="2"/>
    <x v="0"/>
  </r>
  <r>
    <x v="34"/>
    <n v="30"/>
    <n v="408"/>
    <x v="0"/>
    <x v="0"/>
    <n v="0"/>
    <n v="137.6"/>
    <n v="108"/>
    <n v="23.39"/>
    <n v="162"/>
    <n v="80"/>
    <n v="13.77"/>
    <n v="187.7"/>
    <n v="126"/>
    <n v="8.4499999999999993"/>
    <n v="5.8"/>
    <n v="10"/>
    <n v="1.57"/>
    <x v="4"/>
    <x v="0"/>
  </r>
  <r>
    <x v="30"/>
    <n v="105"/>
    <n v="415"/>
    <x v="1"/>
    <x v="0"/>
    <n v="0"/>
    <n v="273.89999999999998"/>
    <n v="119"/>
    <n v="46.56"/>
    <n v="278.60000000000002"/>
    <n v="103"/>
    <n v="23.68"/>
    <n v="255.3"/>
    <n v="90"/>
    <n v="11.49"/>
    <n v="10.9"/>
    <n v="7"/>
    <n v="2.94"/>
    <x v="0"/>
    <x v="1"/>
  </r>
  <r>
    <x v="13"/>
    <n v="102"/>
    <n v="415"/>
    <x v="0"/>
    <x v="1"/>
    <n v="31"/>
    <n v="125.3"/>
    <n v="92"/>
    <n v="21.3"/>
    <n v="141.19999999999999"/>
    <n v="108"/>
    <n v="12"/>
    <n v="168.2"/>
    <n v="68"/>
    <n v="7.57"/>
    <n v="6.3"/>
    <n v="2"/>
    <n v="1.7"/>
    <x v="4"/>
    <x v="0"/>
  </r>
  <r>
    <x v="42"/>
    <n v="83"/>
    <n v="415"/>
    <x v="0"/>
    <x v="0"/>
    <n v="0"/>
    <n v="178.8"/>
    <n v="102"/>
    <n v="30.4"/>
    <n v="167.9"/>
    <n v="84"/>
    <n v="14.27"/>
    <n v="178.9"/>
    <n v="65"/>
    <n v="8.0500000000000007"/>
    <n v="8.6"/>
    <n v="4"/>
    <n v="2.3199999999999998"/>
    <x v="4"/>
    <x v="0"/>
  </r>
  <r>
    <x v="47"/>
    <n v="63"/>
    <n v="510"/>
    <x v="0"/>
    <x v="1"/>
    <n v="49"/>
    <n v="214.9"/>
    <n v="86"/>
    <n v="36.53"/>
    <n v="198.2"/>
    <n v="89"/>
    <n v="16.850000000000001"/>
    <n v="170.8"/>
    <n v="139"/>
    <n v="7.69"/>
    <n v="8.1999999999999993"/>
    <n v="5"/>
    <n v="2.21"/>
    <x v="3"/>
    <x v="0"/>
  </r>
  <r>
    <x v="27"/>
    <n v="155"/>
    <n v="408"/>
    <x v="0"/>
    <x v="0"/>
    <n v="0"/>
    <n v="163"/>
    <n v="93"/>
    <n v="27.71"/>
    <n v="203.9"/>
    <n v="102"/>
    <n v="17.329999999999998"/>
    <n v="159"/>
    <n v="109"/>
    <n v="7.15"/>
    <n v="15.1"/>
    <n v="4"/>
    <n v="4.08"/>
    <x v="2"/>
    <x v="0"/>
  </r>
  <r>
    <x v="40"/>
    <n v="105"/>
    <n v="408"/>
    <x v="0"/>
    <x v="0"/>
    <n v="0"/>
    <n v="115.5"/>
    <n v="73"/>
    <n v="19.64"/>
    <n v="267.3"/>
    <n v="83"/>
    <n v="22.72"/>
    <n v="114.2"/>
    <n v="90"/>
    <n v="5.14"/>
    <n v="13.3"/>
    <n v="5"/>
    <n v="3.59"/>
    <x v="4"/>
    <x v="0"/>
  </r>
  <r>
    <x v="49"/>
    <n v="73"/>
    <n v="415"/>
    <x v="0"/>
    <x v="0"/>
    <n v="0"/>
    <n v="137.1"/>
    <n v="102"/>
    <n v="23.31"/>
    <n v="210.8"/>
    <n v="114"/>
    <n v="17.920000000000002"/>
    <n v="191.4"/>
    <n v="120"/>
    <n v="8.61"/>
    <n v="11.1"/>
    <n v="4"/>
    <n v="3"/>
    <x v="0"/>
    <x v="0"/>
  </r>
  <r>
    <x v="24"/>
    <n v="21"/>
    <n v="415"/>
    <x v="0"/>
    <x v="1"/>
    <n v="19"/>
    <n v="132.69999999999999"/>
    <n v="94"/>
    <n v="22.56"/>
    <n v="204.6"/>
    <n v="101"/>
    <n v="17.39"/>
    <n v="154.69999999999999"/>
    <n v="78"/>
    <n v="6.96"/>
    <n v="12.9"/>
    <n v="7"/>
    <n v="3.48"/>
    <x v="4"/>
    <x v="0"/>
  </r>
  <r>
    <x v="26"/>
    <n v="71"/>
    <n v="415"/>
    <x v="0"/>
    <x v="1"/>
    <n v="39"/>
    <n v="183.2"/>
    <n v="103"/>
    <n v="31.14"/>
    <n v="209.4"/>
    <n v="111"/>
    <n v="17.8"/>
    <n v="172.4"/>
    <n v="109"/>
    <n v="7.76"/>
    <n v="11.9"/>
    <n v="6"/>
    <n v="3.21"/>
    <x v="0"/>
    <x v="0"/>
  </r>
  <r>
    <x v="14"/>
    <n v="112"/>
    <n v="415"/>
    <x v="0"/>
    <x v="0"/>
    <n v="0"/>
    <n v="170.5"/>
    <n v="113"/>
    <n v="28.99"/>
    <n v="193.2"/>
    <n v="129"/>
    <n v="16.420000000000002"/>
    <n v="188"/>
    <n v="91"/>
    <n v="8.4600000000000009"/>
    <n v="11.2"/>
    <n v="6"/>
    <n v="3.02"/>
    <x v="3"/>
    <x v="0"/>
  </r>
  <r>
    <x v="16"/>
    <n v="66"/>
    <n v="510"/>
    <x v="0"/>
    <x v="0"/>
    <n v="0"/>
    <n v="154"/>
    <n v="133"/>
    <n v="26.18"/>
    <n v="198.9"/>
    <n v="121"/>
    <n v="16.91"/>
    <n v="151.9"/>
    <n v="100"/>
    <n v="6.84"/>
    <n v="9.5"/>
    <n v="3"/>
    <n v="2.57"/>
    <x v="1"/>
    <x v="1"/>
  </r>
  <r>
    <x v="48"/>
    <n v="99"/>
    <n v="408"/>
    <x v="0"/>
    <x v="0"/>
    <n v="0"/>
    <n v="54.8"/>
    <n v="92"/>
    <n v="9.32"/>
    <n v="173"/>
    <n v="103"/>
    <n v="14.71"/>
    <n v="195.1"/>
    <n v="125"/>
    <n v="8.7799999999999994"/>
    <n v="7.5"/>
    <n v="3"/>
    <n v="2.0299999999999998"/>
    <x v="0"/>
    <x v="0"/>
  </r>
  <r>
    <x v="44"/>
    <n v="124"/>
    <n v="510"/>
    <x v="0"/>
    <x v="0"/>
    <n v="0"/>
    <n v="184.8"/>
    <n v="74"/>
    <n v="31.42"/>
    <n v="175.1"/>
    <n v="84"/>
    <n v="14.88"/>
    <n v="158.19999999999999"/>
    <n v="95"/>
    <n v="7.12"/>
    <n v="10.5"/>
    <n v="6"/>
    <n v="2.84"/>
    <x v="0"/>
    <x v="0"/>
  </r>
  <r>
    <x v="34"/>
    <n v="95"/>
    <n v="415"/>
    <x v="0"/>
    <x v="1"/>
    <n v="36"/>
    <n v="283.10000000000002"/>
    <n v="112"/>
    <n v="48.13"/>
    <n v="286.2"/>
    <n v="86"/>
    <n v="24.33"/>
    <n v="261.7"/>
    <n v="129"/>
    <n v="11.78"/>
    <n v="11.3"/>
    <n v="3"/>
    <n v="3.05"/>
    <x v="4"/>
    <x v="0"/>
  </r>
  <r>
    <x v="23"/>
    <n v="130"/>
    <n v="408"/>
    <x v="0"/>
    <x v="0"/>
    <n v="0"/>
    <n v="68.400000000000006"/>
    <n v="86"/>
    <n v="11.63"/>
    <n v="193.3"/>
    <n v="110"/>
    <n v="16.43"/>
    <n v="171.5"/>
    <n v="139"/>
    <n v="7.72"/>
    <n v="10.4"/>
    <n v="4"/>
    <n v="2.81"/>
    <x v="3"/>
    <x v="0"/>
  </r>
  <r>
    <x v="43"/>
    <n v="93"/>
    <n v="510"/>
    <x v="1"/>
    <x v="0"/>
    <n v="0"/>
    <n v="131.4"/>
    <n v="78"/>
    <n v="22.34"/>
    <n v="219.7"/>
    <n v="106"/>
    <n v="18.670000000000002"/>
    <n v="155.69999999999999"/>
    <n v="103"/>
    <n v="7.01"/>
    <n v="11.1"/>
    <n v="2"/>
    <n v="3"/>
    <x v="0"/>
    <x v="1"/>
  </r>
  <r>
    <x v="44"/>
    <n v="191"/>
    <n v="408"/>
    <x v="0"/>
    <x v="0"/>
    <n v="0"/>
    <n v="162"/>
    <n v="104"/>
    <n v="27.54"/>
    <n v="241.2"/>
    <n v="120"/>
    <n v="20.5"/>
    <n v="210.4"/>
    <n v="83"/>
    <n v="9.4700000000000006"/>
    <n v="10.9"/>
    <n v="7"/>
    <n v="2.94"/>
    <x v="0"/>
    <x v="0"/>
  </r>
  <r>
    <x v="14"/>
    <n v="88"/>
    <n v="415"/>
    <x v="0"/>
    <x v="0"/>
    <n v="0"/>
    <n v="148.19999999999999"/>
    <n v="82"/>
    <n v="25.19"/>
    <n v="308.7"/>
    <n v="67"/>
    <n v="26.24"/>
    <n v="235.4"/>
    <n v="79"/>
    <n v="10.59"/>
    <n v="6.4"/>
    <n v="4"/>
    <n v="1.73"/>
    <x v="2"/>
    <x v="0"/>
  </r>
  <r>
    <x v="28"/>
    <n v="16"/>
    <n v="415"/>
    <x v="0"/>
    <x v="0"/>
    <n v="0"/>
    <n v="174.7"/>
    <n v="83"/>
    <n v="29.7"/>
    <n v="280.8"/>
    <n v="122"/>
    <n v="23.87"/>
    <n v="171.7"/>
    <n v="80"/>
    <n v="7.73"/>
    <n v="10.5"/>
    <n v="8"/>
    <n v="2.84"/>
    <x v="5"/>
    <x v="0"/>
  </r>
  <r>
    <x v="50"/>
    <n v="107"/>
    <n v="510"/>
    <x v="0"/>
    <x v="0"/>
    <n v="0"/>
    <n v="194.5"/>
    <n v="97"/>
    <n v="33.07"/>
    <n v="186.3"/>
    <n v="131"/>
    <n v="15.84"/>
    <n v="178.3"/>
    <n v="106"/>
    <n v="8.02"/>
    <n v="12.7"/>
    <n v="1"/>
    <n v="3.43"/>
    <x v="2"/>
    <x v="0"/>
  </r>
  <r>
    <x v="5"/>
    <n v="96"/>
    <n v="408"/>
    <x v="0"/>
    <x v="1"/>
    <n v="29"/>
    <n v="150"/>
    <n v="91"/>
    <n v="25.5"/>
    <n v="159.4"/>
    <n v="75"/>
    <n v="13.55"/>
    <n v="228.1"/>
    <n v="55"/>
    <n v="10.26"/>
    <n v="8.5"/>
    <n v="3"/>
    <n v="2.2999999999999998"/>
    <x v="0"/>
    <x v="0"/>
  </r>
  <r>
    <x v="34"/>
    <n v="163"/>
    <n v="408"/>
    <x v="0"/>
    <x v="1"/>
    <n v="40"/>
    <n v="231.9"/>
    <n v="56"/>
    <n v="39.42"/>
    <n v="211.8"/>
    <n v="91"/>
    <n v="18"/>
    <n v="268.5"/>
    <n v="74"/>
    <n v="12.08"/>
    <n v="12.3"/>
    <n v="3"/>
    <n v="3.32"/>
    <x v="2"/>
    <x v="0"/>
  </r>
  <r>
    <x v="25"/>
    <n v="95"/>
    <n v="415"/>
    <x v="0"/>
    <x v="0"/>
    <n v="0"/>
    <n v="269"/>
    <n v="120"/>
    <n v="45.73"/>
    <n v="233.7"/>
    <n v="120"/>
    <n v="19.86"/>
    <n v="179.3"/>
    <n v="61"/>
    <n v="8.07"/>
    <n v="7.3"/>
    <n v="4"/>
    <n v="1.97"/>
    <x v="2"/>
    <x v="1"/>
  </r>
  <r>
    <x v="33"/>
    <n v="123"/>
    <n v="415"/>
    <x v="0"/>
    <x v="1"/>
    <n v="27"/>
    <n v="198.7"/>
    <n v="127"/>
    <n v="33.78"/>
    <n v="249"/>
    <n v="105"/>
    <n v="21.17"/>
    <n v="173.2"/>
    <n v="124"/>
    <n v="7.79"/>
    <n v="12.5"/>
    <n v="5"/>
    <n v="3.38"/>
    <x v="0"/>
    <x v="0"/>
  </r>
  <r>
    <x v="13"/>
    <n v="34"/>
    <n v="415"/>
    <x v="0"/>
    <x v="0"/>
    <n v="0"/>
    <n v="293.7"/>
    <n v="89"/>
    <n v="49.93"/>
    <n v="272.5"/>
    <n v="71"/>
    <n v="23.16"/>
    <n v="178.2"/>
    <n v="76"/>
    <n v="8.02"/>
    <n v="11"/>
    <n v="10"/>
    <n v="2.97"/>
    <x v="2"/>
    <x v="1"/>
  </r>
  <r>
    <x v="36"/>
    <n v="96"/>
    <n v="415"/>
    <x v="0"/>
    <x v="1"/>
    <n v="26"/>
    <n v="175.8"/>
    <n v="96"/>
    <n v="29.89"/>
    <n v="206.6"/>
    <n v="84"/>
    <n v="17.559999999999999"/>
    <n v="178"/>
    <n v="105"/>
    <n v="8.01"/>
    <n v="11.1"/>
    <n v="2"/>
    <n v="3"/>
    <x v="2"/>
    <x v="0"/>
  </r>
  <r>
    <x v="20"/>
    <n v="146"/>
    <n v="415"/>
    <x v="0"/>
    <x v="0"/>
    <n v="0"/>
    <n v="169.5"/>
    <n v="93"/>
    <n v="28.82"/>
    <n v="230.9"/>
    <n v="71"/>
    <n v="19.63"/>
    <n v="269.8"/>
    <n v="115"/>
    <n v="12.14"/>
    <n v="9"/>
    <n v="7"/>
    <n v="2.4300000000000002"/>
    <x v="2"/>
    <x v="0"/>
  </r>
  <r>
    <x v="7"/>
    <n v="138"/>
    <n v="415"/>
    <x v="1"/>
    <x v="1"/>
    <n v="17"/>
    <n v="225.2"/>
    <n v="116"/>
    <n v="38.28"/>
    <n v="173.4"/>
    <n v="88"/>
    <n v="14.74"/>
    <n v="145.80000000000001"/>
    <n v="99"/>
    <n v="6.56"/>
    <n v="11.7"/>
    <n v="4"/>
    <n v="3.16"/>
    <x v="3"/>
    <x v="0"/>
  </r>
  <r>
    <x v="21"/>
    <n v="76"/>
    <n v="510"/>
    <x v="0"/>
    <x v="0"/>
    <n v="0"/>
    <n v="129.69999999999999"/>
    <n v="84"/>
    <n v="22.05"/>
    <n v="177.5"/>
    <n v="80"/>
    <n v="15.09"/>
    <n v="228.9"/>
    <n v="87"/>
    <n v="10.3"/>
    <n v="7.5"/>
    <n v="3"/>
    <n v="2.0299999999999998"/>
    <x v="5"/>
    <x v="1"/>
  </r>
  <r>
    <x v="31"/>
    <n v="83"/>
    <n v="510"/>
    <x v="0"/>
    <x v="1"/>
    <n v="36"/>
    <n v="95.9"/>
    <n v="87"/>
    <n v="16.3"/>
    <n v="261.60000000000002"/>
    <n v="105"/>
    <n v="22.24"/>
    <n v="228.6"/>
    <n v="109"/>
    <n v="10.29"/>
    <n v="13.3"/>
    <n v="4"/>
    <n v="3.59"/>
    <x v="3"/>
    <x v="0"/>
  </r>
  <r>
    <x v="4"/>
    <n v="104"/>
    <n v="408"/>
    <x v="0"/>
    <x v="0"/>
    <n v="0"/>
    <n v="170.6"/>
    <n v="97"/>
    <n v="29"/>
    <n v="162.1"/>
    <n v="111"/>
    <n v="13.78"/>
    <n v="210.7"/>
    <n v="131"/>
    <n v="9.48"/>
    <n v="6.1"/>
    <n v="1"/>
    <n v="1.65"/>
    <x v="0"/>
    <x v="0"/>
  </r>
  <r>
    <x v="42"/>
    <n v="106"/>
    <n v="415"/>
    <x v="0"/>
    <x v="0"/>
    <n v="0"/>
    <n v="191.4"/>
    <n v="124"/>
    <n v="32.54"/>
    <n v="200.7"/>
    <n v="116"/>
    <n v="17.059999999999999"/>
    <n v="230.1"/>
    <n v="76"/>
    <n v="10.35"/>
    <n v="8.1999999999999993"/>
    <n v="3"/>
    <n v="2.21"/>
    <x v="0"/>
    <x v="0"/>
  </r>
  <r>
    <x v="27"/>
    <n v="84"/>
    <n v="510"/>
    <x v="0"/>
    <x v="0"/>
    <n v="0"/>
    <n v="75.3"/>
    <n v="96"/>
    <n v="12.8"/>
    <n v="179.9"/>
    <n v="113"/>
    <n v="15.29"/>
    <n v="193.8"/>
    <n v="134"/>
    <n v="8.7200000000000006"/>
    <n v="12.3"/>
    <n v="1"/>
    <n v="3.32"/>
    <x v="0"/>
    <x v="0"/>
  </r>
  <r>
    <x v="10"/>
    <n v="99"/>
    <n v="408"/>
    <x v="0"/>
    <x v="0"/>
    <n v="0"/>
    <n v="128.80000000000001"/>
    <n v="86"/>
    <n v="21.9"/>
    <n v="203.9"/>
    <n v="105"/>
    <n v="17.329999999999998"/>
    <n v="282.60000000000002"/>
    <n v="131"/>
    <n v="12.72"/>
    <n v="14.1"/>
    <n v="4"/>
    <n v="3.81"/>
    <x v="2"/>
    <x v="0"/>
  </r>
  <r>
    <x v="35"/>
    <n v="134"/>
    <n v="415"/>
    <x v="0"/>
    <x v="0"/>
    <n v="0"/>
    <n v="141.69999999999999"/>
    <n v="95"/>
    <n v="24.09"/>
    <n v="205.6"/>
    <n v="101"/>
    <n v="17.48"/>
    <n v="218.5"/>
    <n v="60"/>
    <n v="9.83"/>
    <n v="8.8000000000000007"/>
    <n v="6"/>
    <n v="2.38"/>
    <x v="3"/>
    <x v="0"/>
  </r>
  <r>
    <x v="42"/>
    <n v="80"/>
    <n v="415"/>
    <x v="0"/>
    <x v="0"/>
    <n v="0"/>
    <n v="268.7"/>
    <n v="120"/>
    <n v="45.68"/>
    <n v="301"/>
    <n v="147"/>
    <n v="25.59"/>
    <n v="167"/>
    <n v="140"/>
    <n v="7.52"/>
    <n v="5.8"/>
    <n v="1"/>
    <n v="1.57"/>
    <x v="2"/>
    <x v="1"/>
  </r>
  <r>
    <x v="10"/>
    <n v="85"/>
    <n v="415"/>
    <x v="0"/>
    <x v="0"/>
    <n v="0"/>
    <n v="255.3"/>
    <n v="114"/>
    <n v="43.4"/>
    <n v="194.6"/>
    <n v="83"/>
    <n v="16.54"/>
    <n v="276.60000000000002"/>
    <n v="78"/>
    <n v="12.45"/>
    <n v="3.7"/>
    <n v="5"/>
    <n v="1"/>
    <x v="4"/>
    <x v="0"/>
  </r>
  <r>
    <x v="9"/>
    <n v="120"/>
    <n v="408"/>
    <x v="0"/>
    <x v="1"/>
    <n v="26"/>
    <n v="239.4"/>
    <n v="94"/>
    <n v="40.700000000000003"/>
    <n v="259.39999999999998"/>
    <n v="88"/>
    <n v="22.05"/>
    <n v="238"/>
    <n v="132"/>
    <n v="10.71"/>
    <n v="7.7"/>
    <n v="3"/>
    <n v="2.08"/>
    <x v="3"/>
    <x v="0"/>
  </r>
  <r>
    <x v="30"/>
    <n v="120"/>
    <n v="510"/>
    <x v="0"/>
    <x v="0"/>
    <n v="0"/>
    <n v="158"/>
    <n v="110"/>
    <n v="26.86"/>
    <n v="197"/>
    <n v="103"/>
    <n v="16.75"/>
    <n v="154.9"/>
    <n v="132"/>
    <n v="6.97"/>
    <n v="10"/>
    <n v="5"/>
    <n v="2.7"/>
    <x v="0"/>
    <x v="0"/>
  </r>
  <r>
    <x v="42"/>
    <n v="125"/>
    <n v="415"/>
    <x v="0"/>
    <x v="0"/>
    <n v="0"/>
    <n v="182.3"/>
    <n v="64"/>
    <n v="30.99"/>
    <n v="139.80000000000001"/>
    <n v="121"/>
    <n v="11.88"/>
    <n v="171.6"/>
    <n v="96"/>
    <n v="7.72"/>
    <n v="11.6"/>
    <n v="7"/>
    <n v="3.13"/>
    <x v="2"/>
    <x v="0"/>
  </r>
  <r>
    <x v="46"/>
    <n v="118"/>
    <n v="415"/>
    <x v="0"/>
    <x v="1"/>
    <n v="39"/>
    <n v="91.5"/>
    <n v="125"/>
    <n v="15.56"/>
    <n v="219.9"/>
    <n v="113"/>
    <n v="18.690000000000001"/>
    <n v="229"/>
    <n v="99"/>
    <n v="10.31"/>
    <n v="12.7"/>
    <n v="8"/>
    <n v="3.43"/>
    <x v="2"/>
    <x v="0"/>
  </r>
  <r>
    <x v="28"/>
    <n v="62"/>
    <n v="415"/>
    <x v="0"/>
    <x v="0"/>
    <n v="0"/>
    <n v="172.4"/>
    <n v="132"/>
    <n v="29.31"/>
    <n v="230.5"/>
    <n v="100"/>
    <n v="19.59"/>
    <n v="228.2"/>
    <n v="109"/>
    <n v="10.27"/>
    <n v="11"/>
    <n v="5"/>
    <n v="2.97"/>
    <x v="3"/>
    <x v="0"/>
  </r>
  <r>
    <x v="0"/>
    <n v="112"/>
    <n v="510"/>
    <x v="0"/>
    <x v="0"/>
    <n v="0"/>
    <n v="174.5"/>
    <n v="127"/>
    <n v="29.67"/>
    <n v="259.3"/>
    <n v="71"/>
    <n v="22.04"/>
    <n v="170.5"/>
    <n v="120"/>
    <n v="7.67"/>
    <n v="11.3"/>
    <n v="7"/>
    <n v="3.05"/>
    <x v="0"/>
    <x v="0"/>
  </r>
  <r>
    <x v="22"/>
    <n v="68"/>
    <n v="510"/>
    <x v="0"/>
    <x v="0"/>
    <n v="0"/>
    <n v="157.30000000000001"/>
    <n v="83"/>
    <n v="26.74"/>
    <n v="220.9"/>
    <n v="85"/>
    <n v="18.78"/>
    <n v="218.9"/>
    <n v="129"/>
    <n v="9.85"/>
    <n v="12"/>
    <n v="7"/>
    <n v="3.24"/>
    <x v="0"/>
    <x v="0"/>
  </r>
  <r>
    <x v="26"/>
    <n v="201"/>
    <n v="415"/>
    <x v="0"/>
    <x v="1"/>
    <n v="21"/>
    <n v="192"/>
    <n v="97"/>
    <n v="32.64"/>
    <n v="239.1"/>
    <n v="81"/>
    <n v="20.32"/>
    <n v="116.1"/>
    <n v="125"/>
    <n v="5.22"/>
    <n v="15.1"/>
    <n v="3"/>
    <n v="4.08"/>
    <x v="0"/>
    <x v="0"/>
  </r>
  <r>
    <x v="47"/>
    <n v="116"/>
    <n v="510"/>
    <x v="0"/>
    <x v="0"/>
    <n v="0"/>
    <n v="160.69999999999999"/>
    <n v="69"/>
    <n v="27.32"/>
    <n v="146.80000000000001"/>
    <n v="106"/>
    <n v="12.48"/>
    <n v="287.8"/>
    <n v="144"/>
    <n v="12.95"/>
    <n v="8.1999999999999993"/>
    <n v="5"/>
    <n v="2.21"/>
    <x v="3"/>
    <x v="0"/>
  </r>
  <r>
    <x v="50"/>
    <n v="133"/>
    <n v="510"/>
    <x v="0"/>
    <x v="0"/>
    <n v="0"/>
    <n v="227.4"/>
    <n v="90"/>
    <n v="38.659999999999997"/>
    <n v="73.2"/>
    <n v="135"/>
    <n v="6.22"/>
    <n v="114.3"/>
    <n v="99"/>
    <n v="5.14"/>
    <n v="4.7"/>
    <n v="7"/>
    <n v="1.27"/>
    <x v="3"/>
    <x v="0"/>
  </r>
  <r>
    <x v="14"/>
    <n v="125"/>
    <n v="408"/>
    <x v="0"/>
    <x v="0"/>
    <n v="0"/>
    <n v="191.6"/>
    <n v="115"/>
    <n v="32.57"/>
    <n v="205.6"/>
    <n v="108"/>
    <n v="17.48"/>
    <n v="210.2"/>
    <n v="123"/>
    <n v="9.4600000000000009"/>
    <n v="9.1999999999999993"/>
    <n v="3"/>
    <n v="2.48"/>
    <x v="2"/>
    <x v="0"/>
  </r>
  <r>
    <x v="19"/>
    <n v="21"/>
    <n v="510"/>
    <x v="0"/>
    <x v="0"/>
    <n v="0"/>
    <n v="225"/>
    <n v="110"/>
    <n v="38.25"/>
    <n v="244.2"/>
    <n v="111"/>
    <n v="20.76"/>
    <n v="221.2"/>
    <n v="93"/>
    <n v="9.9499999999999993"/>
    <n v="10.7"/>
    <n v="4"/>
    <n v="2.89"/>
    <x v="3"/>
    <x v="0"/>
  </r>
  <r>
    <x v="46"/>
    <n v="110"/>
    <n v="408"/>
    <x v="0"/>
    <x v="0"/>
    <n v="0"/>
    <n v="196.1"/>
    <n v="103"/>
    <n v="33.340000000000003"/>
    <n v="199.7"/>
    <n v="123"/>
    <n v="16.97"/>
    <n v="135.9"/>
    <n v="71"/>
    <n v="6.12"/>
    <n v="12.9"/>
    <n v="1"/>
    <n v="3.48"/>
    <x v="4"/>
    <x v="0"/>
  </r>
  <r>
    <x v="23"/>
    <n v="83"/>
    <n v="415"/>
    <x v="0"/>
    <x v="0"/>
    <n v="0"/>
    <n v="231.3"/>
    <n v="100"/>
    <n v="39.32"/>
    <n v="210.4"/>
    <n v="84"/>
    <n v="17.88"/>
    <n v="217.4"/>
    <n v="106"/>
    <n v="9.7799999999999994"/>
    <n v="12.4"/>
    <n v="2"/>
    <n v="3.35"/>
    <x v="4"/>
    <x v="0"/>
  </r>
  <r>
    <x v="1"/>
    <n v="101"/>
    <n v="415"/>
    <x v="0"/>
    <x v="1"/>
    <n v="42"/>
    <n v="209.2"/>
    <n v="82"/>
    <n v="35.56"/>
    <n v="159.69999999999999"/>
    <n v="74"/>
    <n v="13.57"/>
    <n v="181.6"/>
    <n v="100"/>
    <n v="8.17"/>
    <n v="9.5"/>
    <n v="3"/>
    <n v="2.57"/>
    <x v="3"/>
    <x v="0"/>
  </r>
  <r>
    <x v="25"/>
    <n v="117"/>
    <n v="415"/>
    <x v="0"/>
    <x v="1"/>
    <n v="17"/>
    <n v="221.3"/>
    <n v="82"/>
    <n v="37.619999999999997"/>
    <n v="167.6"/>
    <n v="100"/>
    <n v="14.25"/>
    <n v="262.7"/>
    <n v="87"/>
    <n v="11.82"/>
    <n v="4.4000000000000004"/>
    <n v="4"/>
    <n v="1.19"/>
    <x v="3"/>
    <x v="0"/>
  </r>
  <r>
    <x v="20"/>
    <n v="127"/>
    <n v="408"/>
    <x v="0"/>
    <x v="0"/>
    <n v="0"/>
    <n v="139.6"/>
    <n v="94"/>
    <n v="23.73"/>
    <n v="240.9"/>
    <n v="112"/>
    <n v="20.48"/>
    <n v="127.1"/>
    <n v="88"/>
    <n v="5.72"/>
    <n v="8.8000000000000007"/>
    <n v="4"/>
    <n v="2.38"/>
    <x v="2"/>
    <x v="0"/>
  </r>
  <r>
    <x v="30"/>
    <n v="138"/>
    <n v="510"/>
    <x v="0"/>
    <x v="1"/>
    <n v="26"/>
    <n v="183.9"/>
    <n v="83"/>
    <n v="31.26"/>
    <n v="240.7"/>
    <n v="93"/>
    <n v="20.46"/>
    <n v="185.7"/>
    <n v="125"/>
    <n v="8.36"/>
    <n v="15"/>
    <n v="3"/>
    <n v="4.05"/>
    <x v="0"/>
    <x v="0"/>
  </r>
  <r>
    <x v="26"/>
    <n v="120"/>
    <n v="415"/>
    <x v="0"/>
    <x v="0"/>
    <n v="0"/>
    <n v="203.3"/>
    <n v="108"/>
    <n v="34.56"/>
    <n v="259.89999999999998"/>
    <n v="66"/>
    <n v="22.09"/>
    <n v="115.9"/>
    <n v="103"/>
    <n v="5.22"/>
    <n v="7.8"/>
    <n v="2"/>
    <n v="2.11"/>
    <x v="4"/>
    <x v="0"/>
  </r>
  <r>
    <x v="39"/>
    <n v="141"/>
    <n v="415"/>
    <x v="0"/>
    <x v="1"/>
    <n v="37"/>
    <n v="185.4"/>
    <n v="87"/>
    <n v="31.52"/>
    <n v="178.5"/>
    <n v="128"/>
    <n v="15.17"/>
    <n v="218.3"/>
    <n v="107"/>
    <n v="9.82"/>
    <n v="8"/>
    <n v="3"/>
    <n v="2.16"/>
    <x v="1"/>
    <x v="0"/>
  </r>
  <r>
    <x v="25"/>
    <n v="87"/>
    <n v="510"/>
    <x v="0"/>
    <x v="1"/>
    <n v="22"/>
    <n v="240.8"/>
    <n v="102"/>
    <n v="40.94"/>
    <n v="75.900000000000006"/>
    <n v="106"/>
    <n v="6.45"/>
    <n v="224.6"/>
    <n v="115"/>
    <n v="10.11"/>
    <n v="7.1"/>
    <n v="3"/>
    <n v="1.92"/>
    <x v="2"/>
    <x v="0"/>
  </r>
  <r>
    <x v="18"/>
    <n v="97"/>
    <n v="408"/>
    <x v="0"/>
    <x v="0"/>
    <n v="0"/>
    <n v="276.10000000000002"/>
    <n v="82"/>
    <n v="46.94"/>
    <n v="201.1"/>
    <n v="106"/>
    <n v="17.09"/>
    <n v="231.3"/>
    <n v="73"/>
    <n v="10.41"/>
    <n v="8.9"/>
    <n v="4"/>
    <n v="2.4"/>
    <x v="3"/>
    <x v="1"/>
  </r>
  <r>
    <x v="31"/>
    <n v="162"/>
    <n v="408"/>
    <x v="0"/>
    <x v="1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x v="0"/>
    <x v="1"/>
  </r>
  <r>
    <x v="26"/>
    <n v="119"/>
    <n v="510"/>
    <x v="0"/>
    <x v="0"/>
    <n v="0"/>
    <n v="81.900000000000006"/>
    <n v="75"/>
    <n v="13.92"/>
    <n v="253.8"/>
    <n v="114"/>
    <n v="21.57"/>
    <n v="213.1"/>
    <n v="125"/>
    <n v="9.59"/>
    <n v="8.9"/>
    <n v="1"/>
    <n v="2.4"/>
    <x v="2"/>
    <x v="1"/>
  </r>
  <r>
    <x v="9"/>
    <n v="107"/>
    <n v="510"/>
    <x v="0"/>
    <x v="1"/>
    <n v="25"/>
    <n v="248.6"/>
    <n v="91"/>
    <n v="42.26"/>
    <n v="119.3"/>
    <n v="115"/>
    <n v="10.14"/>
    <n v="194.3"/>
    <n v="83"/>
    <n v="8.74"/>
    <n v="12"/>
    <n v="1"/>
    <n v="3.24"/>
    <x v="0"/>
    <x v="0"/>
  </r>
  <r>
    <x v="3"/>
    <n v="140"/>
    <n v="510"/>
    <x v="0"/>
    <x v="1"/>
    <n v="28"/>
    <n v="157.1"/>
    <n v="77"/>
    <n v="26.71"/>
    <n v="172.4"/>
    <n v="97"/>
    <n v="14.65"/>
    <n v="184.5"/>
    <n v="94"/>
    <n v="8.3000000000000007"/>
    <n v="11.1"/>
    <n v="9"/>
    <n v="3"/>
    <x v="0"/>
    <x v="0"/>
  </r>
  <r>
    <x v="32"/>
    <n v="91"/>
    <n v="415"/>
    <x v="0"/>
    <x v="0"/>
    <n v="0"/>
    <n v="153"/>
    <n v="123"/>
    <n v="26.01"/>
    <n v="141.1"/>
    <n v="127"/>
    <n v="11.99"/>
    <n v="171.5"/>
    <n v="76"/>
    <n v="7.72"/>
    <n v="10.3"/>
    <n v="15"/>
    <n v="2.78"/>
    <x v="0"/>
    <x v="1"/>
  </r>
  <r>
    <x v="20"/>
    <n v="135"/>
    <n v="415"/>
    <x v="0"/>
    <x v="0"/>
    <n v="0"/>
    <n v="218.8"/>
    <n v="123"/>
    <n v="37.200000000000003"/>
    <n v="242.8"/>
    <n v="64"/>
    <n v="20.64"/>
    <n v="85.8"/>
    <n v="80"/>
    <n v="3.86"/>
    <n v="10.3"/>
    <n v="3"/>
    <n v="2.78"/>
    <x v="1"/>
    <x v="0"/>
  </r>
  <r>
    <x v="4"/>
    <n v="86"/>
    <n v="408"/>
    <x v="0"/>
    <x v="1"/>
    <n v="21"/>
    <n v="197.9"/>
    <n v="99"/>
    <n v="33.64"/>
    <n v="165.6"/>
    <n v="100"/>
    <n v="14.08"/>
    <n v="208"/>
    <n v="120"/>
    <n v="9.36"/>
    <n v="10.1"/>
    <n v="9"/>
    <n v="2.73"/>
    <x v="3"/>
    <x v="0"/>
  </r>
  <r>
    <x v="14"/>
    <n v="131"/>
    <n v="415"/>
    <x v="0"/>
    <x v="0"/>
    <n v="0"/>
    <n v="166.5"/>
    <n v="129"/>
    <n v="28.31"/>
    <n v="210.2"/>
    <n v="107"/>
    <n v="17.87"/>
    <n v="257.2"/>
    <n v="93"/>
    <n v="11.57"/>
    <n v="9.9"/>
    <n v="5"/>
    <n v="2.67"/>
    <x v="0"/>
    <x v="0"/>
  </r>
  <r>
    <x v="20"/>
    <n v="86"/>
    <n v="415"/>
    <x v="0"/>
    <x v="1"/>
    <n v="29"/>
    <n v="225.4"/>
    <n v="79"/>
    <n v="38.32"/>
    <n v="187.1"/>
    <n v="112"/>
    <n v="15.9"/>
    <n v="281.10000000000002"/>
    <n v="112"/>
    <n v="12.65"/>
    <n v="12.9"/>
    <n v="3"/>
    <n v="3.48"/>
    <x v="0"/>
    <x v="0"/>
  </r>
  <r>
    <x v="22"/>
    <n v="85"/>
    <n v="415"/>
    <x v="0"/>
    <x v="0"/>
    <n v="0"/>
    <n v="210.3"/>
    <n v="66"/>
    <n v="35.75"/>
    <n v="195.8"/>
    <n v="76"/>
    <n v="16.64"/>
    <n v="221.6"/>
    <n v="82"/>
    <n v="9.9700000000000006"/>
    <n v="11.2"/>
    <n v="7"/>
    <n v="3.02"/>
    <x v="0"/>
    <x v="0"/>
  </r>
  <r>
    <x v="11"/>
    <n v="195"/>
    <n v="415"/>
    <x v="0"/>
    <x v="1"/>
    <n v="36"/>
    <n v="231.7"/>
    <n v="110"/>
    <n v="39.39"/>
    <n v="225.1"/>
    <n v="88"/>
    <n v="19.13"/>
    <n v="201.7"/>
    <n v="89"/>
    <n v="9.08"/>
    <n v="12.1"/>
    <n v="2"/>
    <n v="3.27"/>
    <x v="3"/>
    <x v="0"/>
  </r>
  <r>
    <x v="46"/>
    <n v="177"/>
    <n v="408"/>
    <x v="0"/>
    <x v="0"/>
    <n v="0"/>
    <n v="189.5"/>
    <n v="99"/>
    <n v="32.22"/>
    <n v="176.3"/>
    <n v="117"/>
    <n v="14.99"/>
    <n v="225.9"/>
    <n v="112"/>
    <n v="10.17"/>
    <n v="14.2"/>
    <n v="2"/>
    <n v="3.83"/>
    <x v="0"/>
    <x v="0"/>
  </r>
  <r>
    <x v="18"/>
    <n v="100"/>
    <n v="408"/>
    <x v="0"/>
    <x v="0"/>
    <n v="0"/>
    <n v="70.8"/>
    <n v="94"/>
    <n v="12.04"/>
    <n v="215.6"/>
    <n v="102"/>
    <n v="18.329999999999998"/>
    <n v="230.8"/>
    <n v="125"/>
    <n v="10.39"/>
    <n v="9.5"/>
    <n v="1"/>
    <n v="2.57"/>
    <x v="6"/>
    <x v="1"/>
  </r>
  <r>
    <x v="34"/>
    <n v="124"/>
    <n v="415"/>
    <x v="0"/>
    <x v="0"/>
    <n v="0"/>
    <n v="131.80000000000001"/>
    <n v="82"/>
    <n v="22.41"/>
    <n v="284.3"/>
    <n v="119"/>
    <n v="24.17"/>
    <n v="305.5"/>
    <n v="101"/>
    <n v="13.75"/>
    <n v="11.3"/>
    <n v="2"/>
    <n v="3.05"/>
    <x v="0"/>
    <x v="0"/>
  </r>
  <r>
    <x v="36"/>
    <n v="81"/>
    <n v="510"/>
    <x v="1"/>
    <x v="0"/>
    <n v="0"/>
    <n v="250.6"/>
    <n v="85"/>
    <n v="42.6"/>
    <n v="187.9"/>
    <n v="50"/>
    <n v="15.97"/>
    <n v="120.3"/>
    <n v="131"/>
    <n v="5.41"/>
    <n v="7.8"/>
    <n v="5"/>
    <n v="2.11"/>
    <x v="0"/>
    <x v="0"/>
  </r>
  <r>
    <x v="4"/>
    <n v="105"/>
    <n v="415"/>
    <x v="0"/>
    <x v="0"/>
    <n v="0"/>
    <n v="281.3"/>
    <n v="124"/>
    <n v="47.82"/>
    <n v="301.5"/>
    <n v="96"/>
    <n v="25.63"/>
    <n v="202.8"/>
    <n v="109"/>
    <n v="9.1300000000000008"/>
    <n v="8.6999999999999993"/>
    <n v="3"/>
    <n v="2.35"/>
    <x v="3"/>
    <x v="1"/>
  </r>
  <r>
    <x v="6"/>
    <n v="126"/>
    <n v="415"/>
    <x v="1"/>
    <x v="1"/>
    <n v="26"/>
    <n v="129.30000000000001"/>
    <n v="123"/>
    <n v="21.98"/>
    <n v="176.5"/>
    <n v="114"/>
    <n v="15"/>
    <n v="154.5"/>
    <n v="102"/>
    <n v="6.95"/>
    <n v="9.6"/>
    <n v="7"/>
    <n v="2.59"/>
    <x v="0"/>
    <x v="0"/>
  </r>
  <r>
    <x v="46"/>
    <n v="71"/>
    <n v="510"/>
    <x v="0"/>
    <x v="0"/>
    <n v="0"/>
    <n v="238"/>
    <n v="82"/>
    <n v="40.46"/>
    <n v="278.5"/>
    <n v="94"/>
    <n v="23.67"/>
    <n v="193.1"/>
    <n v="134"/>
    <n v="8.69"/>
    <n v="11.8"/>
    <n v="10"/>
    <n v="3.19"/>
    <x v="3"/>
    <x v="1"/>
  </r>
  <r>
    <x v="19"/>
    <n v="139"/>
    <n v="415"/>
    <x v="0"/>
    <x v="0"/>
    <n v="0"/>
    <n v="211.1"/>
    <n v="103"/>
    <n v="35.89"/>
    <n v="206.9"/>
    <n v="108"/>
    <n v="17.59"/>
    <n v="193.9"/>
    <n v="70"/>
    <n v="8.73"/>
    <n v="5.6"/>
    <n v="4"/>
    <n v="1.51"/>
    <x v="3"/>
    <x v="0"/>
  </r>
  <r>
    <x v="19"/>
    <n v="77"/>
    <n v="415"/>
    <x v="0"/>
    <x v="0"/>
    <n v="0"/>
    <n v="169.4"/>
    <n v="102"/>
    <n v="28.8"/>
    <n v="184.9"/>
    <n v="144"/>
    <n v="15.72"/>
    <n v="234.3"/>
    <n v="89"/>
    <n v="10.54"/>
    <n v="2"/>
    <n v="7"/>
    <n v="0.54"/>
    <x v="0"/>
    <x v="0"/>
  </r>
  <r>
    <x v="14"/>
    <n v="72"/>
    <n v="408"/>
    <x v="0"/>
    <x v="0"/>
    <n v="0"/>
    <n v="177.1"/>
    <n v="97"/>
    <n v="30.11"/>
    <n v="184.7"/>
    <n v="105"/>
    <n v="15.7"/>
    <n v="174.1"/>
    <n v="94"/>
    <n v="7.83"/>
    <n v="8"/>
    <n v="6"/>
    <n v="2.16"/>
    <x v="0"/>
    <x v="0"/>
  </r>
  <r>
    <x v="30"/>
    <n v="74"/>
    <n v="415"/>
    <x v="0"/>
    <x v="1"/>
    <n v="32"/>
    <n v="174.6"/>
    <n v="107"/>
    <n v="29.68"/>
    <n v="310.60000000000002"/>
    <n v="115"/>
    <n v="26.4"/>
    <n v="234.7"/>
    <n v="92"/>
    <n v="10.56"/>
    <n v="9"/>
    <n v="4"/>
    <n v="2.4300000000000002"/>
    <x v="0"/>
    <x v="0"/>
  </r>
  <r>
    <x v="46"/>
    <n v="124"/>
    <n v="415"/>
    <x v="0"/>
    <x v="0"/>
    <n v="0"/>
    <n v="150.30000000000001"/>
    <n v="101"/>
    <n v="25.55"/>
    <n v="255.9"/>
    <n v="112"/>
    <n v="21.75"/>
    <n v="136.69999999999999"/>
    <n v="62"/>
    <n v="6.15"/>
    <n v="12.5"/>
    <n v="4"/>
    <n v="3.38"/>
    <x v="2"/>
    <x v="0"/>
  </r>
  <r>
    <x v="14"/>
    <n v="113"/>
    <n v="408"/>
    <x v="0"/>
    <x v="1"/>
    <n v="20"/>
    <n v="157.80000000000001"/>
    <n v="83"/>
    <n v="26.83"/>
    <n v="161.5"/>
    <n v="56"/>
    <n v="13.73"/>
    <n v="271.5"/>
    <n v="100"/>
    <n v="12.22"/>
    <n v="8.6999999999999993"/>
    <n v="2"/>
    <n v="2.35"/>
    <x v="5"/>
    <x v="1"/>
  </r>
  <r>
    <x v="40"/>
    <n v="66"/>
    <n v="510"/>
    <x v="0"/>
    <x v="0"/>
    <n v="0"/>
    <n v="118"/>
    <n v="133"/>
    <n v="20.059999999999999"/>
    <n v="248.1"/>
    <n v="99"/>
    <n v="21.09"/>
    <n v="214.4"/>
    <n v="122"/>
    <n v="9.65"/>
    <n v="5.3"/>
    <n v="5"/>
    <n v="1.43"/>
    <x v="0"/>
    <x v="0"/>
  </r>
  <r>
    <x v="12"/>
    <n v="124"/>
    <n v="415"/>
    <x v="0"/>
    <x v="1"/>
    <n v="30"/>
    <n v="144.5"/>
    <n v="35"/>
    <n v="24.57"/>
    <n v="262.3"/>
    <n v="101"/>
    <n v="22.3"/>
    <n v="226.5"/>
    <n v="82"/>
    <n v="10.19"/>
    <n v="12"/>
    <n v="7"/>
    <n v="3.24"/>
    <x v="2"/>
    <x v="0"/>
  </r>
  <r>
    <x v="41"/>
    <n v="134"/>
    <n v="408"/>
    <x v="0"/>
    <x v="0"/>
    <n v="0"/>
    <n v="183.8"/>
    <n v="111"/>
    <n v="31.25"/>
    <n v="123.5"/>
    <n v="92"/>
    <n v="10.5"/>
    <n v="160.69999999999999"/>
    <n v="105"/>
    <n v="7.23"/>
    <n v="6.1"/>
    <n v="2"/>
    <n v="1.65"/>
    <x v="0"/>
    <x v="0"/>
  </r>
  <r>
    <x v="40"/>
    <n v="41"/>
    <n v="415"/>
    <x v="0"/>
    <x v="1"/>
    <n v="30"/>
    <n v="191.7"/>
    <n v="109"/>
    <n v="32.590000000000003"/>
    <n v="193"/>
    <n v="86"/>
    <n v="16.41"/>
    <n v="149.4"/>
    <n v="93"/>
    <n v="6.72"/>
    <n v="11.1"/>
    <n v="4"/>
    <n v="3"/>
    <x v="0"/>
    <x v="0"/>
  </r>
  <r>
    <x v="3"/>
    <n v="159"/>
    <n v="415"/>
    <x v="0"/>
    <x v="1"/>
    <n v="23"/>
    <n v="153.6"/>
    <n v="93"/>
    <n v="26.11"/>
    <n v="216.9"/>
    <n v="88"/>
    <n v="18.440000000000001"/>
    <n v="161.30000000000001"/>
    <n v="91"/>
    <n v="7.26"/>
    <n v="12.6"/>
    <n v="3"/>
    <n v="3.4"/>
    <x v="2"/>
    <x v="0"/>
  </r>
  <r>
    <x v="41"/>
    <n v="87"/>
    <n v="408"/>
    <x v="1"/>
    <x v="1"/>
    <n v="36"/>
    <n v="171.2"/>
    <n v="138"/>
    <n v="29.1"/>
    <n v="185.8"/>
    <n v="102"/>
    <n v="15.79"/>
    <n v="227.6"/>
    <n v="97"/>
    <n v="10.24"/>
    <n v="10.8"/>
    <n v="3"/>
    <n v="2.92"/>
    <x v="0"/>
    <x v="0"/>
  </r>
  <r>
    <x v="18"/>
    <n v="132"/>
    <n v="415"/>
    <x v="0"/>
    <x v="0"/>
    <n v="0"/>
    <n v="240.1"/>
    <n v="115"/>
    <n v="40.82"/>
    <n v="180.4"/>
    <n v="91"/>
    <n v="15.33"/>
    <n v="133.4"/>
    <n v="122"/>
    <n v="6"/>
    <n v="8"/>
    <n v="6"/>
    <n v="2.16"/>
    <x v="4"/>
    <x v="0"/>
  </r>
  <r>
    <x v="19"/>
    <n v="86"/>
    <n v="408"/>
    <x v="0"/>
    <x v="0"/>
    <n v="0"/>
    <n v="83.8"/>
    <n v="121"/>
    <n v="14.25"/>
    <n v="240.2"/>
    <n v="96"/>
    <n v="20.420000000000002"/>
    <n v="158.6"/>
    <n v="108"/>
    <n v="7.14"/>
    <n v="6.7"/>
    <n v="8"/>
    <n v="1.81"/>
    <x v="0"/>
    <x v="0"/>
  </r>
  <r>
    <x v="41"/>
    <n v="55"/>
    <n v="415"/>
    <x v="1"/>
    <x v="0"/>
    <n v="0"/>
    <n v="269.60000000000002"/>
    <n v="121"/>
    <n v="45.83"/>
    <n v="171.7"/>
    <n v="91"/>
    <n v="14.59"/>
    <n v="219"/>
    <n v="98"/>
    <n v="9.86"/>
    <n v="8.1999999999999993"/>
    <n v="6"/>
    <n v="2.21"/>
    <x v="0"/>
    <x v="0"/>
  </r>
  <r>
    <x v="11"/>
    <n v="101"/>
    <n v="415"/>
    <x v="0"/>
    <x v="0"/>
    <n v="0"/>
    <n v="136.19999999999999"/>
    <n v="92"/>
    <n v="23.15"/>
    <n v="220.9"/>
    <n v="110"/>
    <n v="18.78"/>
    <n v="196.9"/>
    <n v="116"/>
    <n v="8.86"/>
    <n v="13.3"/>
    <n v="7"/>
    <n v="3.59"/>
    <x v="4"/>
    <x v="0"/>
  </r>
  <r>
    <x v="30"/>
    <n v="94"/>
    <n v="408"/>
    <x v="0"/>
    <x v="0"/>
    <n v="0"/>
    <n v="269.2"/>
    <n v="104"/>
    <n v="45.76"/>
    <n v="193.8"/>
    <n v="144"/>
    <n v="16.47"/>
    <n v="257.60000000000002"/>
    <n v="61"/>
    <n v="11.59"/>
    <n v="8.9"/>
    <n v="2"/>
    <n v="2.4"/>
    <x v="4"/>
    <x v="1"/>
  </r>
  <r>
    <x v="46"/>
    <n v="68"/>
    <n v="408"/>
    <x v="0"/>
    <x v="0"/>
    <n v="0"/>
    <n v="219.6"/>
    <n v="97"/>
    <n v="37.33"/>
    <n v="141.1"/>
    <n v="144"/>
    <n v="11.99"/>
    <n v="205.7"/>
    <n v="101"/>
    <n v="9.26"/>
    <n v="10.8"/>
    <n v="4"/>
    <n v="2.92"/>
    <x v="2"/>
    <x v="0"/>
  </r>
  <r>
    <x v="15"/>
    <n v="98"/>
    <n v="408"/>
    <x v="0"/>
    <x v="0"/>
    <n v="0"/>
    <n v="236.2"/>
    <n v="122"/>
    <n v="40.15"/>
    <n v="189.4"/>
    <n v="110"/>
    <n v="16.100000000000001"/>
    <n v="153.6"/>
    <n v="104"/>
    <n v="6.91"/>
    <n v="13.3"/>
    <n v="4"/>
    <n v="3.59"/>
    <x v="3"/>
    <x v="0"/>
  </r>
  <r>
    <x v="26"/>
    <n v="123"/>
    <n v="408"/>
    <x v="0"/>
    <x v="0"/>
    <n v="0"/>
    <n v="260.89999999999998"/>
    <n v="85"/>
    <n v="44.35"/>
    <n v="168.5"/>
    <n v="103"/>
    <n v="14.32"/>
    <n v="178.3"/>
    <n v="91"/>
    <n v="8.02"/>
    <n v="13.3"/>
    <n v="5"/>
    <n v="3.59"/>
    <x v="4"/>
    <x v="0"/>
  </r>
  <r>
    <x v="17"/>
    <n v="111"/>
    <n v="408"/>
    <x v="0"/>
    <x v="0"/>
    <n v="0"/>
    <n v="249.8"/>
    <n v="109"/>
    <n v="42.47"/>
    <n v="242.4"/>
    <n v="106"/>
    <n v="20.6"/>
    <n v="231.8"/>
    <n v="78"/>
    <n v="10.43"/>
    <n v="11.6"/>
    <n v="4"/>
    <n v="3.13"/>
    <x v="3"/>
    <x v="1"/>
  </r>
  <r>
    <x v="27"/>
    <n v="69"/>
    <n v="510"/>
    <x v="0"/>
    <x v="1"/>
    <n v="27"/>
    <n v="268.8"/>
    <n v="78"/>
    <n v="45.7"/>
    <n v="246.6"/>
    <n v="89"/>
    <n v="20.96"/>
    <n v="271.89999999999998"/>
    <n v="102"/>
    <n v="12.24"/>
    <n v="16.399999999999999"/>
    <n v="3"/>
    <n v="4.43"/>
    <x v="3"/>
    <x v="0"/>
  </r>
  <r>
    <x v="35"/>
    <n v="127"/>
    <n v="415"/>
    <x v="0"/>
    <x v="1"/>
    <n v="27"/>
    <n v="140.1"/>
    <n v="59"/>
    <n v="23.82"/>
    <n v="223.4"/>
    <n v="111"/>
    <n v="18.989999999999998"/>
    <n v="257.89999999999998"/>
    <n v="73"/>
    <n v="11.61"/>
    <n v="3.8"/>
    <n v="10"/>
    <n v="1.03"/>
    <x v="0"/>
    <x v="0"/>
  </r>
  <r>
    <x v="24"/>
    <n v="105"/>
    <n v="415"/>
    <x v="0"/>
    <x v="0"/>
    <n v="0"/>
    <n v="193.7"/>
    <n v="108"/>
    <n v="32.93"/>
    <n v="183.2"/>
    <n v="124"/>
    <n v="15.57"/>
    <n v="293.7"/>
    <n v="72"/>
    <n v="13.22"/>
    <n v="10.8"/>
    <n v="5"/>
    <n v="2.92"/>
    <x v="0"/>
    <x v="0"/>
  </r>
  <r>
    <x v="8"/>
    <n v="75"/>
    <n v="415"/>
    <x v="0"/>
    <x v="0"/>
    <n v="0"/>
    <n v="224.7"/>
    <n v="116"/>
    <n v="38.200000000000003"/>
    <n v="192"/>
    <n v="79"/>
    <n v="16.32"/>
    <n v="212.2"/>
    <n v="98"/>
    <n v="9.5500000000000007"/>
    <n v="11.3"/>
    <n v="11"/>
    <n v="3.05"/>
    <x v="4"/>
    <x v="0"/>
  </r>
  <r>
    <x v="26"/>
    <n v="126"/>
    <n v="415"/>
    <x v="0"/>
    <x v="0"/>
    <n v="0"/>
    <n v="190.9"/>
    <n v="143"/>
    <n v="32.450000000000003"/>
    <n v="149.69999999999999"/>
    <n v="72"/>
    <n v="12.72"/>
    <n v="191.4"/>
    <n v="87"/>
    <n v="8.61"/>
    <n v="13"/>
    <n v="3"/>
    <n v="3.51"/>
    <x v="0"/>
    <x v="0"/>
  </r>
  <r>
    <x v="24"/>
    <n v="41"/>
    <n v="415"/>
    <x v="0"/>
    <x v="0"/>
    <n v="0"/>
    <n v="232.1"/>
    <n v="74"/>
    <n v="39.46"/>
    <n v="327.10000000000002"/>
    <n v="88"/>
    <n v="27.8"/>
    <n v="226.5"/>
    <n v="119"/>
    <n v="10.19"/>
    <n v="10.9"/>
    <n v="2"/>
    <n v="2.94"/>
    <x v="4"/>
    <x v="1"/>
  </r>
  <r>
    <x v="35"/>
    <n v="113"/>
    <n v="415"/>
    <x v="0"/>
    <x v="0"/>
    <n v="0"/>
    <n v="90.6"/>
    <n v="130"/>
    <n v="15.4"/>
    <n v="170.6"/>
    <n v="100"/>
    <n v="14.5"/>
    <n v="137.4"/>
    <n v="74"/>
    <n v="6.18"/>
    <n v="5.4"/>
    <n v="9"/>
    <n v="1.46"/>
    <x v="0"/>
    <x v="0"/>
  </r>
  <r>
    <x v="2"/>
    <n v="78"/>
    <n v="510"/>
    <x v="0"/>
    <x v="0"/>
    <n v="0"/>
    <n v="152.9"/>
    <n v="81"/>
    <n v="25.99"/>
    <n v="256.60000000000002"/>
    <n v="82"/>
    <n v="21.81"/>
    <n v="173.6"/>
    <n v="112"/>
    <n v="7.81"/>
    <n v="5.3"/>
    <n v="6"/>
    <n v="1.43"/>
    <x v="2"/>
    <x v="0"/>
  </r>
  <r>
    <x v="18"/>
    <n v="110"/>
    <n v="415"/>
    <x v="0"/>
    <x v="0"/>
    <n v="0"/>
    <n v="241.2"/>
    <n v="105"/>
    <n v="41"/>
    <n v="174.3"/>
    <n v="85"/>
    <n v="14.82"/>
    <n v="245.3"/>
    <n v="59"/>
    <n v="11.04"/>
    <n v="8.5"/>
    <n v="4"/>
    <n v="2.2999999999999998"/>
    <x v="2"/>
    <x v="0"/>
  </r>
  <r>
    <x v="19"/>
    <n v="112"/>
    <n v="415"/>
    <x v="1"/>
    <x v="1"/>
    <n v="16"/>
    <n v="200.3"/>
    <n v="72"/>
    <n v="34.049999999999997"/>
    <n v="197.8"/>
    <n v="91"/>
    <n v="16.809999999999999"/>
    <n v="151.1"/>
    <n v="92"/>
    <n v="6.8"/>
    <n v="10.4"/>
    <n v="3"/>
    <n v="2.81"/>
    <x v="0"/>
    <x v="0"/>
  </r>
  <r>
    <x v="7"/>
    <n v="104"/>
    <n v="510"/>
    <x v="0"/>
    <x v="0"/>
    <n v="0"/>
    <n v="97.2"/>
    <n v="88"/>
    <n v="16.52"/>
    <n v="155.6"/>
    <n v="85"/>
    <n v="13.23"/>
    <n v="261.60000000000002"/>
    <n v="105"/>
    <n v="11.77"/>
    <n v="12.4"/>
    <n v="5"/>
    <n v="3.35"/>
    <x v="3"/>
    <x v="0"/>
  </r>
  <r>
    <x v="44"/>
    <n v="127"/>
    <n v="510"/>
    <x v="0"/>
    <x v="0"/>
    <n v="0"/>
    <n v="224.3"/>
    <n v="112"/>
    <n v="38.130000000000003"/>
    <n v="185.7"/>
    <n v="103"/>
    <n v="15.78"/>
    <n v="159.4"/>
    <n v="83"/>
    <n v="7.17"/>
    <n v="10"/>
    <n v="1"/>
    <n v="2.7"/>
    <x v="2"/>
    <x v="0"/>
  </r>
  <r>
    <x v="19"/>
    <n v="61"/>
    <n v="408"/>
    <x v="0"/>
    <x v="0"/>
    <n v="0"/>
    <n v="267.10000000000002"/>
    <n v="104"/>
    <n v="45.41"/>
    <n v="180.4"/>
    <n v="131"/>
    <n v="15.33"/>
    <n v="230.6"/>
    <n v="106"/>
    <n v="10.38"/>
    <n v="17.3"/>
    <n v="4"/>
    <n v="4.67"/>
    <x v="0"/>
    <x v="1"/>
  </r>
  <r>
    <x v="35"/>
    <n v="65"/>
    <n v="415"/>
    <x v="0"/>
    <x v="1"/>
    <n v="29"/>
    <n v="215.5"/>
    <n v="129"/>
    <n v="36.64"/>
    <n v="161.9"/>
    <n v="77"/>
    <n v="13.76"/>
    <n v="128.30000000000001"/>
    <n v="91"/>
    <n v="5.77"/>
    <n v="8.8000000000000007"/>
    <n v="5"/>
    <n v="2.38"/>
    <x v="2"/>
    <x v="0"/>
  </r>
  <r>
    <x v="34"/>
    <n v="152"/>
    <n v="408"/>
    <x v="0"/>
    <x v="1"/>
    <n v="20"/>
    <n v="239.1"/>
    <n v="105"/>
    <n v="40.65"/>
    <n v="209.1"/>
    <n v="111"/>
    <n v="17.77"/>
    <n v="268.2"/>
    <n v="130"/>
    <n v="12.07"/>
    <n v="13.3"/>
    <n v="3"/>
    <n v="3.59"/>
    <x v="5"/>
    <x v="0"/>
  </r>
  <r>
    <x v="35"/>
    <n v="63"/>
    <n v="415"/>
    <x v="1"/>
    <x v="0"/>
    <n v="0"/>
    <n v="62.9"/>
    <n v="112"/>
    <n v="10.69"/>
    <n v="202.9"/>
    <n v="111"/>
    <n v="17.25"/>
    <n v="259"/>
    <n v="58"/>
    <n v="11.66"/>
    <n v="8.9"/>
    <n v="8"/>
    <n v="2.4"/>
    <x v="0"/>
    <x v="0"/>
  </r>
  <r>
    <x v="49"/>
    <n v="100"/>
    <n v="408"/>
    <x v="0"/>
    <x v="0"/>
    <n v="0"/>
    <n v="210.9"/>
    <n v="85"/>
    <n v="35.85"/>
    <n v="329.3"/>
    <n v="69"/>
    <n v="27.99"/>
    <n v="127.1"/>
    <n v="78"/>
    <n v="5.72"/>
    <n v="9.4"/>
    <n v="5"/>
    <n v="2.54"/>
    <x v="1"/>
    <x v="0"/>
  </r>
  <r>
    <x v="27"/>
    <n v="29"/>
    <n v="510"/>
    <x v="0"/>
    <x v="0"/>
    <n v="0"/>
    <n v="313.2"/>
    <n v="103"/>
    <n v="53.24"/>
    <n v="216.3"/>
    <n v="151"/>
    <n v="18.39"/>
    <n v="218.4"/>
    <n v="106"/>
    <n v="9.83"/>
    <n v="12.8"/>
    <n v="4"/>
    <n v="3.46"/>
    <x v="2"/>
    <x v="1"/>
  </r>
  <r>
    <x v="40"/>
    <n v="175"/>
    <n v="415"/>
    <x v="0"/>
    <x v="0"/>
    <n v="0"/>
    <n v="132"/>
    <n v="95"/>
    <n v="22.44"/>
    <n v="231.2"/>
    <n v="74"/>
    <n v="19.649999999999999"/>
    <n v="313.39999999999998"/>
    <n v="108"/>
    <n v="14.1"/>
    <n v="8.6999999999999993"/>
    <n v="10"/>
    <n v="2.35"/>
    <x v="0"/>
    <x v="0"/>
  </r>
  <r>
    <x v="27"/>
    <n v="98"/>
    <n v="415"/>
    <x v="1"/>
    <x v="1"/>
    <n v="23"/>
    <n v="245.5"/>
    <n v="54"/>
    <n v="41.74"/>
    <n v="292.7"/>
    <n v="83"/>
    <n v="24.88"/>
    <n v="184"/>
    <n v="90"/>
    <n v="8.2799999999999994"/>
    <n v="10.8"/>
    <n v="7"/>
    <n v="2.92"/>
    <x v="0"/>
    <x v="0"/>
  </r>
  <r>
    <x v="8"/>
    <n v="121"/>
    <n v="415"/>
    <x v="0"/>
    <x v="0"/>
    <n v="0"/>
    <n v="134.1"/>
    <n v="112"/>
    <n v="22.8"/>
    <n v="195.1"/>
    <n v="104"/>
    <n v="16.579999999999998"/>
    <n v="159.6"/>
    <n v="139"/>
    <n v="7.18"/>
    <n v="10.5"/>
    <n v="2"/>
    <n v="2.84"/>
    <x v="2"/>
    <x v="0"/>
  </r>
  <r>
    <x v="45"/>
    <n v="104"/>
    <n v="415"/>
    <x v="0"/>
    <x v="0"/>
    <n v="0"/>
    <n v="144.5"/>
    <n v="107"/>
    <n v="24.57"/>
    <n v="180.5"/>
    <n v="85"/>
    <n v="15.34"/>
    <n v="226"/>
    <n v="94"/>
    <n v="10.17"/>
    <n v="17"/>
    <n v="6"/>
    <n v="4.59"/>
    <x v="2"/>
    <x v="0"/>
  </r>
  <r>
    <x v="19"/>
    <n v="123"/>
    <n v="415"/>
    <x v="0"/>
    <x v="0"/>
    <n v="0"/>
    <n v="150"/>
    <n v="98"/>
    <n v="25.5"/>
    <n v="89.8"/>
    <n v="95"/>
    <n v="7.63"/>
    <n v="326"/>
    <n v="91"/>
    <n v="14.67"/>
    <n v="11.1"/>
    <n v="3"/>
    <n v="3"/>
    <x v="4"/>
    <x v="0"/>
  </r>
  <r>
    <x v="6"/>
    <n v="61"/>
    <n v="415"/>
    <x v="0"/>
    <x v="1"/>
    <n v="33"/>
    <n v="270.7"/>
    <n v="53"/>
    <n v="46.02"/>
    <n v="200.7"/>
    <n v="116"/>
    <n v="17.059999999999999"/>
    <n v="201.7"/>
    <n v="102"/>
    <n v="9.08"/>
    <n v="10.9"/>
    <n v="3"/>
    <n v="2.94"/>
    <x v="4"/>
    <x v="0"/>
  </r>
  <r>
    <x v="43"/>
    <n v="160"/>
    <n v="415"/>
    <x v="0"/>
    <x v="0"/>
    <n v="0"/>
    <n v="256"/>
    <n v="111"/>
    <n v="43.52"/>
    <n v="187.4"/>
    <n v="61"/>
    <n v="15.93"/>
    <n v="119.1"/>
    <n v="81"/>
    <n v="5.36"/>
    <n v="11.5"/>
    <n v="4"/>
    <n v="3.11"/>
    <x v="4"/>
    <x v="0"/>
  </r>
  <r>
    <x v="47"/>
    <n v="153"/>
    <n v="408"/>
    <x v="0"/>
    <x v="0"/>
    <n v="0"/>
    <n v="154.6"/>
    <n v="56"/>
    <n v="26.28"/>
    <n v="263"/>
    <n v="84"/>
    <n v="22.36"/>
    <n v="367.7"/>
    <n v="89"/>
    <n v="16.55"/>
    <n v="15.5"/>
    <n v="2"/>
    <n v="4.1900000000000004"/>
    <x v="0"/>
    <x v="0"/>
  </r>
  <r>
    <x v="29"/>
    <n v="31"/>
    <n v="510"/>
    <x v="0"/>
    <x v="0"/>
    <n v="0"/>
    <n v="165.4"/>
    <n v="84"/>
    <n v="28.12"/>
    <n v="203.7"/>
    <n v="107"/>
    <n v="17.309999999999999"/>
    <n v="201.7"/>
    <n v="65"/>
    <n v="9.08"/>
    <n v="8.1999999999999993"/>
    <n v="1"/>
    <n v="2.21"/>
    <x v="0"/>
    <x v="0"/>
  </r>
  <r>
    <x v="14"/>
    <n v="122"/>
    <n v="415"/>
    <x v="0"/>
    <x v="0"/>
    <n v="0"/>
    <n v="168.3"/>
    <n v="96"/>
    <n v="28.61"/>
    <n v="87.6"/>
    <n v="91"/>
    <n v="7.45"/>
    <n v="247.2"/>
    <n v="87"/>
    <n v="11.12"/>
    <n v="8.4"/>
    <n v="6"/>
    <n v="2.27"/>
    <x v="0"/>
    <x v="0"/>
  </r>
  <r>
    <x v="1"/>
    <n v="46"/>
    <n v="415"/>
    <x v="0"/>
    <x v="1"/>
    <n v="34"/>
    <n v="191.4"/>
    <n v="102"/>
    <n v="32.54"/>
    <n v="361.8"/>
    <n v="96"/>
    <n v="30.75"/>
    <n v="147.5"/>
    <n v="132"/>
    <n v="6.64"/>
    <n v="7.2"/>
    <n v="2"/>
    <n v="1.94"/>
    <x v="0"/>
    <x v="0"/>
  </r>
  <r>
    <x v="29"/>
    <n v="103"/>
    <n v="415"/>
    <x v="0"/>
    <x v="0"/>
    <n v="0"/>
    <n v="158.69999999999999"/>
    <n v="90"/>
    <n v="26.98"/>
    <n v="198.4"/>
    <n v="117"/>
    <n v="16.86"/>
    <n v="181.1"/>
    <n v="76"/>
    <n v="8.15"/>
    <n v="10.5"/>
    <n v="4"/>
    <n v="2.84"/>
    <x v="0"/>
    <x v="0"/>
  </r>
  <r>
    <x v="41"/>
    <n v="68"/>
    <n v="415"/>
    <x v="1"/>
    <x v="1"/>
    <n v="29"/>
    <n v="195.5"/>
    <n v="113"/>
    <n v="33.24"/>
    <n v="171.6"/>
    <n v="96"/>
    <n v="14.59"/>
    <n v="204"/>
    <n v="85"/>
    <n v="9.18"/>
    <n v="13.5"/>
    <n v="9"/>
    <n v="3.65"/>
    <x v="0"/>
    <x v="1"/>
  </r>
  <r>
    <x v="22"/>
    <n v="149"/>
    <n v="415"/>
    <x v="0"/>
    <x v="1"/>
    <n v="20"/>
    <n v="264.39999999999998"/>
    <n v="102"/>
    <n v="44.95"/>
    <n v="219.6"/>
    <n v="123"/>
    <n v="18.670000000000002"/>
    <n v="200.4"/>
    <n v="89"/>
    <n v="9.02"/>
    <n v="11.3"/>
    <n v="3"/>
    <n v="3.05"/>
    <x v="2"/>
    <x v="0"/>
  </r>
  <r>
    <x v="12"/>
    <n v="102"/>
    <n v="408"/>
    <x v="0"/>
    <x v="0"/>
    <n v="0"/>
    <n v="273.2"/>
    <n v="85"/>
    <n v="46.44"/>
    <n v="211.1"/>
    <n v="82"/>
    <n v="17.940000000000001"/>
    <n v="203.7"/>
    <n v="129"/>
    <n v="9.17"/>
    <n v="13.1"/>
    <n v="7"/>
    <n v="3.54"/>
    <x v="2"/>
    <x v="1"/>
  </r>
  <r>
    <x v="9"/>
    <n v="153"/>
    <n v="510"/>
    <x v="0"/>
    <x v="0"/>
    <n v="0"/>
    <n v="159.5"/>
    <n v="103"/>
    <n v="27.12"/>
    <n v="275.5"/>
    <n v="90"/>
    <n v="23.42"/>
    <n v="176.7"/>
    <n v="126"/>
    <n v="7.95"/>
    <n v="10.1"/>
    <n v="2"/>
    <n v="2.73"/>
    <x v="0"/>
    <x v="1"/>
  </r>
  <r>
    <x v="2"/>
    <n v="122"/>
    <n v="510"/>
    <x v="0"/>
    <x v="0"/>
    <n v="0"/>
    <n v="145.6"/>
    <n v="102"/>
    <n v="24.75"/>
    <n v="284.7"/>
    <n v="111"/>
    <n v="24.2"/>
    <n v="228.2"/>
    <n v="91"/>
    <n v="10.27"/>
    <n v="12.2"/>
    <n v="5"/>
    <n v="3.29"/>
    <x v="3"/>
    <x v="0"/>
  </r>
  <r>
    <x v="28"/>
    <n v="127"/>
    <n v="510"/>
    <x v="1"/>
    <x v="0"/>
    <n v="0"/>
    <n v="247.5"/>
    <n v="99"/>
    <n v="42.08"/>
    <n v="108.5"/>
    <n v="118"/>
    <n v="9.2200000000000006"/>
    <n v="232"/>
    <n v="72"/>
    <n v="10.44"/>
    <n v="10.6"/>
    <n v="3"/>
    <n v="2.86"/>
    <x v="2"/>
    <x v="0"/>
  </r>
  <r>
    <x v="2"/>
    <n v="126"/>
    <n v="415"/>
    <x v="1"/>
    <x v="0"/>
    <n v="0"/>
    <n v="239.7"/>
    <n v="87"/>
    <n v="40.75"/>
    <n v="281.7"/>
    <n v="92"/>
    <n v="23.94"/>
    <n v="183.5"/>
    <n v="113"/>
    <n v="8.26"/>
    <n v="11.4"/>
    <n v="1"/>
    <n v="3.08"/>
    <x v="0"/>
    <x v="1"/>
  </r>
  <r>
    <x v="15"/>
    <n v="90"/>
    <n v="408"/>
    <x v="0"/>
    <x v="0"/>
    <n v="0"/>
    <n v="109.9"/>
    <n v="102"/>
    <n v="18.68"/>
    <n v="220.8"/>
    <n v="114"/>
    <n v="18.77"/>
    <n v="104"/>
    <n v="133"/>
    <n v="4.68"/>
    <n v="10.9"/>
    <n v="6"/>
    <n v="2.94"/>
    <x v="3"/>
    <x v="0"/>
  </r>
  <r>
    <x v="17"/>
    <n v="37"/>
    <n v="510"/>
    <x v="0"/>
    <x v="0"/>
    <n v="0"/>
    <n v="239.9"/>
    <n v="120"/>
    <n v="40.78"/>
    <n v="261.60000000000002"/>
    <n v="88"/>
    <n v="22.24"/>
    <n v="207.1"/>
    <n v="88"/>
    <n v="9.32"/>
    <n v="8.9"/>
    <n v="4"/>
    <n v="2.4"/>
    <x v="2"/>
    <x v="1"/>
  </r>
  <r>
    <x v="15"/>
    <n v="132"/>
    <n v="415"/>
    <x v="0"/>
    <x v="0"/>
    <n v="0"/>
    <n v="197.8"/>
    <n v="66"/>
    <n v="33.630000000000003"/>
    <n v="133.9"/>
    <n v="119"/>
    <n v="11.38"/>
    <n v="177.3"/>
    <n v="94"/>
    <n v="7.98"/>
    <n v="10.9"/>
    <n v="3"/>
    <n v="2.94"/>
    <x v="1"/>
    <x v="1"/>
  </r>
  <r>
    <x v="14"/>
    <n v="38"/>
    <n v="408"/>
    <x v="0"/>
    <x v="1"/>
    <n v="36"/>
    <n v="115.4"/>
    <n v="98"/>
    <n v="19.62"/>
    <n v="166.2"/>
    <n v="83"/>
    <n v="14.13"/>
    <n v="184.7"/>
    <n v="79"/>
    <n v="8.31"/>
    <n v="15.2"/>
    <n v="6"/>
    <n v="4.0999999999999996"/>
    <x v="2"/>
    <x v="0"/>
  </r>
  <r>
    <x v="7"/>
    <n v="92"/>
    <n v="415"/>
    <x v="0"/>
    <x v="0"/>
    <n v="0"/>
    <n v="197.2"/>
    <n v="113"/>
    <n v="33.520000000000003"/>
    <n v="242.3"/>
    <n v="116"/>
    <n v="20.6"/>
    <n v="192"/>
    <n v="76"/>
    <n v="8.64"/>
    <n v="11"/>
    <n v="5"/>
    <n v="2.97"/>
    <x v="2"/>
    <x v="0"/>
  </r>
  <r>
    <x v="4"/>
    <n v="111"/>
    <n v="408"/>
    <x v="0"/>
    <x v="1"/>
    <n v="13"/>
    <n v="193.1"/>
    <n v="104"/>
    <n v="32.83"/>
    <n v="111.6"/>
    <n v="98"/>
    <n v="9.49"/>
    <n v="227.4"/>
    <n v="94"/>
    <n v="10.23"/>
    <n v="12.1"/>
    <n v="4"/>
    <n v="3.27"/>
    <x v="0"/>
    <x v="0"/>
  </r>
  <r>
    <x v="26"/>
    <n v="121"/>
    <n v="415"/>
    <x v="0"/>
    <x v="1"/>
    <n v="31"/>
    <n v="263.10000000000002"/>
    <n v="70"/>
    <n v="44.73"/>
    <n v="279.3"/>
    <n v="118"/>
    <n v="23.74"/>
    <n v="127.1"/>
    <n v="143"/>
    <n v="5.72"/>
    <n v="9.6999999999999993"/>
    <n v="4"/>
    <n v="2.62"/>
    <x v="5"/>
    <x v="0"/>
  </r>
  <r>
    <x v="50"/>
    <n v="131"/>
    <n v="408"/>
    <x v="0"/>
    <x v="0"/>
    <n v="0"/>
    <n v="197"/>
    <n v="79"/>
    <n v="33.49"/>
    <n v="201"/>
    <n v="114"/>
    <n v="17.09"/>
    <n v="151.19999999999999"/>
    <n v="111"/>
    <n v="6.8"/>
    <n v="11.6"/>
    <n v="5"/>
    <n v="3.13"/>
    <x v="0"/>
    <x v="0"/>
  </r>
  <r>
    <x v="40"/>
    <n v="19"/>
    <n v="415"/>
    <x v="0"/>
    <x v="0"/>
    <n v="0"/>
    <n v="201.5"/>
    <n v="123"/>
    <n v="34.26"/>
    <n v="129.19999999999999"/>
    <n v="110"/>
    <n v="10.98"/>
    <n v="220.6"/>
    <n v="98"/>
    <n v="9.93"/>
    <n v="12.9"/>
    <n v="4"/>
    <n v="3.48"/>
    <x v="0"/>
    <x v="0"/>
  </r>
  <r>
    <x v="20"/>
    <n v="135"/>
    <n v="415"/>
    <x v="0"/>
    <x v="0"/>
    <n v="0"/>
    <n v="173.4"/>
    <n v="107"/>
    <n v="29.48"/>
    <n v="222"/>
    <n v="84"/>
    <n v="18.87"/>
    <n v="64.2"/>
    <n v="94"/>
    <n v="2.89"/>
    <n v="13.7"/>
    <n v="6"/>
    <n v="3.7"/>
    <x v="0"/>
    <x v="0"/>
  </r>
  <r>
    <x v="48"/>
    <n v="129"/>
    <n v="408"/>
    <x v="0"/>
    <x v="0"/>
    <n v="0"/>
    <n v="101.4"/>
    <n v="145"/>
    <n v="17.239999999999998"/>
    <n v="249.1"/>
    <n v="116"/>
    <n v="21.17"/>
    <n v="157.6"/>
    <n v="107"/>
    <n v="7.09"/>
    <n v="7.1"/>
    <n v="6"/>
    <n v="1.92"/>
    <x v="0"/>
    <x v="0"/>
  </r>
  <r>
    <x v="11"/>
    <n v="142"/>
    <n v="415"/>
    <x v="0"/>
    <x v="0"/>
    <n v="0"/>
    <n v="232.5"/>
    <n v="74"/>
    <n v="39.53"/>
    <n v="181.8"/>
    <n v="142"/>
    <n v="15.45"/>
    <n v="203.1"/>
    <n v="86"/>
    <n v="9.14"/>
    <n v="10.4"/>
    <n v="6"/>
    <n v="2.81"/>
    <x v="1"/>
    <x v="0"/>
  </r>
  <r>
    <x v="43"/>
    <n v="130"/>
    <n v="415"/>
    <x v="0"/>
    <x v="1"/>
    <n v="45"/>
    <n v="174.5"/>
    <n v="120"/>
    <n v="29.67"/>
    <n v="217.5"/>
    <n v="95"/>
    <n v="18.489999999999998"/>
    <n v="220.3"/>
    <n v="67"/>
    <n v="9.91"/>
    <n v="12.2"/>
    <n v="2"/>
    <n v="3.29"/>
    <x v="0"/>
    <x v="0"/>
  </r>
  <r>
    <x v="19"/>
    <n v="92"/>
    <n v="415"/>
    <x v="0"/>
    <x v="0"/>
    <n v="0"/>
    <n v="181.4"/>
    <n v="98"/>
    <n v="30.84"/>
    <n v="164.5"/>
    <n v="98"/>
    <n v="13.98"/>
    <n v="171"/>
    <n v="110"/>
    <n v="7.69"/>
    <n v="10.9"/>
    <n v="4"/>
    <n v="2.94"/>
    <x v="2"/>
    <x v="0"/>
  </r>
  <r>
    <x v="28"/>
    <n v="146"/>
    <n v="415"/>
    <x v="0"/>
    <x v="1"/>
    <n v="11"/>
    <n v="180.7"/>
    <n v="82"/>
    <n v="30.72"/>
    <n v="173.7"/>
    <n v="90"/>
    <n v="14.76"/>
    <n v="231.5"/>
    <n v="89"/>
    <n v="10.42"/>
    <n v="10.1"/>
    <n v="4"/>
    <n v="2.73"/>
    <x v="2"/>
    <x v="0"/>
  </r>
  <r>
    <x v="44"/>
    <n v="152"/>
    <n v="510"/>
    <x v="1"/>
    <x v="1"/>
    <n v="41"/>
    <n v="146.80000000000001"/>
    <n v="128"/>
    <n v="24.96"/>
    <n v="285.60000000000002"/>
    <n v="96"/>
    <n v="24.28"/>
    <n v="213.6"/>
    <n v="80"/>
    <n v="9.61"/>
    <n v="4.3"/>
    <n v="2"/>
    <n v="1.1599999999999999"/>
    <x v="0"/>
    <x v="1"/>
  </r>
  <r>
    <x v="27"/>
    <n v="189"/>
    <n v="415"/>
    <x v="0"/>
    <x v="0"/>
    <n v="0"/>
    <n v="227.8"/>
    <n v="124"/>
    <n v="38.729999999999997"/>
    <n v="169.5"/>
    <n v="112"/>
    <n v="14.41"/>
    <n v="201.1"/>
    <n v="91"/>
    <n v="9.0500000000000007"/>
    <n v="5.6"/>
    <n v="4"/>
    <n v="1.51"/>
    <x v="4"/>
    <x v="0"/>
  </r>
  <r>
    <x v="20"/>
    <n v="95"/>
    <n v="415"/>
    <x v="0"/>
    <x v="1"/>
    <n v="23"/>
    <n v="160.30000000000001"/>
    <n v="87"/>
    <n v="27.25"/>
    <n v="202.4"/>
    <n v="101"/>
    <n v="17.2"/>
    <n v="191.1"/>
    <n v="122"/>
    <n v="8.6"/>
    <n v="7.4"/>
    <n v="3"/>
    <n v="2"/>
    <x v="3"/>
    <x v="0"/>
  </r>
  <r>
    <x v="5"/>
    <n v="1"/>
    <n v="408"/>
    <x v="0"/>
    <x v="0"/>
    <n v="0"/>
    <n v="175.2"/>
    <n v="74"/>
    <n v="29.78"/>
    <n v="151.69999999999999"/>
    <n v="79"/>
    <n v="12.89"/>
    <n v="230.5"/>
    <n v="109"/>
    <n v="10.37"/>
    <n v="5.3"/>
    <n v="3"/>
    <n v="1.43"/>
    <x v="0"/>
    <x v="0"/>
  </r>
  <r>
    <x v="1"/>
    <n v="141"/>
    <n v="415"/>
    <x v="0"/>
    <x v="1"/>
    <n v="39"/>
    <n v="116.9"/>
    <n v="127"/>
    <n v="19.87"/>
    <n v="276.5"/>
    <n v="88"/>
    <n v="23.5"/>
    <n v="289.89999999999998"/>
    <n v="125"/>
    <n v="13.05"/>
    <n v="12.3"/>
    <n v="2"/>
    <n v="3.32"/>
    <x v="3"/>
    <x v="0"/>
  </r>
  <r>
    <x v="18"/>
    <n v="111"/>
    <n v="510"/>
    <x v="0"/>
    <x v="0"/>
    <n v="0"/>
    <n v="152.19999999999999"/>
    <n v="114"/>
    <n v="25.87"/>
    <n v="137.19999999999999"/>
    <n v="102"/>
    <n v="11.66"/>
    <n v="185.9"/>
    <n v="97"/>
    <n v="8.3699999999999992"/>
    <n v="9.8000000000000007"/>
    <n v="3"/>
    <n v="2.65"/>
    <x v="3"/>
    <x v="0"/>
  </r>
  <r>
    <x v="35"/>
    <n v="143"/>
    <n v="408"/>
    <x v="0"/>
    <x v="0"/>
    <n v="0"/>
    <n v="167.8"/>
    <n v="72"/>
    <n v="28.53"/>
    <n v="211"/>
    <n v="99"/>
    <n v="17.940000000000001"/>
    <n v="153.5"/>
    <n v="109"/>
    <n v="6.91"/>
    <n v="10.5"/>
    <n v="6"/>
    <n v="2.84"/>
    <x v="1"/>
    <x v="1"/>
  </r>
  <r>
    <x v="22"/>
    <n v="148"/>
    <n v="415"/>
    <x v="0"/>
    <x v="1"/>
    <n v="21"/>
    <n v="262.89999999999998"/>
    <n v="135"/>
    <n v="44.69"/>
    <n v="149.5"/>
    <n v="96"/>
    <n v="12.71"/>
    <n v="140.5"/>
    <n v="109"/>
    <n v="6.32"/>
    <n v="8.1"/>
    <n v="4"/>
    <n v="2.19"/>
    <x v="0"/>
    <x v="0"/>
  </r>
  <r>
    <x v="12"/>
    <n v="143"/>
    <n v="408"/>
    <x v="0"/>
    <x v="1"/>
    <n v="22"/>
    <n v="141.80000000000001"/>
    <n v="116"/>
    <n v="24.11"/>
    <n v="167.3"/>
    <n v="99"/>
    <n v="14.22"/>
    <n v="178.1"/>
    <n v="130"/>
    <n v="8.01"/>
    <n v="7.8"/>
    <n v="3"/>
    <n v="2.11"/>
    <x v="0"/>
    <x v="0"/>
  </r>
  <r>
    <x v="24"/>
    <n v="90"/>
    <n v="415"/>
    <x v="0"/>
    <x v="0"/>
    <n v="0"/>
    <n v="167.5"/>
    <n v="96"/>
    <n v="28.48"/>
    <n v="139.1"/>
    <n v="104"/>
    <n v="11.82"/>
    <n v="138.4"/>
    <n v="87"/>
    <n v="6.23"/>
    <n v="13"/>
    <n v="1"/>
    <n v="3.51"/>
    <x v="0"/>
    <x v="0"/>
  </r>
  <r>
    <x v="20"/>
    <n v="169"/>
    <n v="408"/>
    <x v="0"/>
    <x v="0"/>
    <n v="0"/>
    <n v="147.19999999999999"/>
    <n v="115"/>
    <n v="25.02"/>
    <n v="161.9"/>
    <n v="123"/>
    <n v="13.76"/>
    <n v="142.1"/>
    <n v="103"/>
    <n v="6.39"/>
    <n v="7.2"/>
    <n v="6"/>
    <n v="1.94"/>
    <x v="4"/>
    <x v="0"/>
  </r>
  <r>
    <x v="0"/>
    <n v="53"/>
    <n v="415"/>
    <x v="0"/>
    <x v="0"/>
    <n v="0"/>
    <n v="145.1"/>
    <n v="116"/>
    <n v="24.67"/>
    <n v="233.7"/>
    <n v="82"/>
    <n v="19.86"/>
    <n v="208.7"/>
    <n v="95"/>
    <n v="9.39"/>
    <n v="7.9"/>
    <n v="5"/>
    <n v="2.13"/>
    <x v="2"/>
    <x v="0"/>
  </r>
  <r>
    <x v="21"/>
    <n v="15"/>
    <n v="415"/>
    <x v="0"/>
    <x v="0"/>
    <n v="0"/>
    <n v="135.19999999999999"/>
    <n v="101"/>
    <n v="22.98"/>
    <n v="152.5"/>
    <n v="79"/>
    <n v="12.96"/>
    <n v="224.8"/>
    <n v="83"/>
    <n v="10.119999999999999"/>
    <n v="8.4"/>
    <n v="5"/>
    <n v="2.27"/>
    <x v="2"/>
    <x v="0"/>
  </r>
  <r>
    <x v="39"/>
    <n v="123"/>
    <n v="408"/>
    <x v="0"/>
    <x v="1"/>
    <n v="28"/>
    <n v="124.7"/>
    <n v="105"/>
    <n v="21.2"/>
    <n v="250.4"/>
    <n v="78"/>
    <n v="21.28"/>
    <n v="216.4"/>
    <n v="128"/>
    <n v="9.74"/>
    <n v="7.8"/>
    <n v="8"/>
    <n v="2.11"/>
    <x v="0"/>
    <x v="0"/>
  </r>
  <r>
    <x v="48"/>
    <n v="95"/>
    <n v="510"/>
    <x v="0"/>
    <x v="0"/>
    <n v="0"/>
    <n v="174"/>
    <n v="57"/>
    <n v="29.58"/>
    <n v="281.10000000000002"/>
    <n v="118"/>
    <n v="23.89"/>
    <n v="197.2"/>
    <n v="94"/>
    <n v="8.8699999999999992"/>
    <n v="9.6999999999999993"/>
    <n v="2"/>
    <n v="2.62"/>
    <x v="3"/>
    <x v="0"/>
  </r>
  <r>
    <x v="18"/>
    <n v="82"/>
    <n v="510"/>
    <x v="0"/>
    <x v="0"/>
    <n v="0"/>
    <n v="265.2"/>
    <n v="122"/>
    <n v="45.08"/>
    <n v="178.7"/>
    <n v="102"/>
    <n v="15.19"/>
    <n v="174.7"/>
    <n v="90"/>
    <n v="7.86"/>
    <n v="10.7"/>
    <n v="9"/>
    <n v="2.89"/>
    <x v="2"/>
    <x v="0"/>
  </r>
  <r>
    <x v="35"/>
    <n v="180"/>
    <n v="415"/>
    <x v="0"/>
    <x v="0"/>
    <n v="0"/>
    <n v="143.30000000000001"/>
    <n v="134"/>
    <n v="24.36"/>
    <n v="180.5"/>
    <n v="113"/>
    <n v="15.34"/>
    <n v="184.2"/>
    <n v="87"/>
    <n v="8.2899999999999991"/>
    <n v="10.1"/>
    <n v="4"/>
    <n v="2.73"/>
    <x v="0"/>
    <x v="0"/>
  </r>
  <r>
    <x v="35"/>
    <n v="125"/>
    <n v="408"/>
    <x v="0"/>
    <x v="0"/>
    <n v="0"/>
    <n v="113"/>
    <n v="108"/>
    <n v="19.21"/>
    <n v="169.2"/>
    <n v="107"/>
    <n v="14.38"/>
    <n v="156.6"/>
    <n v="61"/>
    <n v="7.05"/>
    <n v="9.1999999999999993"/>
    <n v="5"/>
    <n v="2.48"/>
    <x v="2"/>
    <x v="1"/>
  </r>
  <r>
    <x v="25"/>
    <n v="138"/>
    <n v="415"/>
    <x v="1"/>
    <x v="1"/>
    <n v="28"/>
    <n v="211.2"/>
    <n v="117"/>
    <n v="35.9"/>
    <n v="312.5"/>
    <n v="98"/>
    <n v="26.56"/>
    <n v="178"/>
    <n v="118"/>
    <n v="8.01"/>
    <n v="10.7"/>
    <n v="2"/>
    <n v="2.89"/>
    <x v="4"/>
    <x v="1"/>
  </r>
  <r>
    <x v="13"/>
    <n v="90"/>
    <n v="408"/>
    <x v="0"/>
    <x v="0"/>
    <n v="0"/>
    <n v="157.9"/>
    <n v="72"/>
    <n v="26.84"/>
    <n v="234"/>
    <n v="93"/>
    <n v="19.89"/>
    <n v="210"/>
    <n v="86"/>
    <n v="9.4499999999999993"/>
    <n v="12.2"/>
    <n v="5"/>
    <n v="3.29"/>
    <x v="2"/>
    <x v="0"/>
  </r>
  <r>
    <x v="31"/>
    <n v="190"/>
    <n v="408"/>
    <x v="0"/>
    <x v="0"/>
    <n v="0"/>
    <n v="182.2"/>
    <n v="101"/>
    <n v="30.97"/>
    <n v="212.3"/>
    <n v="95"/>
    <n v="18.05"/>
    <n v="233"/>
    <n v="123"/>
    <n v="10.49"/>
    <n v="9.3000000000000007"/>
    <n v="4"/>
    <n v="2.5099999999999998"/>
    <x v="2"/>
    <x v="0"/>
  </r>
  <r>
    <x v="49"/>
    <n v="143"/>
    <n v="510"/>
    <x v="0"/>
    <x v="1"/>
    <n v="33"/>
    <n v="141.4"/>
    <n v="130"/>
    <n v="24.04"/>
    <n v="186.4"/>
    <n v="114"/>
    <n v="15.84"/>
    <n v="210"/>
    <n v="111"/>
    <n v="9.4499999999999993"/>
    <n v="7.7"/>
    <n v="6"/>
    <n v="2.08"/>
    <x v="0"/>
    <x v="0"/>
  </r>
  <r>
    <x v="41"/>
    <n v="183"/>
    <n v="510"/>
    <x v="0"/>
    <x v="0"/>
    <n v="0"/>
    <n v="108.3"/>
    <n v="87"/>
    <n v="18.41"/>
    <n v="183.6"/>
    <n v="116"/>
    <n v="15.61"/>
    <n v="176.6"/>
    <n v="109"/>
    <n v="7.95"/>
    <n v="13.5"/>
    <n v="2"/>
    <n v="3.65"/>
    <x v="3"/>
    <x v="0"/>
  </r>
  <r>
    <x v="14"/>
    <n v="58"/>
    <n v="415"/>
    <x v="0"/>
    <x v="0"/>
    <n v="0"/>
    <n v="247.2"/>
    <n v="116"/>
    <n v="42.02"/>
    <n v="303.7"/>
    <n v="103"/>
    <n v="25.81"/>
    <n v="105.4"/>
    <n v="94"/>
    <n v="4.74"/>
    <n v="9.3000000000000007"/>
    <n v="2"/>
    <n v="2.5099999999999998"/>
    <x v="2"/>
    <x v="1"/>
  </r>
  <r>
    <x v="48"/>
    <n v="123"/>
    <n v="415"/>
    <x v="0"/>
    <x v="0"/>
    <n v="0"/>
    <n v="166.9"/>
    <n v="98"/>
    <n v="28.37"/>
    <n v="221.8"/>
    <n v="77"/>
    <n v="18.850000000000001"/>
    <n v="243.9"/>
    <n v="114"/>
    <n v="10.98"/>
    <n v="12.8"/>
    <n v="4"/>
    <n v="3.46"/>
    <x v="4"/>
    <x v="0"/>
  </r>
  <r>
    <x v="50"/>
    <n v="155"/>
    <n v="510"/>
    <x v="0"/>
    <x v="0"/>
    <n v="0"/>
    <n v="71.2"/>
    <n v="90"/>
    <n v="12.1"/>
    <n v="304.39999999999998"/>
    <n v="119"/>
    <n v="25.87"/>
    <n v="183.3"/>
    <n v="103"/>
    <n v="8.25"/>
    <n v="8.6"/>
    <n v="4"/>
    <n v="2.3199999999999998"/>
    <x v="3"/>
    <x v="0"/>
  </r>
  <r>
    <x v="10"/>
    <n v="53"/>
    <n v="415"/>
    <x v="0"/>
    <x v="0"/>
    <n v="0"/>
    <n v="164.1"/>
    <n v="106"/>
    <n v="27.9"/>
    <n v="206"/>
    <n v="56"/>
    <n v="17.510000000000002"/>
    <n v="194.7"/>
    <n v="124"/>
    <n v="8.76"/>
    <n v="11.4"/>
    <n v="2"/>
    <n v="3.08"/>
    <x v="0"/>
    <x v="0"/>
  </r>
  <r>
    <x v="12"/>
    <n v="101"/>
    <n v="415"/>
    <x v="0"/>
    <x v="0"/>
    <n v="0"/>
    <n v="154.4"/>
    <n v="130"/>
    <n v="26.25"/>
    <n v="217.2"/>
    <n v="101"/>
    <n v="18.46"/>
    <n v="185.4"/>
    <n v="52"/>
    <n v="8.34"/>
    <n v="13.9"/>
    <n v="4"/>
    <n v="3.75"/>
    <x v="0"/>
    <x v="0"/>
  </r>
  <r>
    <x v="46"/>
    <n v="122"/>
    <n v="408"/>
    <x v="0"/>
    <x v="0"/>
    <n v="0"/>
    <n v="231.2"/>
    <n v="141"/>
    <n v="39.299999999999997"/>
    <n v="267.8"/>
    <n v="136"/>
    <n v="22.76"/>
    <n v="240.3"/>
    <n v="100"/>
    <n v="10.81"/>
    <n v="8.8000000000000007"/>
    <n v="5"/>
    <n v="2.38"/>
    <x v="0"/>
    <x v="1"/>
  </r>
  <r>
    <x v="8"/>
    <n v="163"/>
    <n v="415"/>
    <x v="0"/>
    <x v="0"/>
    <n v="0"/>
    <n v="202.9"/>
    <n v="100"/>
    <n v="34.49"/>
    <n v="178.6"/>
    <n v="46"/>
    <n v="15.18"/>
    <n v="203.8"/>
    <n v="116"/>
    <n v="9.17"/>
    <n v="12.8"/>
    <n v="3"/>
    <n v="3.46"/>
    <x v="5"/>
    <x v="0"/>
  </r>
  <r>
    <x v="46"/>
    <n v="120"/>
    <n v="415"/>
    <x v="0"/>
    <x v="0"/>
    <n v="0"/>
    <n v="177.2"/>
    <n v="88"/>
    <n v="30.12"/>
    <n v="270.39999999999998"/>
    <n v="99"/>
    <n v="22.98"/>
    <n v="231.5"/>
    <n v="90"/>
    <n v="10.42"/>
    <n v="14"/>
    <n v="2"/>
    <n v="3.78"/>
    <x v="2"/>
    <x v="0"/>
  </r>
  <r>
    <x v="48"/>
    <n v="196"/>
    <n v="415"/>
    <x v="0"/>
    <x v="0"/>
    <n v="0"/>
    <n v="133.1"/>
    <n v="80"/>
    <n v="22.63"/>
    <n v="206.5"/>
    <n v="120"/>
    <n v="17.55"/>
    <n v="221.6"/>
    <n v="96"/>
    <n v="9.9700000000000006"/>
    <n v="10.3"/>
    <n v="8"/>
    <n v="2.78"/>
    <x v="0"/>
    <x v="0"/>
  </r>
  <r>
    <x v="19"/>
    <n v="147"/>
    <n v="415"/>
    <x v="0"/>
    <x v="1"/>
    <n v="38"/>
    <n v="243.4"/>
    <n v="126"/>
    <n v="41.38"/>
    <n v="273.8"/>
    <n v="109"/>
    <n v="23.27"/>
    <n v="282.89999999999998"/>
    <n v="91"/>
    <n v="12.73"/>
    <n v="14.1"/>
    <n v="8"/>
    <n v="3.81"/>
    <x v="2"/>
    <x v="0"/>
  </r>
  <r>
    <x v="1"/>
    <n v="81"/>
    <n v="408"/>
    <x v="0"/>
    <x v="1"/>
    <n v="46"/>
    <n v="168.3"/>
    <n v="124"/>
    <n v="28.61"/>
    <n v="270.89999999999998"/>
    <n v="103"/>
    <n v="23.03"/>
    <n v="222.5"/>
    <n v="98"/>
    <n v="10.01"/>
    <n v="6.7"/>
    <n v="2"/>
    <n v="1.81"/>
    <x v="1"/>
    <x v="0"/>
  </r>
  <r>
    <x v="25"/>
    <n v="165"/>
    <n v="415"/>
    <x v="0"/>
    <x v="1"/>
    <n v="33"/>
    <n v="111.6"/>
    <n v="140"/>
    <n v="18.97"/>
    <n v="213.3"/>
    <n v="111"/>
    <n v="18.13"/>
    <n v="267.60000000000002"/>
    <n v="115"/>
    <n v="12.04"/>
    <n v="16"/>
    <n v="3"/>
    <n v="4.32"/>
    <x v="3"/>
    <x v="0"/>
  </r>
  <r>
    <x v="48"/>
    <n v="115"/>
    <n v="415"/>
    <x v="0"/>
    <x v="0"/>
    <n v="0"/>
    <n v="206.2"/>
    <n v="113"/>
    <n v="35.049999999999997"/>
    <n v="176.4"/>
    <n v="102"/>
    <n v="14.99"/>
    <n v="297.10000000000002"/>
    <n v="119"/>
    <n v="13.37"/>
    <n v="11"/>
    <n v="7"/>
    <n v="2.97"/>
    <x v="0"/>
    <x v="0"/>
  </r>
  <r>
    <x v="26"/>
    <n v="90"/>
    <n v="408"/>
    <x v="0"/>
    <x v="1"/>
    <n v="27"/>
    <n v="156.69999999999999"/>
    <n v="51"/>
    <n v="26.64"/>
    <n v="236.5"/>
    <n v="118"/>
    <n v="20.100000000000001"/>
    <n v="123.2"/>
    <n v="111"/>
    <n v="5.54"/>
    <n v="12.6"/>
    <n v="6"/>
    <n v="3.4"/>
    <x v="2"/>
    <x v="0"/>
  </r>
  <r>
    <x v="48"/>
    <n v="37"/>
    <n v="415"/>
    <x v="0"/>
    <x v="0"/>
    <n v="0"/>
    <n v="221"/>
    <n v="126"/>
    <n v="37.57"/>
    <n v="204.5"/>
    <n v="110"/>
    <n v="17.38"/>
    <n v="118"/>
    <n v="98"/>
    <n v="5.31"/>
    <n v="6.8"/>
    <n v="3"/>
    <n v="1.84"/>
    <x v="1"/>
    <x v="0"/>
  </r>
  <r>
    <x v="31"/>
    <n v="76"/>
    <n v="510"/>
    <x v="0"/>
    <x v="0"/>
    <n v="0"/>
    <n v="165.7"/>
    <n v="94"/>
    <n v="28.17"/>
    <n v="257.39999999999998"/>
    <n v="80"/>
    <n v="21.88"/>
    <n v="170.8"/>
    <n v="114"/>
    <n v="7.69"/>
    <n v="10"/>
    <n v="4"/>
    <n v="2.7"/>
    <x v="0"/>
    <x v="0"/>
  </r>
  <r>
    <x v="12"/>
    <n v="109"/>
    <n v="510"/>
    <x v="0"/>
    <x v="0"/>
    <n v="0"/>
    <n v="154.80000000000001"/>
    <n v="82"/>
    <n v="26.32"/>
    <n v="287.7"/>
    <n v="109"/>
    <n v="24.45"/>
    <n v="208.4"/>
    <n v="80"/>
    <n v="9.3800000000000008"/>
    <n v="5.9"/>
    <n v="9"/>
    <n v="1.59"/>
    <x v="4"/>
    <x v="0"/>
  </r>
  <r>
    <x v="4"/>
    <n v="105"/>
    <n v="510"/>
    <x v="0"/>
    <x v="0"/>
    <n v="0"/>
    <n v="125.4"/>
    <n v="116"/>
    <n v="21.32"/>
    <n v="261.5"/>
    <n v="95"/>
    <n v="22.23"/>
    <n v="241.6"/>
    <n v="104"/>
    <n v="10.87"/>
    <n v="11.4"/>
    <n v="9"/>
    <n v="3.08"/>
    <x v="2"/>
    <x v="0"/>
  </r>
  <r>
    <x v="6"/>
    <n v="74"/>
    <n v="415"/>
    <x v="0"/>
    <x v="0"/>
    <n v="0"/>
    <n v="124.8"/>
    <n v="114"/>
    <n v="21.22"/>
    <n v="133"/>
    <n v="121"/>
    <n v="11.31"/>
    <n v="160.30000000000001"/>
    <n v="85"/>
    <n v="7.21"/>
    <n v="10.6"/>
    <n v="7"/>
    <n v="2.86"/>
    <x v="4"/>
    <x v="0"/>
  </r>
  <r>
    <x v="22"/>
    <n v="76"/>
    <n v="415"/>
    <x v="0"/>
    <x v="0"/>
    <n v="0"/>
    <n v="179.2"/>
    <n v="85"/>
    <n v="30.46"/>
    <n v="222.9"/>
    <n v="66"/>
    <n v="18.95"/>
    <n v="188.2"/>
    <n v="113"/>
    <n v="8.4700000000000006"/>
    <n v="12.4"/>
    <n v="2"/>
    <n v="3.35"/>
    <x v="3"/>
    <x v="0"/>
  </r>
  <r>
    <x v="34"/>
    <n v="116"/>
    <n v="415"/>
    <x v="0"/>
    <x v="0"/>
    <n v="0"/>
    <n v="245.9"/>
    <n v="73"/>
    <n v="41.8"/>
    <n v="240.1"/>
    <n v="87"/>
    <n v="20.41"/>
    <n v="158.69999999999999"/>
    <n v="89"/>
    <n v="7.14"/>
    <n v="8.9"/>
    <n v="5"/>
    <n v="2.4"/>
    <x v="4"/>
    <x v="0"/>
  </r>
  <r>
    <x v="37"/>
    <n v="138"/>
    <n v="510"/>
    <x v="0"/>
    <x v="0"/>
    <n v="0"/>
    <n v="205.9"/>
    <n v="96"/>
    <n v="35"/>
    <n v="257.10000000000002"/>
    <n v="94"/>
    <n v="21.85"/>
    <n v="209"/>
    <n v="63"/>
    <n v="9.4"/>
    <n v="12.1"/>
    <n v="8"/>
    <n v="3.27"/>
    <x v="3"/>
    <x v="0"/>
  </r>
  <r>
    <x v="39"/>
    <n v="102"/>
    <n v="415"/>
    <x v="0"/>
    <x v="0"/>
    <n v="0"/>
    <n v="186.8"/>
    <n v="92"/>
    <n v="31.76"/>
    <n v="173.7"/>
    <n v="123"/>
    <n v="14.76"/>
    <n v="250.9"/>
    <n v="131"/>
    <n v="11.29"/>
    <n v="9.6999999999999993"/>
    <n v="4"/>
    <n v="2.62"/>
    <x v="2"/>
    <x v="0"/>
  </r>
  <r>
    <x v="37"/>
    <n v="164"/>
    <n v="510"/>
    <x v="0"/>
    <x v="0"/>
    <n v="0"/>
    <n v="192.1"/>
    <n v="95"/>
    <n v="32.659999999999997"/>
    <n v="249.8"/>
    <n v="94"/>
    <n v="21.23"/>
    <n v="132.6"/>
    <n v="100"/>
    <n v="5.97"/>
    <n v="7.3"/>
    <n v="3"/>
    <n v="1.97"/>
    <x v="4"/>
    <x v="0"/>
  </r>
  <r>
    <x v="10"/>
    <n v="125"/>
    <n v="415"/>
    <x v="0"/>
    <x v="0"/>
    <n v="0"/>
    <n v="240.7"/>
    <n v="82"/>
    <n v="40.92"/>
    <n v="269.39999999999998"/>
    <n v="85"/>
    <n v="22.9"/>
    <n v="187.1"/>
    <n v="74"/>
    <n v="8.42"/>
    <n v="10.1"/>
    <n v="3"/>
    <n v="2.73"/>
    <x v="3"/>
    <x v="1"/>
  </r>
  <r>
    <x v="3"/>
    <n v="209"/>
    <n v="510"/>
    <x v="0"/>
    <x v="0"/>
    <n v="0"/>
    <n v="255.1"/>
    <n v="124"/>
    <n v="43.37"/>
    <n v="230.6"/>
    <n v="110"/>
    <n v="19.600000000000001"/>
    <n v="218"/>
    <n v="69"/>
    <n v="9.81"/>
    <n v="8.5"/>
    <n v="5"/>
    <n v="2.2999999999999998"/>
    <x v="4"/>
    <x v="1"/>
  </r>
  <r>
    <x v="23"/>
    <n v="116"/>
    <n v="408"/>
    <x v="0"/>
    <x v="1"/>
    <n v="24"/>
    <n v="183.6"/>
    <n v="138"/>
    <n v="31.21"/>
    <n v="203.8"/>
    <n v="90"/>
    <n v="17.32"/>
    <n v="166.9"/>
    <n v="89"/>
    <n v="7.51"/>
    <n v="6"/>
    <n v="3"/>
    <n v="1.62"/>
    <x v="2"/>
    <x v="0"/>
  </r>
  <r>
    <x v="43"/>
    <n v="189"/>
    <n v="415"/>
    <x v="0"/>
    <x v="1"/>
    <n v="30"/>
    <n v="155.19999999999999"/>
    <n v="116"/>
    <n v="26.38"/>
    <n v="195.5"/>
    <n v="50"/>
    <n v="16.62"/>
    <n v="170.1"/>
    <n v="108"/>
    <n v="7.65"/>
    <n v="15.4"/>
    <n v="6"/>
    <n v="4.16"/>
    <x v="0"/>
    <x v="0"/>
  </r>
  <r>
    <x v="33"/>
    <n v="84"/>
    <n v="510"/>
    <x v="0"/>
    <x v="0"/>
    <n v="0"/>
    <n v="203.4"/>
    <n v="125"/>
    <n v="34.58"/>
    <n v="182.9"/>
    <n v="88"/>
    <n v="15.55"/>
    <n v="213.7"/>
    <n v="121"/>
    <n v="9.6199999999999992"/>
    <n v="13.8"/>
    <n v="2"/>
    <n v="3.73"/>
    <x v="0"/>
    <x v="0"/>
  </r>
  <r>
    <x v="42"/>
    <n v="182"/>
    <n v="415"/>
    <x v="0"/>
    <x v="0"/>
    <n v="0"/>
    <n v="279.10000000000002"/>
    <n v="124"/>
    <n v="47.45"/>
    <n v="180.5"/>
    <n v="108"/>
    <n v="15.34"/>
    <n v="217.5"/>
    <n v="104"/>
    <n v="9.7899999999999991"/>
    <n v="9.5"/>
    <n v="11"/>
    <n v="2.57"/>
    <x v="2"/>
    <x v="1"/>
  </r>
  <r>
    <x v="4"/>
    <n v="171"/>
    <n v="510"/>
    <x v="0"/>
    <x v="0"/>
    <n v="0"/>
    <n v="189.8"/>
    <n v="122"/>
    <n v="32.270000000000003"/>
    <n v="173.7"/>
    <n v="85"/>
    <n v="14.76"/>
    <n v="257.10000000000002"/>
    <n v="84"/>
    <n v="11.57"/>
    <n v="10.3"/>
    <n v="1"/>
    <n v="2.78"/>
    <x v="3"/>
    <x v="0"/>
  </r>
  <r>
    <x v="36"/>
    <n v="90"/>
    <n v="415"/>
    <x v="0"/>
    <x v="0"/>
    <n v="0"/>
    <n v="198.5"/>
    <n v="124"/>
    <n v="33.75"/>
    <n v="266.60000000000002"/>
    <n v="100"/>
    <n v="22.66"/>
    <n v="243.3"/>
    <n v="80"/>
    <n v="10.95"/>
    <n v="8"/>
    <n v="7"/>
    <n v="2.16"/>
    <x v="2"/>
    <x v="0"/>
  </r>
  <r>
    <x v="22"/>
    <n v="117"/>
    <n v="510"/>
    <x v="0"/>
    <x v="0"/>
    <n v="0"/>
    <n v="158.69999999999999"/>
    <n v="84"/>
    <n v="26.98"/>
    <n v="181.7"/>
    <n v="91"/>
    <n v="15.44"/>
    <n v="177.3"/>
    <n v="67"/>
    <n v="7.98"/>
    <n v="7.7"/>
    <n v="10"/>
    <n v="2.08"/>
    <x v="2"/>
    <x v="0"/>
  </r>
  <r>
    <x v="30"/>
    <n v="186"/>
    <n v="510"/>
    <x v="0"/>
    <x v="0"/>
    <n v="0"/>
    <n v="137.80000000000001"/>
    <n v="97"/>
    <n v="23.43"/>
    <n v="187.7"/>
    <n v="118"/>
    <n v="15.95"/>
    <n v="146.4"/>
    <n v="85"/>
    <n v="6.59"/>
    <n v="8.6999999999999993"/>
    <n v="6"/>
    <n v="2.35"/>
    <x v="0"/>
    <x v="0"/>
  </r>
  <r>
    <x v="5"/>
    <n v="55"/>
    <n v="408"/>
    <x v="0"/>
    <x v="1"/>
    <n v="39"/>
    <n v="139.30000000000001"/>
    <n v="101"/>
    <n v="23.68"/>
    <n v="178.3"/>
    <n v="117"/>
    <n v="15.16"/>
    <n v="246.5"/>
    <n v="104"/>
    <n v="11.09"/>
    <n v="8.1"/>
    <n v="1"/>
    <n v="2.19"/>
    <x v="4"/>
    <x v="0"/>
  </r>
  <r>
    <x v="9"/>
    <n v="74"/>
    <n v="408"/>
    <x v="0"/>
    <x v="0"/>
    <n v="0"/>
    <n v="177.4"/>
    <n v="136"/>
    <n v="30.16"/>
    <n v="240.3"/>
    <n v="104"/>
    <n v="20.43"/>
    <n v="237.3"/>
    <n v="133"/>
    <n v="10.68"/>
    <n v="12"/>
    <n v="3"/>
    <n v="3.24"/>
    <x v="3"/>
    <x v="0"/>
  </r>
  <r>
    <x v="1"/>
    <n v="130"/>
    <n v="408"/>
    <x v="0"/>
    <x v="0"/>
    <n v="0"/>
    <n v="115.6"/>
    <n v="129"/>
    <n v="19.649999999999999"/>
    <n v="167.8"/>
    <n v="104"/>
    <n v="14.26"/>
    <n v="141.80000000000001"/>
    <n v="124"/>
    <n v="6.38"/>
    <n v="12.6"/>
    <n v="9"/>
    <n v="3.4"/>
    <x v="0"/>
    <x v="0"/>
  </r>
  <r>
    <x v="39"/>
    <n v="80"/>
    <n v="408"/>
    <x v="0"/>
    <x v="0"/>
    <n v="0"/>
    <n v="51.5"/>
    <n v="90"/>
    <n v="8.76"/>
    <n v="164"/>
    <n v="98"/>
    <n v="13.94"/>
    <n v="169.4"/>
    <n v="80"/>
    <n v="7.62"/>
    <n v="9.5"/>
    <n v="4"/>
    <n v="2.57"/>
    <x v="4"/>
    <x v="0"/>
  </r>
  <r>
    <x v="27"/>
    <n v="120"/>
    <n v="415"/>
    <x v="0"/>
    <x v="0"/>
    <n v="0"/>
    <n v="131.69999999999999"/>
    <n v="99"/>
    <n v="22.39"/>
    <n v="163.1"/>
    <n v="109"/>
    <n v="13.86"/>
    <n v="201.1"/>
    <n v="116"/>
    <n v="9.0500000000000007"/>
    <n v="10.7"/>
    <n v="3"/>
    <n v="2.89"/>
    <x v="0"/>
    <x v="0"/>
  </r>
  <r>
    <x v="23"/>
    <n v="84"/>
    <n v="408"/>
    <x v="0"/>
    <x v="1"/>
    <n v="30"/>
    <n v="106.5"/>
    <n v="65"/>
    <n v="18.11"/>
    <n v="225.7"/>
    <n v="108"/>
    <n v="19.18"/>
    <n v="188.6"/>
    <n v="61"/>
    <n v="8.49"/>
    <n v="5.7"/>
    <n v="3"/>
    <n v="1.54"/>
    <x v="2"/>
    <x v="0"/>
  </r>
  <r>
    <x v="42"/>
    <n v="134"/>
    <n v="510"/>
    <x v="0"/>
    <x v="1"/>
    <n v="34"/>
    <n v="247.2"/>
    <n v="105"/>
    <n v="42.02"/>
    <n v="225.5"/>
    <n v="133"/>
    <n v="19.170000000000002"/>
    <n v="186.3"/>
    <n v="76"/>
    <n v="8.3800000000000008"/>
    <n v="6.1"/>
    <n v="5"/>
    <n v="1.65"/>
    <x v="2"/>
    <x v="1"/>
  </r>
  <r>
    <x v="11"/>
    <n v="68"/>
    <n v="415"/>
    <x v="0"/>
    <x v="0"/>
    <n v="0"/>
    <n v="158.80000000000001"/>
    <n v="119"/>
    <n v="27"/>
    <n v="211.8"/>
    <n v="105"/>
    <n v="18"/>
    <n v="198.1"/>
    <n v="101"/>
    <n v="8.91"/>
    <n v="10.3"/>
    <n v="3"/>
    <n v="2.78"/>
    <x v="0"/>
    <x v="0"/>
  </r>
  <r>
    <x v="43"/>
    <n v="119"/>
    <n v="408"/>
    <x v="0"/>
    <x v="0"/>
    <n v="0"/>
    <n v="239.1"/>
    <n v="88"/>
    <n v="40.65"/>
    <n v="243.5"/>
    <n v="79"/>
    <n v="20.7"/>
    <n v="230.9"/>
    <n v="92"/>
    <n v="10.39"/>
    <n v="10.9"/>
    <n v="3"/>
    <n v="2.94"/>
    <x v="4"/>
    <x v="1"/>
  </r>
  <r>
    <x v="30"/>
    <n v="166"/>
    <n v="415"/>
    <x v="1"/>
    <x v="1"/>
    <n v="28"/>
    <n v="175.8"/>
    <n v="126"/>
    <n v="29.89"/>
    <n v="253.6"/>
    <n v="76"/>
    <n v="21.56"/>
    <n v="128.5"/>
    <n v="72"/>
    <n v="5.78"/>
    <n v="11.4"/>
    <n v="5"/>
    <n v="3.08"/>
    <x v="0"/>
    <x v="0"/>
  </r>
  <r>
    <x v="23"/>
    <n v="90"/>
    <n v="415"/>
    <x v="0"/>
    <x v="1"/>
    <n v="42"/>
    <n v="193.3"/>
    <n v="66"/>
    <n v="32.86"/>
    <n v="263.3"/>
    <n v="85"/>
    <n v="22.38"/>
    <n v="214.4"/>
    <n v="97"/>
    <n v="9.65"/>
    <n v="11.1"/>
    <n v="4"/>
    <n v="3"/>
    <x v="3"/>
    <x v="0"/>
  </r>
  <r>
    <x v="16"/>
    <n v="82"/>
    <n v="415"/>
    <x v="0"/>
    <x v="1"/>
    <n v="33"/>
    <n v="137.80000000000001"/>
    <n v="95"/>
    <n v="23.43"/>
    <n v="235.5"/>
    <n v="128"/>
    <n v="20.02"/>
    <n v="268.10000000000002"/>
    <n v="70"/>
    <n v="12.06"/>
    <n v="11"/>
    <n v="6"/>
    <n v="2.97"/>
    <x v="2"/>
    <x v="0"/>
  </r>
  <r>
    <x v="7"/>
    <n v="130"/>
    <n v="415"/>
    <x v="0"/>
    <x v="0"/>
    <n v="0"/>
    <n v="263.7"/>
    <n v="113"/>
    <n v="44.83"/>
    <n v="186.5"/>
    <n v="103"/>
    <n v="15.85"/>
    <n v="195.3"/>
    <n v="99"/>
    <n v="8.7899999999999991"/>
    <n v="18.3"/>
    <n v="6"/>
    <n v="4.9400000000000004"/>
    <x v="0"/>
    <x v="1"/>
  </r>
  <r>
    <x v="26"/>
    <n v="130"/>
    <n v="408"/>
    <x v="0"/>
    <x v="0"/>
    <n v="0"/>
    <n v="252"/>
    <n v="101"/>
    <n v="42.84"/>
    <n v="170.2"/>
    <n v="105"/>
    <n v="14.47"/>
    <n v="209.2"/>
    <n v="64"/>
    <n v="9.41"/>
    <n v="5.7"/>
    <n v="5"/>
    <n v="1.54"/>
    <x v="3"/>
    <x v="0"/>
  </r>
  <r>
    <x v="35"/>
    <n v="155"/>
    <n v="408"/>
    <x v="1"/>
    <x v="0"/>
    <n v="0"/>
    <n v="163.1"/>
    <n v="94"/>
    <n v="27.73"/>
    <n v="291.7"/>
    <n v="108"/>
    <n v="24.79"/>
    <n v="96.4"/>
    <n v="111"/>
    <n v="4.34"/>
    <n v="11.2"/>
    <n v="3"/>
    <n v="3.02"/>
    <x v="3"/>
    <x v="0"/>
  </r>
  <r>
    <x v="25"/>
    <n v="81"/>
    <n v="415"/>
    <x v="0"/>
    <x v="0"/>
    <n v="0"/>
    <n v="324.7"/>
    <n v="48"/>
    <n v="55.2"/>
    <n v="236.4"/>
    <n v="82"/>
    <n v="20.09"/>
    <n v="187.6"/>
    <n v="78"/>
    <n v="8.44"/>
    <n v="13.1"/>
    <n v="5"/>
    <n v="3.54"/>
    <x v="3"/>
    <x v="1"/>
  </r>
  <r>
    <x v="31"/>
    <n v="75"/>
    <n v="408"/>
    <x v="0"/>
    <x v="0"/>
    <n v="0"/>
    <n v="203.3"/>
    <n v="70"/>
    <n v="34.56"/>
    <n v="228.9"/>
    <n v="97"/>
    <n v="19.46"/>
    <n v="222.2"/>
    <n v="118"/>
    <n v="10"/>
    <n v="14.3"/>
    <n v="3"/>
    <n v="3.86"/>
    <x v="0"/>
    <x v="0"/>
  </r>
  <r>
    <x v="24"/>
    <n v="178"/>
    <n v="415"/>
    <x v="0"/>
    <x v="1"/>
    <n v="35"/>
    <n v="175.4"/>
    <n v="88"/>
    <n v="29.82"/>
    <n v="190"/>
    <n v="65"/>
    <n v="16.149999999999999"/>
    <n v="138.69999999999999"/>
    <n v="94"/>
    <n v="6.24"/>
    <n v="10.5"/>
    <n v="3"/>
    <n v="2.84"/>
    <x v="2"/>
    <x v="0"/>
  </r>
  <r>
    <x v="3"/>
    <n v="112"/>
    <n v="415"/>
    <x v="0"/>
    <x v="0"/>
    <n v="0"/>
    <n v="266"/>
    <n v="97"/>
    <n v="45.22"/>
    <n v="214.6"/>
    <n v="94"/>
    <n v="18.239999999999998"/>
    <n v="306.2"/>
    <n v="100"/>
    <n v="13.78"/>
    <n v="14.2"/>
    <n v="2"/>
    <n v="3.83"/>
    <x v="2"/>
    <x v="1"/>
  </r>
  <r>
    <x v="16"/>
    <n v="100"/>
    <n v="510"/>
    <x v="0"/>
    <x v="0"/>
    <n v="0"/>
    <n v="78.7"/>
    <n v="98"/>
    <n v="13.38"/>
    <n v="225.6"/>
    <n v="102"/>
    <n v="19.18"/>
    <n v="150.4"/>
    <n v="106"/>
    <n v="6.77"/>
    <n v="14"/>
    <n v="8"/>
    <n v="3.78"/>
    <x v="3"/>
    <x v="0"/>
  </r>
  <r>
    <x v="44"/>
    <n v="104"/>
    <n v="415"/>
    <x v="0"/>
    <x v="0"/>
    <n v="0"/>
    <n v="225.9"/>
    <n v="123"/>
    <n v="38.4"/>
    <n v="162.80000000000001"/>
    <n v="106"/>
    <n v="13.84"/>
    <n v="272.10000000000002"/>
    <n v="85"/>
    <n v="12.24"/>
    <n v="10.1"/>
    <n v="4"/>
    <n v="2.73"/>
    <x v="0"/>
    <x v="0"/>
  </r>
  <r>
    <x v="2"/>
    <n v="160"/>
    <n v="408"/>
    <x v="0"/>
    <x v="0"/>
    <n v="0"/>
    <n v="216.8"/>
    <n v="77"/>
    <n v="36.86"/>
    <n v="207.3"/>
    <n v="117"/>
    <n v="17.62"/>
    <n v="228.6"/>
    <n v="117"/>
    <n v="10.29"/>
    <n v="5.6"/>
    <n v="2"/>
    <n v="1.51"/>
    <x v="0"/>
    <x v="0"/>
  </r>
  <r>
    <x v="44"/>
    <n v="87"/>
    <n v="415"/>
    <x v="0"/>
    <x v="0"/>
    <n v="0"/>
    <n v="58"/>
    <n v="125"/>
    <n v="9.86"/>
    <n v="67.5"/>
    <n v="116"/>
    <n v="5.74"/>
    <n v="185.9"/>
    <n v="136"/>
    <n v="8.3699999999999992"/>
    <n v="11.5"/>
    <n v="3"/>
    <n v="3.11"/>
    <x v="3"/>
    <x v="0"/>
  </r>
  <r>
    <x v="24"/>
    <n v="81"/>
    <n v="415"/>
    <x v="0"/>
    <x v="0"/>
    <n v="0"/>
    <n v="173.2"/>
    <n v="80"/>
    <n v="29.44"/>
    <n v="236.2"/>
    <n v="94"/>
    <n v="20.079999999999998"/>
    <n v="240.2"/>
    <n v="84"/>
    <n v="10.81"/>
    <n v="11.8"/>
    <n v="6"/>
    <n v="3.19"/>
    <x v="2"/>
    <x v="0"/>
  </r>
  <r>
    <x v="40"/>
    <n v="28"/>
    <n v="415"/>
    <x v="0"/>
    <x v="0"/>
    <n v="0"/>
    <n v="236.8"/>
    <n v="102"/>
    <n v="40.26"/>
    <n v="167.1"/>
    <n v="87"/>
    <n v="14.2"/>
    <n v="280.2"/>
    <n v="115"/>
    <n v="12.61"/>
    <n v="9.6999999999999993"/>
    <n v="3"/>
    <n v="2.62"/>
    <x v="4"/>
    <x v="0"/>
  </r>
  <r>
    <x v="9"/>
    <n v="95"/>
    <n v="408"/>
    <x v="0"/>
    <x v="0"/>
    <n v="0"/>
    <n v="237.3"/>
    <n v="83"/>
    <n v="40.340000000000003"/>
    <n v="154"/>
    <n v="65"/>
    <n v="13.09"/>
    <n v="237"/>
    <n v="105"/>
    <n v="10.67"/>
    <n v="11.2"/>
    <n v="6"/>
    <n v="3.02"/>
    <x v="0"/>
    <x v="0"/>
  </r>
  <r>
    <x v="42"/>
    <n v="35"/>
    <n v="408"/>
    <x v="0"/>
    <x v="0"/>
    <n v="0"/>
    <n v="158.6"/>
    <n v="67"/>
    <n v="26.96"/>
    <n v="130.4"/>
    <n v="96"/>
    <n v="11.08"/>
    <n v="229.8"/>
    <n v="80"/>
    <n v="10.34"/>
    <n v="6.9"/>
    <n v="5"/>
    <n v="1.86"/>
    <x v="2"/>
    <x v="0"/>
  </r>
  <r>
    <x v="28"/>
    <n v="134"/>
    <n v="510"/>
    <x v="0"/>
    <x v="0"/>
    <n v="0"/>
    <n v="296"/>
    <n v="93"/>
    <n v="50.32"/>
    <n v="226.4"/>
    <n v="117"/>
    <n v="19.239999999999998"/>
    <n v="246.8"/>
    <n v="98"/>
    <n v="11.11"/>
    <n v="12.3"/>
    <n v="10"/>
    <n v="3.32"/>
    <x v="3"/>
    <x v="1"/>
  </r>
  <r>
    <x v="47"/>
    <n v="185"/>
    <n v="415"/>
    <x v="0"/>
    <x v="1"/>
    <n v="19"/>
    <n v="157.30000000000001"/>
    <n v="123"/>
    <n v="26.74"/>
    <n v="257.7"/>
    <n v="94"/>
    <n v="21.9"/>
    <n v="190.4"/>
    <n v="107"/>
    <n v="8.57"/>
    <n v="9.6"/>
    <n v="6"/>
    <n v="2.59"/>
    <x v="3"/>
    <x v="0"/>
  </r>
  <r>
    <x v="45"/>
    <n v="85"/>
    <n v="408"/>
    <x v="0"/>
    <x v="0"/>
    <n v="0"/>
    <n v="144.4"/>
    <n v="88"/>
    <n v="24.55"/>
    <n v="264.60000000000002"/>
    <n v="105"/>
    <n v="22.49"/>
    <n v="185.4"/>
    <n v="94"/>
    <n v="8.34"/>
    <n v="9.9"/>
    <n v="3"/>
    <n v="2.67"/>
    <x v="0"/>
    <x v="0"/>
  </r>
  <r>
    <x v="48"/>
    <n v="148"/>
    <n v="415"/>
    <x v="0"/>
    <x v="1"/>
    <n v="36"/>
    <n v="77.599999999999994"/>
    <n v="141"/>
    <n v="13.19"/>
    <n v="207"/>
    <n v="60"/>
    <n v="17.600000000000001"/>
    <n v="255.7"/>
    <n v="115"/>
    <n v="11.51"/>
    <n v="10.9"/>
    <n v="2"/>
    <n v="2.94"/>
    <x v="0"/>
    <x v="0"/>
  </r>
  <r>
    <x v="34"/>
    <n v="134"/>
    <n v="408"/>
    <x v="0"/>
    <x v="1"/>
    <n v="32"/>
    <n v="80.3"/>
    <n v="94"/>
    <n v="13.65"/>
    <n v="199.9"/>
    <n v="124"/>
    <n v="16.989999999999998"/>
    <n v="170.8"/>
    <n v="117"/>
    <n v="7.69"/>
    <n v="16.600000000000001"/>
    <n v="3"/>
    <n v="4.4800000000000004"/>
    <x v="3"/>
    <x v="0"/>
  </r>
  <r>
    <x v="13"/>
    <n v="80"/>
    <n v="408"/>
    <x v="0"/>
    <x v="1"/>
    <n v="36"/>
    <n v="190.3"/>
    <n v="115"/>
    <n v="32.35"/>
    <n v="256.60000000000002"/>
    <n v="78"/>
    <n v="21.81"/>
    <n v="214.9"/>
    <n v="145"/>
    <n v="9.67"/>
    <n v="3.8"/>
    <n v="4"/>
    <n v="1.03"/>
    <x v="0"/>
    <x v="0"/>
  </r>
  <r>
    <x v="20"/>
    <n v="165"/>
    <n v="510"/>
    <x v="0"/>
    <x v="0"/>
    <n v="0"/>
    <n v="209.4"/>
    <n v="67"/>
    <n v="35.6"/>
    <n v="273.8"/>
    <n v="89"/>
    <n v="23.27"/>
    <n v="150.19999999999999"/>
    <n v="88"/>
    <n v="6.76"/>
    <n v="12.8"/>
    <n v="1"/>
    <n v="3.46"/>
    <x v="3"/>
    <x v="0"/>
  </r>
  <r>
    <x v="30"/>
    <n v="65"/>
    <n v="415"/>
    <x v="0"/>
    <x v="1"/>
    <n v="34"/>
    <n v="208.8"/>
    <n v="119"/>
    <n v="35.5"/>
    <n v="142.1"/>
    <n v="106"/>
    <n v="12.08"/>
    <n v="214.6"/>
    <n v="87"/>
    <n v="9.66"/>
    <n v="12.5"/>
    <n v="4"/>
    <n v="3.38"/>
    <x v="1"/>
    <x v="0"/>
  </r>
  <r>
    <x v="33"/>
    <n v="104"/>
    <n v="415"/>
    <x v="0"/>
    <x v="0"/>
    <n v="0"/>
    <n v="113.6"/>
    <n v="87"/>
    <n v="19.309999999999999"/>
    <n v="158.6"/>
    <n v="98"/>
    <n v="13.48"/>
    <n v="187.7"/>
    <n v="87"/>
    <n v="8.4499999999999993"/>
    <n v="10.5"/>
    <n v="6"/>
    <n v="2.84"/>
    <x v="2"/>
    <x v="0"/>
  </r>
  <r>
    <x v="37"/>
    <n v="44"/>
    <n v="415"/>
    <x v="0"/>
    <x v="0"/>
    <n v="0"/>
    <n v="202.6"/>
    <n v="89"/>
    <n v="34.44"/>
    <n v="163"/>
    <n v="96"/>
    <n v="13.86"/>
    <n v="268.10000000000002"/>
    <n v="151"/>
    <n v="12.06"/>
    <n v="8.3000000000000007"/>
    <n v="3"/>
    <n v="2.2400000000000002"/>
    <x v="3"/>
    <x v="0"/>
  </r>
  <r>
    <x v="20"/>
    <n v="162"/>
    <n v="415"/>
    <x v="0"/>
    <x v="0"/>
    <n v="0"/>
    <n v="135.19999999999999"/>
    <n v="98"/>
    <n v="22.98"/>
    <n v="242"/>
    <n v="107"/>
    <n v="20.57"/>
    <n v="246.9"/>
    <n v="96"/>
    <n v="11.11"/>
    <n v="10.199999999999999"/>
    <n v="2"/>
    <n v="2.75"/>
    <x v="2"/>
    <x v="0"/>
  </r>
  <r>
    <x v="18"/>
    <n v="96"/>
    <n v="415"/>
    <x v="0"/>
    <x v="0"/>
    <n v="0"/>
    <n v="276.89999999999998"/>
    <n v="105"/>
    <n v="47.07"/>
    <n v="246.9"/>
    <n v="94"/>
    <n v="20.99"/>
    <n v="254.4"/>
    <n v="107"/>
    <n v="11.45"/>
    <n v="10.3"/>
    <n v="3"/>
    <n v="2.78"/>
    <x v="0"/>
    <x v="1"/>
  </r>
  <r>
    <x v="1"/>
    <n v="72"/>
    <n v="510"/>
    <x v="0"/>
    <x v="0"/>
    <n v="0"/>
    <n v="287.39999999999998"/>
    <n v="116"/>
    <n v="48.86"/>
    <n v="235.3"/>
    <n v="126"/>
    <n v="20"/>
    <n v="292.10000000000002"/>
    <n v="114"/>
    <n v="13.14"/>
    <n v="5"/>
    <n v="3"/>
    <n v="1.35"/>
    <x v="1"/>
    <x v="1"/>
  </r>
  <r>
    <x v="19"/>
    <n v="31"/>
    <n v="415"/>
    <x v="0"/>
    <x v="0"/>
    <n v="0"/>
    <n v="97.5"/>
    <n v="129"/>
    <n v="16.579999999999998"/>
    <n v="260.39999999999998"/>
    <n v="78"/>
    <n v="22.13"/>
    <n v="88.7"/>
    <n v="100"/>
    <n v="3.99"/>
    <n v="7"/>
    <n v="5"/>
    <n v="1.89"/>
    <x v="0"/>
    <x v="0"/>
  </r>
  <r>
    <x v="22"/>
    <n v="72"/>
    <n v="415"/>
    <x v="0"/>
    <x v="0"/>
    <n v="0"/>
    <n v="166.5"/>
    <n v="102"/>
    <n v="28.31"/>
    <n v="261"/>
    <n v="103"/>
    <n v="22.19"/>
    <n v="262.7"/>
    <n v="85"/>
    <n v="11.82"/>
    <n v="13.3"/>
    <n v="5"/>
    <n v="3.59"/>
    <x v="3"/>
    <x v="0"/>
  </r>
  <r>
    <x v="45"/>
    <n v="136"/>
    <n v="408"/>
    <x v="0"/>
    <x v="0"/>
    <n v="0"/>
    <n v="102.1"/>
    <n v="75"/>
    <n v="17.36"/>
    <n v="219.5"/>
    <n v="97"/>
    <n v="18.66"/>
    <n v="73.7"/>
    <n v="92"/>
    <n v="3.32"/>
    <n v="9.8000000000000007"/>
    <n v="5"/>
    <n v="2.65"/>
    <x v="3"/>
    <x v="0"/>
  </r>
  <r>
    <x v="25"/>
    <n v="82"/>
    <n v="415"/>
    <x v="0"/>
    <x v="1"/>
    <n v="19"/>
    <n v="146.5"/>
    <n v="73"/>
    <n v="24.91"/>
    <n v="246.4"/>
    <n v="65"/>
    <n v="20.94"/>
    <n v="199"/>
    <n v="114"/>
    <n v="8.9600000000000009"/>
    <n v="4.0999999999999996"/>
    <n v="4"/>
    <n v="1.1100000000000001"/>
    <x v="0"/>
    <x v="0"/>
  </r>
  <r>
    <x v="10"/>
    <n v="155"/>
    <n v="408"/>
    <x v="1"/>
    <x v="0"/>
    <n v="0"/>
    <n v="250.8"/>
    <n v="146"/>
    <n v="42.64"/>
    <n v="152.5"/>
    <n v="105"/>
    <n v="12.96"/>
    <n v="148.1"/>
    <n v="104"/>
    <n v="6.66"/>
    <n v="10"/>
    <n v="5"/>
    <n v="2.7"/>
    <x v="2"/>
    <x v="0"/>
  </r>
  <r>
    <x v="50"/>
    <n v="136"/>
    <n v="415"/>
    <x v="0"/>
    <x v="0"/>
    <n v="0"/>
    <n v="163.4"/>
    <n v="83"/>
    <n v="27.78"/>
    <n v="249.3"/>
    <n v="119"/>
    <n v="21.19"/>
    <n v="249.7"/>
    <n v="90"/>
    <n v="11.24"/>
    <n v="9.8000000000000007"/>
    <n v="4"/>
    <n v="2.65"/>
    <x v="8"/>
    <x v="0"/>
  </r>
  <r>
    <x v="26"/>
    <n v="57"/>
    <n v="415"/>
    <x v="0"/>
    <x v="0"/>
    <n v="0"/>
    <n v="161"/>
    <n v="113"/>
    <n v="27.37"/>
    <n v="208"/>
    <n v="134"/>
    <n v="17.68"/>
    <n v="208.1"/>
    <n v="81"/>
    <n v="9.36"/>
    <n v="8.4"/>
    <n v="4"/>
    <n v="2.27"/>
    <x v="4"/>
    <x v="0"/>
  </r>
  <r>
    <x v="24"/>
    <n v="112"/>
    <n v="415"/>
    <x v="0"/>
    <x v="0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x v="0"/>
    <x v="0"/>
  </r>
  <r>
    <x v="31"/>
    <n v="95"/>
    <n v="408"/>
    <x v="0"/>
    <x v="0"/>
    <n v="0"/>
    <n v="128.6"/>
    <n v="115"/>
    <n v="21.86"/>
    <n v="216.2"/>
    <n v="88"/>
    <n v="18.38"/>
    <n v="255.3"/>
    <n v="96"/>
    <n v="11.49"/>
    <n v="6.3"/>
    <n v="2"/>
    <n v="1.7"/>
    <x v="6"/>
    <x v="1"/>
  </r>
  <r>
    <x v="7"/>
    <n v="113"/>
    <n v="415"/>
    <x v="0"/>
    <x v="1"/>
    <n v="30"/>
    <n v="183.8"/>
    <n v="102"/>
    <n v="31.25"/>
    <n v="183.4"/>
    <n v="123"/>
    <n v="15.59"/>
    <n v="235"/>
    <n v="52"/>
    <n v="10.58"/>
    <n v="11.6"/>
    <n v="7"/>
    <n v="3.13"/>
    <x v="3"/>
    <x v="0"/>
  </r>
  <r>
    <x v="9"/>
    <n v="103"/>
    <n v="415"/>
    <x v="0"/>
    <x v="0"/>
    <n v="0"/>
    <n v="180.2"/>
    <n v="134"/>
    <n v="30.63"/>
    <n v="97.7"/>
    <n v="85"/>
    <n v="8.3000000000000007"/>
    <n v="181.7"/>
    <n v="134"/>
    <n v="8.18"/>
    <n v="8.4"/>
    <n v="3"/>
    <n v="2.27"/>
    <x v="0"/>
    <x v="0"/>
  </r>
  <r>
    <x v="3"/>
    <n v="149"/>
    <n v="415"/>
    <x v="0"/>
    <x v="1"/>
    <n v="20"/>
    <n v="147.80000000000001"/>
    <n v="132"/>
    <n v="25.13"/>
    <n v="276.8"/>
    <n v="94"/>
    <n v="23.53"/>
    <n v="149.9"/>
    <n v="110"/>
    <n v="6.75"/>
    <n v="10.199999999999999"/>
    <n v="6"/>
    <n v="2.75"/>
    <x v="3"/>
    <x v="0"/>
  </r>
  <r>
    <x v="38"/>
    <n v="116"/>
    <n v="408"/>
    <x v="0"/>
    <x v="0"/>
    <n v="0"/>
    <n v="110.9"/>
    <n v="54"/>
    <n v="18.850000000000001"/>
    <n v="213.4"/>
    <n v="82"/>
    <n v="18.14"/>
    <n v="186.2"/>
    <n v="116"/>
    <n v="8.3800000000000008"/>
    <n v="7.9"/>
    <n v="2"/>
    <n v="2.13"/>
    <x v="2"/>
    <x v="0"/>
  </r>
  <r>
    <x v="19"/>
    <n v="95"/>
    <n v="510"/>
    <x v="0"/>
    <x v="0"/>
    <n v="0"/>
    <n v="58.2"/>
    <n v="96"/>
    <n v="9.89"/>
    <n v="202.1"/>
    <n v="126"/>
    <n v="17.18"/>
    <n v="210.5"/>
    <n v="97"/>
    <n v="9.4700000000000006"/>
    <n v="10.4"/>
    <n v="5"/>
    <n v="2.81"/>
    <x v="3"/>
    <x v="0"/>
  </r>
  <r>
    <x v="37"/>
    <n v="201"/>
    <n v="510"/>
    <x v="0"/>
    <x v="0"/>
    <n v="0"/>
    <n v="212.7"/>
    <n v="72"/>
    <n v="36.159999999999997"/>
    <n v="225.2"/>
    <n v="90"/>
    <n v="19.14"/>
    <n v="195.1"/>
    <n v="99"/>
    <n v="8.7799999999999994"/>
    <n v="7"/>
    <n v="6"/>
    <n v="1.89"/>
    <x v="0"/>
    <x v="0"/>
  </r>
  <r>
    <x v="4"/>
    <n v="150"/>
    <n v="415"/>
    <x v="0"/>
    <x v="0"/>
    <n v="0"/>
    <n v="214"/>
    <n v="117"/>
    <n v="36.380000000000003"/>
    <n v="192.4"/>
    <n v="89"/>
    <n v="16.350000000000001"/>
    <n v="242.6"/>
    <n v="99"/>
    <n v="10.92"/>
    <n v="7.9"/>
    <n v="4"/>
    <n v="2.13"/>
    <x v="0"/>
    <x v="0"/>
  </r>
  <r>
    <x v="6"/>
    <n v="108"/>
    <n v="408"/>
    <x v="1"/>
    <x v="0"/>
    <n v="0"/>
    <n v="115.1"/>
    <n v="114"/>
    <n v="19.57"/>
    <n v="211.3"/>
    <n v="70"/>
    <n v="17.96"/>
    <n v="136.1"/>
    <n v="85"/>
    <n v="6.12"/>
    <n v="13.8"/>
    <n v="3"/>
    <n v="3.73"/>
    <x v="2"/>
    <x v="1"/>
  </r>
  <r>
    <x v="21"/>
    <n v="101"/>
    <n v="415"/>
    <x v="1"/>
    <x v="0"/>
    <n v="0"/>
    <n v="156.4"/>
    <n v="116"/>
    <n v="26.59"/>
    <n v="130.4"/>
    <n v="114"/>
    <n v="11.08"/>
    <n v="207.3"/>
    <n v="109"/>
    <n v="9.33"/>
    <n v="7.3"/>
    <n v="5"/>
    <n v="1.97"/>
    <x v="0"/>
    <x v="0"/>
  </r>
  <r>
    <x v="22"/>
    <n v="182"/>
    <n v="415"/>
    <x v="0"/>
    <x v="1"/>
    <n v="24"/>
    <n v="128.1"/>
    <n v="104"/>
    <n v="21.78"/>
    <n v="143.4"/>
    <n v="127"/>
    <n v="12.19"/>
    <n v="191"/>
    <n v="98"/>
    <n v="8.59"/>
    <n v="11.6"/>
    <n v="3"/>
    <n v="3.13"/>
    <x v="0"/>
    <x v="0"/>
  </r>
  <r>
    <x v="11"/>
    <n v="128"/>
    <n v="408"/>
    <x v="0"/>
    <x v="0"/>
    <n v="0"/>
    <n v="227.9"/>
    <n v="130"/>
    <n v="38.74"/>
    <n v="302.60000000000002"/>
    <n v="71"/>
    <n v="25.72"/>
    <n v="191.5"/>
    <n v="82"/>
    <n v="8.6199999999999992"/>
    <n v="5.5"/>
    <n v="7"/>
    <n v="1.49"/>
    <x v="0"/>
    <x v="1"/>
  </r>
  <r>
    <x v="8"/>
    <n v="113"/>
    <n v="408"/>
    <x v="0"/>
    <x v="1"/>
    <n v="34"/>
    <n v="44.9"/>
    <n v="63"/>
    <n v="7.63"/>
    <n v="134.19999999999999"/>
    <n v="82"/>
    <n v="11.41"/>
    <n v="168.4"/>
    <n v="118"/>
    <n v="7.58"/>
    <n v="13.3"/>
    <n v="3"/>
    <n v="3.59"/>
    <x v="0"/>
    <x v="0"/>
  </r>
  <r>
    <x v="35"/>
    <n v="76"/>
    <n v="415"/>
    <x v="0"/>
    <x v="0"/>
    <n v="0"/>
    <n v="171.1"/>
    <n v="78"/>
    <n v="29.09"/>
    <n v="257.2"/>
    <n v="83"/>
    <n v="21.86"/>
    <n v="91.6"/>
    <n v="92"/>
    <n v="4.12"/>
    <n v="16.2"/>
    <n v="3"/>
    <n v="4.37"/>
    <x v="0"/>
    <x v="0"/>
  </r>
  <r>
    <x v="43"/>
    <n v="204"/>
    <n v="510"/>
    <x v="0"/>
    <x v="0"/>
    <n v="0"/>
    <n v="205.2"/>
    <n v="145"/>
    <n v="34.880000000000003"/>
    <n v="154.80000000000001"/>
    <n v="95"/>
    <n v="13.16"/>
    <n v="191.4"/>
    <n v="77"/>
    <n v="8.61"/>
    <n v="14.1"/>
    <n v="5"/>
    <n v="3.81"/>
    <x v="4"/>
    <x v="0"/>
  </r>
  <r>
    <x v="20"/>
    <n v="32"/>
    <n v="415"/>
    <x v="0"/>
    <x v="1"/>
    <n v="31"/>
    <n v="232.8"/>
    <n v="97"/>
    <n v="39.58"/>
    <n v="183.5"/>
    <n v="111"/>
    <n v="15.6"/>
    <n v="206.8"/>
    <n v="111"/>
    <n v="9.31"/>
    <n v="13"/>
    <n v="2"/>
    <n v="3.51"/>
    <x v="3"/>
    <x v="0"/>
  </r>
  <r>
    <x v="15"/>
    <n v="103"/>
    <n v="415"/>
    <x v="0"/>
    <x v="1"/>
    <n v="37"/>
    <n v="153.5"/>
    <n v="78"/>
    <n v="26.1"/>
    <n v="241.9"/>
    <n v="108"/>
    <n v="20.56"/>
    <n v="244.7"/>
    <n v="110"/>
    <n v="11.01"/>
    <n v="10.6"/>
    <n v="3"/>
    <n v="2.86"/>
    <x v="0"/>
    <x v="0"/>
  </r>
  <r>
    <x v="37"/>
    <n v="148"/>
    <n v="510"/>
    <x v="0"/>
    <x v="0"/>
    <n v="0"/>
    <n v="203"/>
    <n v="92"/>
    <n v="34.51"/>
    <n v="150.9"/>
    <n v="125"/>
    <n v="12.83"/>
    <n v="245.5"/>
    <n v="131"/>
    <n v="11.05"/>
    <n v="14.6"/>
    <n v="9"/>
    <n v="3.94"/>
    <x v="0"/>
    <x v="0"/>
  </r>
  <r>
    <x v="15"/>
    <n v="57"/>
    <n v="415"/>
    <x v="0"/>
    <x v="0"/>
    <n v="0"/>
    <n v="85.9"/>
    <n v="92"/>
    <n v="14.6"/>
    <n v="193.9"/>
    <n v="127"/>
    <n v="16.48"/>
    <n v="231.5"/>
    <n v="93"/>
    <n v="10.42"/>
    <n v="10.1"/>
    <n v="2"/>
    <n v="2.73"/>
    <x v="3"/>
    <x v="0"/>
  </r>
  <r>
    <x v="14"/>
    <n v="64"/>
    <n v="415"/>
    <x v="1"/>
    <x v="0"/>
    <n v="0"/>
    <n v="146.69999999999999"/>
    <n v="83"/>
    <n v="24.94"/>
    <n v="148.30000000000001"/>
    <n v="91"/>
    <n v="12.61"/>
    <n v="238.6"/>
    <n v="69"/>
    <n v="10.74"/>
    <n v="12.5"/>
    <n v="3"/>
    <n v="3.38"/>
    <x v="4"/>
    <x v="0"/>
  </r>
  <r>
    <x v="39"/>
    <n v="70"/>
    <n v="415"/>
    <x v="0"/>
    <x v="0"/>
    <n v="0"/>
    <n v="152.80000000000001"/>
    <n v="145"/>
    <n v="25.98"/>
    <n v="183.6"/>
    <n v="102"/>
    <n v="15.61"/>
    <n v="151.80000000000001"/>
    <n v="75"/>
    <n v="6.83"/>
    <n v="10.5"/>
    <n v="2"/>
    <n v="2.84"/>
    <x v="0"/>
    <x v="0"/>
  </r>
  <r>
    <x v="13"/>
    <n v="142"/>
    <n v="408"/>
    <x v="0"/>
    <x v="0"/>
    <n v="0"/>
    <n v="216.8"/>
    <n v="134"/>
    <n v="36.86"/>
    <n v="187.8"/>
    <n v="106"/>
    <n v="15.96"/>
    <n v="138.1"/>
    <n v="108"/>
    <n v="6.21"/>
    <n v="8.3000000000000007"/>
    <n v="2"/>
    <n v="2.2400000000000002"/>
    <x v="3"/>
    <x v="0"/>
  </r>
  <r>
    <x v="16"/>
    <n v="88"/>
    <n v="415"/>
    <x v="0"/>
    <x v="0"/>
    <n v="0"/>
    <n v="172.8"/>
    <n v="81"/>
    <n v="29.38"/>
    <n v="193.4"/>
    <n v="90"/>
    <n v="16.440000000000001"/>
    <n v="89.6"/>
    <n v="107"/>
    <n v="4.03"/>
    <n v="12.8"/>
    <n v="5"/>
    <n v="3.46"/>
    <x v="2"/>
    <x v="0"/>
  </r>
  <r>
    <x v="41"/>
    <n v="131"/>
    <n v="510"/>
    <x v="0"/>
    <x v="0"/>
    <n v="0"/>
    <n v="263.39999999999998"/>
    <n v="123"/>
    <n v="44.78"/>
    <n v="151.9"/>
    <n v="74"/>
    <n v="12.91"/>
    <n v="218.5"/>
    <n v="101"/>
    <n v="9.83"/>
    <n v="10.7"/>
    <n v="2"/>
    <n v="2.89"/>
    <x v="2"/>
    <x v="0"/>
  </r>
  <r>
    <x v="15"/>
    <n v="130"/>
    <n v="408"/>
    <x v="0"/>
    <x v="0"/>
    <n v="0"/>
    <n v="271.8"/>
    <n v="129"/>
    <n v="46.21"/>
    <n v="237.2"/>
    <n v="128"/>
    <n v="20.16"/>
    <n v="210.1"/>
    <n v="91"/>
    <n v="9.4499999999999993"/>
    <n v="8.6999999999999993"/>
    <n v="2"/>
    <n v="2.35"/>
    <x v="1"/>
    <x v="1"/>
  </r>
  <r>
    <x v="25"/>
    <n v="166"/>
    <n v="510"/>
    <x v="0"/>
    <x v="0"/>
    <n v="0"/>
    <n v="199.6"/>
    <n v="93"/>
    <n v="33.93"/>
    <n v="214.3"/>
    <n v="99"/>
    <n v="18.22"/>
    <n v="196.8"/>
    <n v="110"/>
    <n v="8.86"/>
    <n v="7.2"/>
    <n v="5"/>
    <n v="1.94"/>
    <x v="4"/>
    <x v="0"/>
  </r>
  <r>
    <x v="27"/>
    <n v="130"/>
    <n v="510"/>
    <x v="0"/>
    <x v="0"/>
    <n v="0"/>
    <n v="203.9"/>
    <n v="63"/>
    <n v="34.659999999999997"/>
    <n v="191.8"/>
    <n v="93"/>
    <n v="16.3"/>
    <n v="132.5"/>
    <n v="125"/>
    <n v="5.96"/>
    <n v="12.1"/>
    <n v="4"/>
    <n v="3.27"/>
    <x v="4"/>
    <x v="0"/>
  </r>
  <r>
    <x v="3"/>
    <n v="111"/>
    <n v="510"/>
    <x v="0"/>
    <x v="0"/>
    <n v="0"/>
    <n v="78.3"/>
    <n v="119"/>
    <n v="13.31"/>
    <n v="198.2"/>
    <n v="94"/>
    <n v="16.850000000000001"/>
    <n v="248.5"/>
    <n v="94"/>
    <n v="11.18"/>
    <n v="12.1"/>
    <n v="4"/>
    <n v="3.27"/>
    <x v="0"/>
    <x v="0"/>
  </r>
  <r>
    <x v="1"/>
    <n v="100"/>
    <n v="415"/>
    <x v="0"/>
    <x v="1"/>
    <n v="32"/>
    <n v="125.2"/>
    <n v="123"/>
    <n v="21.28"/>
    <n v="230.9"/>
    <n v="101"/>
    <n v="19.63"/>
    <n v="192"/>
    <n v="106"/>
    <n v="8.64"/>
    <n v="12.6"/>
    <n v="9"/>
    <n v="3.4"/>
    <x v="4"/>
    <x v="0"/>
  </r>
  <r>
    <x v="40"/>
    <n v="57"/>
    <n v="415"/>
    <x v="0"/>
    <x v="0"/>
    <n v="0"/>
    <n v="221.1"/>
    <n v="101"/>
    <n v="37.590000000000003"/>
    <n v="236.7"/>
    <n v="65"/>
    <n v="20.12"/>
    <n v="252.3"/>
    <n v="137"/>
    <n v="11.35"/>
    <n v="9.5"/>
    <n v="1"/>
    <n v="2.57"/>
    <x v="3"/>
    <x v="0"/>
  </r>
  <r>
    <x v="36"/>
    <n v="139"/>
    <n v="408"/>
    <x v="0"/>
    <x v="0"/>
    <n v="0"/>
    <n v="139"/>
    <n v="110"/>
    <n v="23.63"/>
    <n v="132.9"/>
    <n v="93"/>
    <n v="11.3"/>
    <n v="272"/>
    <n v="120"/>
    <n v="12.24"/>
    <n v="12.1"/>
    <n v="1"/>
    <n v="3.27"/>
    <x v="3"/>
    <x v="0"/>
  </r>
  <r>
    <x v="25"/>
    <n v="113"/>
    <n v="415"/>
    <x v="0"/>
    <x v="0"/>
    <n v="0"/>
    <n v="159.80000000000001"/>
    <n v="143"/>
    <n v="27.17"/>
    <n v="210.1"/>
    <n v="93"/>
    <n v="17.86"/>
    <n v="175.1"/>
    <n v="86"/>
    <n v="7.88"/>
    <n v="13.1"/>
    <n v="7"/>
    <n v="3.54"/>
    <x v="2"/>
    <x v="0"/>
  </r>
  <r>
    <x v="42"/>
    <n v="108"/>
    <n v="415"/>
    <x v="0"/>
    <x v="0"/>
    <n v="0"/>
    <n v="239.3"/>
    <n v="102"/>
    <n v="40.68"/>
    <n v="223.4"/>
    <n v="127"/>
    <n v="18.989999999999998"/>
    <n v="251.4"/>
    <n v="104"/>
    <n v="11.31"/>
    <n v="10.6"/>
    <n v="6"/>
    <n v="2.86"/>
    <x v="3"/>
    <x v="0"/>
  </r>
  <r>
    <x v="12"/>
    <n v="100"/>
    <n v="415"/>
    <x v="0"/>
    <x v="0"/>
    <n v="0"/>
    <n v="113.3"/>
    <n v="96"/>
    <n v="19.260000000000002"/>
    <n v="197.9"/>
    <n v="89"/>
    <n v="16.82"/>
    <n v="284.5"/>
    <n v="93"/>
    <n v="12.8"/>
    <n v="11.7"/>
    <n v="2"/>
    <n v="3.16"/>
    <x v="1"/>
    <x v="1"/>
  </r>
  <r>
    <x v="44"/>
    <n v="120"/>
    <n v="510"/>
    <x v="0"/>
    <x v="0"/>
    <n v="0"/>
    <n v="192.6"/>
    <n v="123"/>
    <n v="32.74"/>
    <n v="206.4"/>
    <n v="105"/>
    <n v="17.54"/>
    <n v="283.2"/>
    <n v="93"/>
    <n v="12.74"/>
    <n v="10.8"/>
    <n v="3"/>
    <n v="2.92"/>
    <x v="0"/>
    <x v="0"/>
  </r>
  <r>
    <x v="42"/>
    <n v="107"/>
    <n v="408"/>
    <x v="0"/>
    <x v="1"/>
    <n v="36"/>
    <n v="96.3"/>
    <n v="83"/>
    <n v="16.37"/>
    <n v="179.6"/>
    <n v="91"/>
    <n v="15.27"/>
    <n v="166.3"/>
    <n v="121"/>
    <n v="7.48"/>
    <n v="10.3"/>
    <n v="2"/>
    <n v="2.78"/>
    <x v="0"/>
    <x v="0"/>
  </r>
  <r>
    <x v="1"/>
    <n v="104"/>
    <n v="408"/>
    <x v="0"/>
    <x v="0"/>
    <n v="0"/>
    <n v="280.39999999999998"/>
    <n v="127"/>
    <n v="47.67"/>
    <n v="179.4"/>
    <n v="79"/>
    <n v="15.25"/>
    <n v="150.6"/>
    <n v="77"/>
    <n v="6.78"/>
    <n v="15.2"/>
    <n v="6"/>
    <n v="4.0999999999999996"/>
    <x v="5"/>
    <x v="0"/>
  </r>
  <r>
    <x v="24"/>
    <n v="62"/>
    <n v="415"/>
    <x v="0"/>
    <x v="0"/>
    <n v="0"/>
    <n v="245.3"/>
    <n v="91"/>
    <n v="41.7"/>
    <n v="122.9"/>
    <n v="130"/>
    <n v="10.45"/>
    <n v="228.4"/>
    <n v="102"/>
    <n v="10.28"/>
    <n v="8.5"/>
    <n v="4"/>
    <n v="2.2999999999999998"/>
    <x v="1"/>
    <x v="0"/>
  </r>
  <r>
    <x v="12"/>
    <n v="34"/>
    <n v="415"/>
    <x v="0"/>
    <x v="1"/>
    <n v="14"/>
    <n v="151.5"/>
    <n v="100"/>
    <n v="25.76"/>
    <n v="248.7"/>
    <n v="126"/>
    <n v="21.14"/>
    <n v="199.8"/>
    <n v="120"/>
    <n v="8.99"/>
    <n v="10.7"/>
    <n v="5"/>
    <n v="2.89"/>
    <x v="2"/>
    <x v="0"/>
  </r>
  <r>
    <x v="24"/>
    <n v="183"/>
    <n v="415"/>
    <x v="0"/>
    <x v="0"/>
    <n v="0"/>
    <n v="190"/>
    <n v="100"/>
    <n v="32.299999999999997"/>
    <n v="246.6"/>
    <n v="78"/>
    <n v="20.96"/>
    <n v="304.2"/>
    <n v="107"/>
    <n v="13.69"/>
    <n v="9.5"/>
    <n v="4"/>
    <n v="2.57"/>
    <x v="0"/>
    <x v="0"/>
  </r>
  <r>
    <x v="41"/>
    <n v="123"/>
    <n v="408"/>
    <x v="0"/>
    <x v="0"/>
    <n v="0"/>
    <n v="114.8"/>
    <n v="94"/>
    <n v="19.52"/>
    <n v="150"/>
    <n v="104"/>
    <n v="12.75"/>
    <n v="268.60000000000002"/>
    <n v="119"/>
    <n v="12.09"/>
    <n v="9.6"/>
    <n v="4"/>
    <n v="2.59"/>
    <x v="2"/>
    <x v="0"/>
  </r>
  <r>
    <x v="1"/>
    <n v="64"/>
    <n v="408"/>
    <x v="0"/>
    <x v="0"/>
    <n v="0"/>
    <n v="113.8"/>
    <n v="97"/>
    <n v="19.350000000000001"/>
    <n v="192.3"/>
    <n v="97"/>
    <n v="16.350000000000001"/>
    <n v="214.9"/>
    <n v="89"/>
    <n v="9.67"/>
    <n v="10.4"/>
    <n v="1"/>
    <n v="2.81"/>
    <x v="4"/>
    <x v="0"/>
  </r>
  <r>
    <x v="46"/>
    <n v="27"/>
    <n v="415"/>
    <x v="0"/>
    <x v="0"/>
    <n v="0"/>
    <n v="227.4"/>
    <n v="67"/>
    <n v="38.659999999999997"/>
    <n v="248"/>
    <n v="115"/>
    <n v="21.08"/>
    <n v="61.4"/>
    <n v="109"/>
    <n v="2.76"/>
    <n v="7.8"/>
    <n v="6"/>
    <n v="2.11"/>
    <x v="0"/>
    <x v="0"/>
  </r>
  <r>
    <x v="23"/>
    <n v="123"/>
    <n v="408"/>
    <x v="0"/>
    <x v="0"/>
    <n v="0"/>
    <n v="224"/>
    <n v="99"/>
    <n v="38.08"/>
    <n v="210.7"/>
    <n v="80"/>
    <n v="17.91"/>
    <n v="231.9"/>
    <n v="75"/>
    <n v="10.44"/>
    <n v="2.1"/>
    <n v="5"/>
    <n v="0.56999999999999995"/>
    <x v="3"/>
    <x v="0"/>
  </r>
  <r>
    <x v="24"/>
    <n v="84"/>
    <n v="408"/>
    <x v="0"/>
    <x v="1"/>
    <n v="41"/>
    <n v="153.9"/>
    <n v="102"/>
    <n v="26.16"/>
    <n v="140.69999999999999"/>
    <n v="117"/>
    <n v="11.96"/>
    <n v="217.7"/>
    <n v="101"/>
    <n v="9.8000000000000007"/>
    <n v="12.8"/>
    <n v="5"/>
    <n v="3.46"/>
    <x v="0"/>
    <x v="0"/>
  </r>
  <r>
    <x v="0"/>
    <n v="91"/>
    <n v="415"/>
    <x v="0"/>
    <x v="0"/>
    <n v="0"/>
    <n v="190.5"/>
    <n v="128"/>
    <n v="32.39"/>
    <n v="205.5"/>
    <n v="103"/>
    <n v="17.47"/>
    <n v="130.69999999999999"/>
    <n v="63"/>
    <n v="5.88"/>
    <n v="13.8"/>
    <n v="5"/>
    <n v="3.73"/>
    <x v="3"/>
    <x v="0"/>
  </r>
  <r>
    <x v="14"/>
    <n v="95"/>
    <n v="510"/>
    <x v="0"/>
    <x v="0"/>
    <n v="0"/>
    <n v="157.30000000000001"/>
    <n v="116"/>
    <n v="26.74"/>
    <n v="197.5"/>
    <n v="77"/>
    <n v="16.79"/>
    <n v="128.19999999999999"/>
    <n v="111"/>
    <n v="5.77"/>
    <n v="8.4"/>
    <n v="4"/>
    <n v="2.27"/>
    <x v="2"/>
    <x v="0"/>
  </r>
  <r>
    <x v="44"/>
    <n v="73"/>
    <n v="415"/>
    <x v="0"/>
    <x v="0"/>
    <n v="0"/>
    <n v="240.3"/>
    <n v="130"/>
    <n v="40.85"/>
    <n v="162.5"/>
    <n v="83"/>
    <n v="13.81"/>
    <n v="231.9"/>
    <n v="136"/>
    <n v="10.44"/>
    <n v="11.9"/>
    <n v="3"/>
    <n v="3.21"/>
    <x v="3"/>
    <x v="0"/>
  </r>
  <r>
    <x v="44"/>
    <n v="58"/>
    <n v="408"/>
    <x v="0"/>
    <x v="1"/>
    <n v="39"/>
    <n v="211.9"/>
    <n v="40"/>
    <n v="36.020000000000003"/>
    <n v="274.39999999999998"/>
    <n v="76"/>
    <n v="23.32"/>
    <n v="210.5"/>
    <n v="139"/>
    <n v="9.4700000000000006"/>
    <n v="5.4"/>
    <n v="4"/>
    <n v="1.46"/>
    <x v="0"/>
    <x v="0"/>
  </r>
  <r>
    <x v="49"/>
    <n v="88"/>
    <n v="415"/>
    <x v="0"/>
    <x v="0"/>
    <n v="0"/>
    <n v="113.7"/>
    <n v="67"/>
    <n v="19.329999999999998"/>
    <n v="165.1"/>
    <n v="127"/>
    <n v="14.03"/>
    <n v="141.5"/>
    <n v="142"/>
    <n v="6.37"/>
    <n v="10.8"/>
    <n v="3"/>
    <n v="2.92"/>
    <x v="0"/>
    <x v="0"/>
  </r>
  <r>
    <x v="19"/>
    <n v="67"/>
    <n v="415"/>
    <x v="0"/>
    <x v="1"/>
    <n v="41"/>
    <n v="174.7"/>
    <n v="86"/>
    <n v="29.7"/>
    <n v="160.6"/>
    <n v="93"/>
    <n v="13.65"/>
    <n v="155.30000000000001"/>
    <n v="108"/>
    <n v="6.99"/>
    <n v="13.4"/>
    <n v="1"/>
    <n v="3.62"/>
    <x v="3"/>
    <x v="0"/>
  </r>
  <r>
    <x v="18"/>
    <n v="152"/>
    <n v="510"/>
    <x v="0"/>
    <x v="0"/>
    <n v="0"/>
    <n v="161.4"/>
    <n v="84"/>
    <n v="27.44"/>
    <n v="163.6"/>
    <n v="88"/>
    <n v="13.91"/>
    <n v="153.19999999999999"/>
    <n v="121"/>
    <n v="6.89"/>
    <n v="11.8"/>
    <n v="5"/>
    <n v="3.19"/>
    <x v="0"/>
    <x v="0"/>
  </r>
  <r>
    <x v="45"/>
    <n v="142"/>
    <n v="510"/>
    <x v="0"/>
    <x v="1"/>
    <n v="40"/>
    <n v="230.7"/>
    <n v="101"/>
    <n v="39.22"/>
    <n v="256.8"/>
    <n v="88"/>
    <n v="21.83"/>
    <n v="263.89999999999998"/>
    <n v="92"/>
    <n v="11.88"/>
    <n v="6.4"/>
    <n v="3"/>
    <n v="1.73"/>
    <x v="0"/>
    <x v="0"/>
  </r>
  <r>
    <x v="7"/>
    <n v="105"/>
    <n v="408"/>
    <x v="0"/>
    <x v="0"/>
    <n v="0"/>
    <n v="232.6"/>
    <n v="96"/>
    <n v="39.54"/>
    <n v="253.4"/>
    <n v="117"/>
    <n v="21.54"/>
    <n v="154"/>
    <n v="101"/>
    <n v="6.93"/>
    <n v="10.5"/>
    <n v="9"/>
    <n v="2.84"/>
    <x v="0"/>
    <x v="0"/>
  </r>
  <r>
    <x v="39"/>
    <n v="93"/>
    <n v="408"/>
    <x v="0"/>
    <x v="1"/>
    <n v="22"/>
    <n v="306.2"/>
    <n v="123"/>
    <n v="52.05"/>
    <n v="189.7"/>
    <n v="83"/>
    <n v="16.12"/>
    <n v="240.3"/>
    <n v="107"/>
    <n v="10.81"/>
    <n v="11.7"/>
    <n v="2"/>
    <n v="3.16"/>
    <x v="3"/>
    <x v="0"/>
  </r>
  <r>
    <x v="14"/>
    <n v="79"/>
    <n v="415"/>
    <x v="0"/>
    <x v="0"/>
    <n v="0"/>
    <n v="236.8"/>
    <n v="135"/>
    <n v="40.26"/>
    <n v="186.4"/>
    <n v="87"/>
    <n v="15.84"/>
    <n v="126.9"/>
    <n v="112"/>
    <n v="5.71"/>
    <n v="10.4"/>
    <n v="5"/>
    <n v="2.81"/>
    <x v="2"/>
    <x v="0"/>
  </r>
  <r>
    <x v="3"/>
    <n v="88"/>
    <n v="408"/>
    <x v="0"/>
    <x v="0"/>
    <n v="0"/>
    <n v="153.5"/>
    <n v="94"/>
    <n v="26.1"/>
    <n v="251.7"/>
    <n v="118"/>
    <n v="21.39"/>
    <n v="182.2"/>
    <n v="99"/>
    <n v="8.1999999999999993"/>
    <n v="8.5"/>
    <n v="6"/>
    <n v="2.2999999999999998"/>
    <x v="0"/>
    <x v="0"/>
  </r>
  <r>
    <x v="31"/>
    <n v="110"/>
    <n v="408"/>
    <x v="0"/>
    <x v="0"/>
    <n v="0"/>
    <n v="159.5"/>
    <n v="145"/>
    <n v="27.12"/>
    <n v="202.3"/>
    <n v="101"/>
    <n v="17.2"/>
    <n v="256"/>
    <n v="96"/>
    <n v="11.52"/>
    <n v="16.7"/>
    <n v="2"/>
    <n v="4.51"/>
    <x v="2"/>
    <x v="0"/>
  </r>
  <r>
    <x v="2"/>
    <n v="209"/>
    <n v="415"/>
    <x v="0"/>
    <x v="0"/>
    <n v="0"/>
    <n v="153.69999999999999"/>
    <n v="105"/>
    <n v="26.13"/>
    <n v="188.6"/>
    <n v="87"/>
    <n v="16.03"/>
    <n v="200.8"/>
    <n v="95"/>
    <n v="9.0399999999999991"/>
    <n v="10.7"/>
    <n v="2"/>
    <n v="2.89"/>
    <x v="3"/>
    <x v="0"/>
  </r>
  <r>
    <x v="25"/>
    <n v="27"/>
    <n v="510"/>
    <x v="0"/>
    <x v="0"/>
    <n v="0"/>
    <n v="232.1"/>
    <n v="81"/>
    <n v="39.46"/>
    <n v="210.8"/>
    <n v="101"/>
    <n v="17.920000000000002"/>
    <n v="165.4"/>
    <n v="87"/>
    <n v="7.44"/>
    <n v="15"/>
    <n v="6"/>
    <n v="4.05"/>
    <x v="5"/>
    <x v="0"/>
  </r>
  <r>
    <x v="41"/>
    <n v="117"/>
    <n v="415"/>
    <x v="0"/>
    <x v="0"/>
    <n v="0"/>
    <n v="201.9"/>
    <n v="86"/>
    <n v="34.32"/>
    <n v="212.3"/>
    <n v="96"/>
    <n v="18.05"/>
    <n v="176.9"/>
    <n v="98"/>
    <n v="7.96"/>
    <n v="7.8"/>
    <n v="10"/>
    <n v="2.11"/>
    <x v="0"/>
    <x v="0"/>
  </r>
  <r>
    <x v="13"/>
    <n v="87"/>
    <n v="408"/>
    <x v="0"/>
    <x v="0"/>
    <n v="0"/>
    <n v="186.9"/>
    <n v="79"/>
    <n v="31.77"/>
    <n v="182.6"/>
    <n v="105"/>
    <n v="15.52"/>
    <n v="143.1"/>
    <n v="90"/>
    <n v="6.44"/>
    <n v="4.2"/>
    <n v="14"/>
    <n v="1.1299999999999999"/>
    <x v="0"/>
    <x v="0"/>
  </r>
  <r>
    <x v="34"/>
    <n v="129"/>
    <n v="510"/>
    <x v="0"/>
    <x v="1"/>
    <n v="27"/>
    <n v="196.6"/>
    <n v="89"/>
    <n v="33.42"/>
    <n v="180.6"/>
    <n v="95"/>
    <n v="15.35"/>
    <n v="245"/>
    <n v="83"/>
    <n v="11.03"/>
    <n v="6.6"/>
    <n v="5"/>
    <n v="1.78"/>
    <x v="0"/>
    <x v="0"/>
  </r>
  <r>
    <x v="9"/>
    <n v="142"/>
    <n v="510"/>
    <x v="0"/>
    <x v="0"/>
    <n v="0"/>
    <n v="232.1"/>
    <n v="102"/>
    <n v="39.46"/>
    <n v="168.2"/>
    <n v="110"/>
    <n v="14.3"/>
    <n v="197.3"/>
    <n v="120"/>
    <n v="8.8800000000000008"/>
    <n v="9.9"/>
    <n v="3"/>
    <n v="2.67"/>
    <x v="0"/>
    <x v="0"/>
  </r>
  <r>
    <x v="33"/>
    <n v="112"/>
    <n v="415"/>
    <x v="0"/>
    <x v="0"/>
    <n v="0"/>
    <n v="166"/>
    <n v="79"/>
    <n v="28.22"/>
    <n v="74.599999999999994"/>
    <n v="100"/>
    <n v="6.34"/>
    <n v="247.9"/>
    <n v="74"/>
    <n v="11.16"/>
    <n v="6.3"/>
    <n v="7"/>
    <n v="1.7"/>
    <x v="3"/>
    <x v="0"/>
  </r>
  <r>
    <x v="16"/>
    <n v="97"/>
    <n v="408"/>
    <x v="0"/>
    <x v="1"/>
    <n v="25"/>
    <n v="141"/>
    <n v="101"/>
    <n v="23.97"/>
    <n v="212"/>
    <n v="85"/>
    <n v="18.02"/>
    <n v="175.2"/>
    <n v="138"/>
    <n v="7.88"/>
    <n v="4.9000000000000004"/>
    <n v="2"/>
    <n v="1.32"/>
    <x v="4"/>
    <x v="0"/>
  </r>
  <r>
    <x v="30"/>
    <n v="101"/>
    <n v="415"/>
    <x v="0"/>
    <x v="0"/>
    <n v="0"/>
    <n v="231.3"/>
    <n v="87"/>
    <n v="39.32"/>
    <n v="224.7"/>
    <n v="88"/>
    <n v="19.100000000000001"/>
    <n v="214.6"/>
    <n v="69"/>
    <n v="9.66"/>
    <n v="7.2"/>
    <n v="7"/>
    <n v="1.94"/>
    <x v="0"/>
    <x v="0"/>
  </r>
  <r>
    <x v="30"/>
    <n v="127"/>
    <n v="415"/>
    <x v="0"/>
    <x v="1"/>
    <n v="24"/>
    <n v="154.80000000000001"/>
    <n v="69"/>
    <n v="26.32"/>
    <n v="177.2"/>
    <n v="105"/>
    <n v="15.06"/>
    <n v="207.6"/>
    <n v="102"/>
    <n v="9.34"/>
    <n v="9"/>
    <n v="4"/>
    <n v="2.4300000000000002"/>
    <x v="0"/>
    <x v="0"/>
  </r>
  <r>
    <x v="28"/>
    <n v="148"/>
    <n v="408"/>
    <x v="0"/>
    <x v="0"/>
    <n v="0"/>
    <n v="243"/>
    <n v="115"/>
    <n v="41.31"/>
    <n v="191.8"/>
    <n v="91"/>
    <n v="16.3"/>
    <n v="117.8"/>
    <n v="93"/>
    <n v="5.3"/>
    <n v="13.4"/>
    <n v="5"/>
    <n v="3.62"/>
    <x v="2"/>
    <x v="0"/>
  </r>
  <r>
    <x v="33"/>
    <n v="138"/>
    <n v="510"/>
    <x v="0"/>
    <x v="1"/>
    <n v="33"/>
    <n v="155.19999999999999"/>
    <n v="139"/>
    <n v="26.38"/>
    <n v="268.3"/>
    <n v="79"/>
    <n v="22.81"/>
    <n v="186.4"/>
    <n v="71"/>
    <n v="8.39"/>
    <n v="9.6999999999999993"/>
    <n v="4"/>
    <n v="2.62"/>
    <x v="4"/>
    <x v="0"/>
  </r>
  <r>
    <x v="18"/>
    <n v="84"/>
    <n v="415"/>
    <x v="0"/>
    <x v="0"/>
    <n v="0"/>
    <n v="289.10000000000002"/>
    <n v="100"/>
    <n v="49.15"/>
    <n v="233.8"/>
    <n v="97"/>
    <n v="19.87"/>
    <n v="223.5"/>
    <n v="148"/>
    <n v="10.06"/>
    <n v="12.7"/>
    <n v="2"/>
    <n v="3.43"/>
    <x v="2"/>
    <x v="1"/>
  </r>
  <r>
    <x v="43"/>
    <n v="133"/>
    <n v="510"/>
    <x v="0"/>
    <x v="0"/>
    <n v="0"/>
    <n v="295"/>
    <n v="141"/>
    <n v="50.15"/>
    <n v="223.6"/>
    <n v="101"/>
    <n v="19.010000000000002"/>
    <n v="229.4"/>
    <n v="109"/>
    <n v="10.32"/>
    <n v="12.9"/>
    <n v="4"/>
    <n v="3.48"/>
    <x v="2"/>
    <x v="1"/>
  </r>
  <r>
    <x v="2"/>
    <n v="120"/>
    <n v="510"/>
    <x v="0"/>
    <x v="1"/>
    <n v="27"/>
    <n v="128.5"/>
    <n v="115"/>
    <n v="21.85"/>
    <n v="163.69999999999999"/>
    <n v="91"/>
    <n v="13.91"/>
    <n v="242.9"/>
    <n v="121"/>
    <n v="10.93"/>
    <n v="0"/>
    <n v="0"/>
    <n v="0"/>
    <x v="0"/>
    <x v="0"/>
  </r>
  <r>
    <x v="9"/>
    <n v="87"/>
    <n v="415"/>
    <x v="0"/>
    <x v="0"/>
    <n v="0"/>
    <n v="238"/>
    <n v="97"/>
    <n v="40.46"/>
    <n v="164.5"/>
    <n v="97"/>
    <n v="13.98"/>
    <n v="282.5"/>
    <n v="132"/>
    <n v="12.71"/>
    <n v="10.6"/>
    <n v="6"/>
    <n v="2.86"/>
    <x v="2"/>
    <x v="0"/>
  </r>
  <r>
    <x v="5"/>
    <n v="99"/>
    <n v="510"/>
    <x v="0"/>
    <x v="0"/>
    <n v="0"/>
    <n v="238.4"/>
    <n v="96"/>
    <n v="40.53"/>
    <n v="246.5"/>
    <n v="130"/>
    <n v="20.95"/>
    <n v="198.4"/>
    <n v="117"/>
    <n v="8.93"/>
    <n v="12.4"/>
    <n v="4"/>
    <n v="3.35"/>
    <x v="4"/>
    <x v="0"/>
  </r>
  <r>
    <x v="16"/>
    <n v="48"/>
    <n v="415"/>
    <x v="0"/>
    <x v="1"/>
    <n v="27"/>
    <n v="141.1"/>
    <n v="109"/>
    <n v="23.99"/>
    <n v="224.7"/>
    <n v="94"/>
    <n v="19.100000000000001"/>
    <n v="174.3"/>
    <n v="122"/>
    <n v="7.84"/>
    <n v="13.2"/>
    <n v="2"/>
    <n v="3.56"/>
    <x v="0"/>
    <x v="0"/>
  </r>
  <r>
    <x v="30"/>
    <n v="57"/>
    <n v="415"/>
    <x v="0"/>
    <x v="0"/>
    <n v="0"/>
    <n v="158.1"/>
    <n v="117"/>
    <n v="26.88"/>
    <n v="115.2"/>
    <n v="149"/>
    <n v="9.7899999999999991"/>
    <n v="182.4"/>
    <n v="92"/>
    <n v="8.2100000000000009"/>
    <n v="11.8"/>
    <n v="7"/>
    <n v="3.19"/>
    <x v="3"/>
    <x v="0"/>
  </r>
  <r>
    <x v="17"/>
    <n v="127"/>
    <n v="510"/>
    <x v="0"/>
    <x v="0"/>
    <n v="0"/>
    <n v="107.9"/>
    <n v="128"/>
    <n v="18.34"/>
    <n v="187"/>
    <n v="77"/>
    <n v="15.9"/>
    <n v="218.5"/>
    <n v="95"/>
    <n v="9.83"/>
    <n v="0"/>
    <n v="0"/>
    <n v="0"/>
    <x v="3"/>
    <x v="0"/>
  </r>
  <r>
    <x v="1"/>
    <n v="114"/>
    <n v="408"/>
    <x v="0"/>
    <x v="0"/>
    <n v="0"/>
    <n v="203.8"/>
    <n v="85"/>
    <n v="34.65"/>
    <n v="87.8"/>
    <n v="110"/>
    <n v="7.46"/>
    <n v="166.2"/>
    <n v="122"/>
    <n v="7.48"/>
    <n v="11.7"/>
    <n v="4"/>
    <n v="3.16"/>
    <x v="0"/>
    <x v="0"/>
  </r>
  <r>
    <x v="17"/>
    <n v="84"/>
    <n v="415"/>
    <x v="0"/>
    <x v="0"/>
    <n v="0"/>
    <n v="280"/>
    <n v="113"/>
    <n v="47.6"/>
    <n v="202.2"/>
    <n v="90"/>
    <n v="17.190000000000001"/>
    <n v="156.80000000000001"/>
    <n v="103"/>
    <n v="7.06"/>
    <n v="10.4"/>
    <n v="4"/>
    <n v="2.81"/>
    <x v="3"/>
    <x v="1"/>
  </r>
  <r>
    <x v="9"/>
    <n v="114"/>
    <n v="415"/>
    <x v="0"/>
    <x v="1"/>
    <n v="26"/>
    <n v="137.1"/>
    <n v="88"/>
    <n v="23.31"/>
    <n v="155.69999999999999"/>
    <n v="125"/>
    <n v="13.23"/>
    <n v="247.6"/>
    <n v="94"/>
    <n v="11.14"/>
    <n v="11.5"/>
    <n v="7"/>
    <n v="3.11"/>
    <x v="2"/>
    <x v="0"/>
  </r>
  <r>
    <x v="22"/>
    <n v="106"/>
    <n v="408"/>
    <x v="0"/>
    <x v="1"/>
    <n v="29"/>
    <n v="83.6"/>
    <n v="131"/>
    <n v="14.21"/>
    <n v="203.9"/>
    <n v="131"/>
    <n v="17.329999999999998"/>
    <n v="229.5"/>
    <n v="73"/>
    <n v="10.33"/>
    <n v="8.1"/>
    <n v="3"/>
    <n v="2.19"/>
    <x v="0"/>
    <x v="0"/>
  </r>
  <r>
    <x v="11"/>
    <n v="60"/>
    <n v="415"/>
    <x v="0"/>
    <x v="0"/>
    <n v="0"/>
    <n v="193.9"/>
    <n v="118"/>
    <n v="32.96"/>
    <n v="85"/>
    <n v="110"/>
    <n v="7.23"/>
    <n v="210.1"/>
    <n v="134"/>
    <n v="9.4499999999999993"/>
    <n v="13.2"/>
    <n v="8"/>
    <n v="3.56"/>
    <x v="4"/>
    <x v="0"/>
  </r>
  <r>
    <x v="44"/>
    <n v="159"/>
    <n v="415"/>
    <x v="0"/>
    <x v="0"/>
    <n v="0"/>
    <n v="169.8"/>
    <n v="114"/>
    <n v="28.87"/>
    <n v="197.7"/>
    <n v="105"/>
    <n v="16.8"/>
    <n v="193.7"/>
    <n v="82"/>
    <n v="8.7200000000000006"/>
    <n v="11.6"/>
    <n v="4"/>
    <n v="3.13"/>
    <x v="0"/>
    <x v="0"/>
  </r>
  <r>
    <x v="34"/>
    <n v="184"/>
    <n v="510"/>
    <x v="1"/>
    <x v="0"/>
    <n v="0"/>
    <n v="213.8"/>
    <n v="105"/>
    <n v="36.35"/>
    <n v="159.6"/>
    <n v="84"/>
    <n v="13.57"/>
    <n v="139.19999999999999"/>
    <n v="137"/>
    <n v="6.26"/>
    <n v="5"/>
    <n v="10"/>
    <n v="1.35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7">
  <r>
    <x v="0"/>
    <b v="0"/>
    <x v="0"/>
    <x v="0"/>
    <s v="Normal Usage"/>
    <x v="0"/>
    <x v="0"/>
    <x v="0"/>
    <s v="Domestic Plan"/>
    <s v="Error"/>
    <s v="Available"/>
    <s v="Numeric"/>
  </r>
  <r>
    <x v="1"/>
    <b v="1"/>
    <x v="1"/>
    <x v="1"/>
    <s v="Normal Usage"/>
    <x v="1"/>
    <x v="0"/>
    <x v="1"/>
    <s v="Domestic Plan"/>
    <s v="Error"/>
    <s v="Available"/>
    <s v="Numeric"/>
  </r>
  <r>
    <x v="2"/>
    <b v="1"/>
    <x v="1"/>
    <x v="1"/>
    <s v="Normal Usage"/>
    <x v="1"/>
    <x v="0"/>
    <x v="1"/>
    <s v="Domestic Plan"/>
    <s v="Error"/>
    <s v="Available"/>
    <s v="Numeric"/>
  </r>
  <r>
    <x v="3"/>
    <b v="0"/>
    <x v="0"/>
    <x v="0"/>
    <s v="Normal Usage"/>
    <x v="2"/>
    <x v="0"/>
    <x v="0"/>
    <s v="Domestic Plan"/>
    <s v="Error"/>
    <s v="Available"/>
    <s v="Numeric"/>
  </r>
  <r>
    <x v="4"/>
    <b v="0"/>
    <x v="0"/>
    <x v="0"/>
    <s v="Normal Usage"/>
    <x v="0"/>
    <x v="0"/>
    <x v="0"/>
    <s v="Domestic Plan"/>
    <s v="Error"/>
    <s v="Available"/>
    <s v="Numeric"/>
  </r>
  <r>
    <x v="5"/>
    <b v="0"/>
    <x v="0"/>
    <x v="2"/>
    <s v="Normal Usage"/>
    <x v="0"/>
    <x v="1"/>
    <x v="0"/>
    <s v="Domestic Plan"/>
    <s v="Error"/>
    <s v="Available"/>
    <s v="Numeric"/>
  </r>
  <r>
    <x v="6"/>
    <b v="0"/>
    <x v="0"/>
    <x v="1"/>
    <s v="High Usage"/>
    <x v="1"/>
    <x v="0"/>
    <x v="1"/>
    <s v="Domestic Plan"/>
    <s v="Error"/>
    <s v="Available"/>
    <s v="Numeric"/>
  </r>
  <r>
    <x v="7"/>
    <b v="1"/>
    <x v="1"/>
    <x v="1"/>
    <s v="Normal Usage"/>
    <x v="1"/>
    <x v="0"/>
    <x v="1"/>
    <s v="Domestic Plan"/>
    <s v="Error"/>
    <s v="Available"/>
    <s v="Numeric"/>
  </r>
  <r>
    <x v="8"/>
    <b v="0"/>
    <x v="0"/>
    <x v="0"/>
    <s v="Normal Usage"/>
    <x v="2"/>
    <x v="0"/>
    <x v="0"/>
    <s v="Domestic Plan"/>
    <s v="Error"/>
    <s v="Available"/>
    <s v="Numeric"/>
  </r>
  <r>
    <x v="9"/>
    <b v="0"/>
    <x v="0"/>
    <x v="1"/>
    <s v="Normal Usage"/>
    <x v="2"/>
    <x v="0"/>
    <x v="1"/>
    <s v="Domestic Plan"/>
    <s v="Error"/>
    <s v="Available"/>
    <s v="Numeric"/>
  </r>
  <r>
    <x v="10"/>
    <b v="0"/>
    <x v="0"/>
    <x v="0"/>
    <s v="Normal Usage"/>
    <x v="2"/>
    <x v="1"/>
    <x v="0"/>
    <s v="Domestic Plan"/>
    <s v="Error"/>
    <s v="Available"/>
    <s v="Numeric"/>
  </r>
  <r>
    <x v="4"/>
    <b v="0"/>
    <x v="0"/>
    <x v="2"/>
    <s v="High Usage"/>
    <x v="0"/>
    <x v="0"/>
    <x v="0"/>
    <s v="Domestic Plan"/>
    <s v="Error"/>
    <s v="Available"/>
    <s v="Numeric"/>
  </r>
  <r>
    <x v="10"/>
    <b v="0"/>
    <x v="0"/>
    <x v="0"/>
    <s v="Normal Usage"/>
    <x v="2"/>
    <x v="0"/>
    <x v="0"/>
    <s v="Domestic Plan"/>
    <s v="Error"/>
    <s v="Available"/>
    <s v="Numeric"/>
  </r>
  <r>
    <x v="11"/>
    <b v="0"/>
    <x v="0"/>
    <x v="2"/>
    <s v="Normal Usage"/>
    <x v="0"/>
    <x v="1"/>
    <x v="0"/>
    <s v="Domestic Plan"/>
    <s v="Error"/>
    <s v="Available"/>
    <s v="Numeric"/>
  </r>
  <r>
    <x v="0"/>
    <b v="1"/>
    <x v="1"/>
    <x v="2"/>
    <s v="Normal Usage"/>
    <x v="1"/>
    <x v="0"/>
    <x v="0"/>
    <s v="Domestic Plan"/>
    <s v="Error"/>
    <s v="Available"/>
    <s v="Numeric"/>
  </r>
  <r>
    <x v="12"/>
    <b v="0"/>
    <x v="0"/>
    <x v="2"/>
    <s v="Normal Usage"/>
    <x v="0"/>
    <x v="0"/>
    <x v="0"/>
    <s v="Domestic Plan"/>
    <s v="Error"/>
    <s v="Available"/>
    <s v="Numeric"/>
  </r>
  <r>
    <x v="7"/>
    <b v="1"/>
    <x v="1"/>
    <x v="0"/>
    <s v="Normal Usage"/>
    <x v="1"/>
    <x v="0"/>
    <x v="0"/>
    <s v="Domestic Plan"/>
    <s v="Error"/>
    <s v="Available"/>
    <s v="Numeric"/>
  </r>
  <r>
    <x v="13"/>
    <b v="0"/>
    <x v="0"/>
    <x v="2"/>
    <s v="Normal Usage"/>
    <x v="0"/>
    <x v="0"/>
    <x v="0"/>
    <s v="Domestic Plan"/>
    <s v="Error"/>
    <s v="Available"/>
    <s v="Numeric"/>
  </r>
  <r>
    <x v="14"/>
    <b v="0"/>
    <x v="0"/>
    <x v="0"/>
    <s v="Normal Usage"/>
    <x v="0"/>
    <x v="0"/>
    <x v="0"/>
    <s v="Domestic Plan"/>
    <s v="Error"/>
    <s v="Available"/>
    <s v="Numeric"/>
  </r>
  <r>
    <x v="6"/>
    <b v="0"/>
    <x v="0"/>
    <x v="0"/>
    <s v="High Usage"/>
    <x v="2"/>
    <x v="1"/>
    <x v="0"/>
    <s v="Domestic Plan"/>
    <s v="Error"/>
    <s v="Available"/>
    <s v="Numeric"/>
  </r>
  <r>
    <x v="15"/>
    <b v="0"/>
    <x v="0"/>
    <x v="0"/>
    <s v="Normal Usage"/>
    <x v="0"/>
    <x v="1"/>
    <x v="0"/>
    <s v="Domestic Plan"/>
    <s v="Error"/>
    <s v="Available"/>
    <s v="Numeric"/>
  </r>
  <r>
    <x v="16"/>
    <b v="0"/>
    <x v="0"/>
    <x v="0"/>
    <s v="Normal Usage"/>
    <x v="0"/>
    <x v="0"/>
    <x v="0"/>
    <s v="Domestic Plan"/>
    <s v="Error"/>
    <s v="Available"/>
    <s v="Numeric"/>
  </r>
  <r>
    <x v="7"/>
    <b v="0"/>
    <x v="0"/>
    <x v="0"/>
    <s v="High Usage"/>
    <x v="2"/>
    <x v="0"/>
    <x v="0"/>
    <s v="Domestic Plan"/>
    <s v="Error"/>
    <s v="Available"/>
    <s v="Numeric"/>
  </r>
  <r>
    <x v="17"/>
    <b v="0"/>
    <x v="0"/>
    <x v="0"/>
    <s v="Normal Usage"/>
    <x v="0"/>
    <x v="0"/>
    <x v="0"/>
    <s v="Domestic Plan"/>
    <s v="Error"/>
    <s v="Available"/>
    <s v="Numeric"/>
  </r>
  <r>
    <x v="18"/>
    <b v="0"/>
    <x v="0"/>
    <x v="0"/>
    <s v="Normal Usage"/>
    <x v="0"/>
    <x v="0"/>
    <x v="0"/>
    <s v="Domestic Plan"/>
    <s v="Error"/>
    <s v="Available"/>
    <s v="Numeric"/>
  </r>
  <r>
    <x v="0"/>
    <b v="0"/>
    <x v="0"/>
    <x v="0"/>
    <s v="Normal Usage"/>
    <x v="0"/>
    <x v="0"/>
    <x v="0"/>
    <s v="Domestic Plan"/>
    <s v="Error"/>
    <s v="Available"/>
    <s v="Numeric"/>
  </r>
  <r>
    <x v="19"/>
    <b v="0"/>
    <x v="0"/>
    <x v="0"/>
    <s v="Normal Usage"/>
    <x v="0"/>
    <x v="0"/>
    <x v="0"/>
    <s v="Domestic Plan"/>
    <s v="Error"/>
    <s v="Available"/>
    <s v="Numeric"/>
  </r>
  <r>
    <x v="20"/>
    <b v="0"/>
    <x v="0"/>
    <x v="0"/>
    <s v="Normal Usage"/>
    <x v="0"/>
    <x v="0"/>
    <x v="0"/>
    <s v="Domestic Plan"/>
    <s v="Error"/>
    <s v="Available"/>
    <s v="Numeric"/>
  </r>
  <r>
    <x v="21"/>
    <b v="0"/>
    <x v="0"/>
    <x v="0"/>
    <s v="Normal Usage"/>
    <x v="0"/>
    <x v="0"/>
    <x v="0"/>
    <s v="Domestic Plan"/>
    <s v="Error"/>
    <s v="Available"/>
    <s v="Numeric"/>
  </r>
  <r>
    <x v="22"/>
    <b v="0"/>
    <x v="0"/>
    <x v="2"/>
    <s v="Normal Usage"/>
    <x v="0"/>
    <x v="0"/>
    <x v="0"/>
    <s v="Domestic Plan"/>
    <s v="Error"/>
    <s v="Available"/>
    <s v="Numeric"/>
  </r>
  <r>
    <x v="23"/>
    <b v="0"/>
    <x v="0"/>
    <x v="0"/>
    <s v="Normal Usage"/>
    <x v="2"/>
    <x v="1"/>
    <x v="0"/>
    <s v="Domestic Plan"/>
    <s v="Error"/>
    <s v="Available"/>
    <s v="Numeric"/>
  </r>
  <r>
    <x v="24"/>
    <b v="0"/>
    <x v="0"/>
    <x v="1"/>
    <s v="Normal Usage"/>
    <x v="2"/>
    <x v="0"/>
    <x v="1"/>
    <s v="Domestic Plan"/>
    <s v="Error"/>
    <s v="Available"/>
    <s v="Numeric"/>
  </r>
  <r>
    <x v="25"/>
    <b v="0"/>
    <x v="0"/>
    <x v="0"/>
    <s v="Normal Usage"/>
    <x v="0"/>
    <x v="0"/>
    <x v="0"/>
    <s v="Domestic Plan"/>
    <s v="Error"/>
    <s v="Available"/>
    <s v="Numeric"/>
  </r>
  <r>
    <x v="6"/>
    <b v="0"/>
    <x v="0"/>
    <x v="0"/>
    <s v="High Usage"/>
    <x v="2"/>
    <x v="0"/>
    <x v="0"/>
    <s v="Domestic Plan"/>
    <s v="Error"/>
    <s v="Available"/>
    <s v="Numeric"/>
  </r>
  <r>
    <x v="16"/>
    <b v="0"/>
    <x v="0"/>
    <x v="0"/>
    <s v="Normal Usage"/>
    <x v="2"/>
    <x v="0"/>
    <x v="0"/>
    <s v="Domestic Plan"/>
    <s v="Error"/>
    <s v="Available"/>
    <s v="Numeric"/>
  </r>
  <r>
    <x v="26"/>
    <b v="1"/>
    <x v="1"/>
    <x v="0"/>
    <s v="Normal Usage"/>
    <x v="1"/>
    <x v="0"/>
    <x v="0"/>
    <s v="Domestic Plan"/>
    <s v="Error"/>
    <s v="Available"/>
    <s v="Numeric"/>
  </r>
  <r>
    <x v="1"/>
    <b v="0"/>
    <x v="0"/>
    <x v="0"/>
    <s v="Normal Usage"/>
    <x v="2"/>
    <x v="0"/>
    <x v="0"/>
    <s v="Domestic Plan"/>
    <s v="Error"/>
    <s v="Available"/>
    <s v="Numeric"/>
  </r>
  <r>
    <x v="0"/>
    <b v="0"/>
    <x v="0"/>
    <x v="0"/>
    <s v="Normal Usage"/>
    <x v="0"/>
    <x v="0"/>
    <x v="0"/>
    <s v="Domestic Plan"/>
    <s v="Error"/>
    <s v="Available"/>
    <s v="Numeric"/>
  </r>
  <r>
    <x v="27"/>
    <b v="0"/>
    <x v="0"/>
    <x v="0"/>
    <s v="Normal Usage"/>
    <x v="0"/>
    <x v="0"/>
    <x v="0"/>
    <s v="Domestic Plan"/>
    <s v="Error"/>
    <s v="Available"/>
    <s v="Numeric"/>
  </r>
  <r>
    <x v="1"/>
    <b v="0"/>
    <x v="0"/>
    <x v="0"/>
    <s v="High Usage"/>
    <x v="0"/>
    <x v="0"/>
    <x v="0"/>
    <s v="Domestic Plan"/>
    <s v="Error"/>
    <s v="Available"/>
    <s v="Numeric"/>
  </r>
  <r>
    <x v="14"/>
    <b v="0"/>
    <x v="0"/>
    <x v="2"/>
    <s v="Normal Usage"/>
    <x v="0"/>
    <x v="1"/>
    <x v="0"/>
    <s v="Domestic Plan"/>
    <s v="Error"/>
    <s v="Available"/>
    <s v="Numeric"/>
  </r>
  <r>
    <x v="10"/>
    <b v="1"/>
    <x v="1"/>
    <x v="1"/>
    <s v="Normal Usage"/>
    <x v="1"/>
    <x v="0"/>
    <x v="1"/>
    <s v="Domestic Plan"/>
    <s v="Error"/>
    <s v="Available"/>
    <s v="Numeric"/>
  </r>
  <r>
    <x v="28"/>
    <b v="0"/>
    <x v="0"/>
    <x v="2"/>
    <s v="Normal Usage"/>
    <x v="0"/>
    <x v="0"/>
    <x v="0"/>
    <s v="Domestic Plan"/>
    <s v="Error"/>
    <s v="Available"/>
    <s v="Numeric"/>
  </r>
  <r>
    <x v="16"/>
    <b v="0"/>
    <x v="0"/>
    <x v="1"/>
    <s v="Normal Usage"/>
    <x v="2"/>
    <x v="0"/>
    <x v="1"/>
    <s v="Domestic Plan"/>
    <s v="Error"/>
    <s v="Available"/>
    <s v="Numeric"/>
  </r>
  <r>
    <x v="24"/>
    <b v="0"/>
    <x v="0"/>
    <x v="0"/>
    <s v="Normal Usage"/>
    <x v="2"/>
    <x v="1"/>
    <x v="0"/>
    <s v="Domestic Plan"/>
    <s v="Error"/>
    <s v="Available"/>
    <s v="Numeric"/>
  </r>
  <r>
    <x v="6"/>
    <b v="0"/>
    <x v="0"/>
    <x v="2"/>
    <s v="Normal Usage"/>
    <x v="0"/>
    <x v="1"/>
    <x v="0"/>
    <s v="Domestic Plan"/>
    <s v="Error"/>
    <s v="Available"/>
    <s v="Numeric"/>
  </r>
  <r>
    <x v="29"/>
    <b v="0"/>
    <x v="0"/>
    <x v="1"/>
    <s v="Normal Usage"/>
    <x v="2"/>
    <x v="1"/>
    <x v="1"/>
    <s v="Domestic Plan"/>
    <s v="Error"/>
    <s v="Available"/>
    <s v="Numeric"/>
  </r>
  <r>
    <x v="30"/>
    <b v="1"/>
    <x v="1"/>
    <x v="0"/>
    <s v="Normal Usage"/>
    <x v="1"/>
    <x v="1"/>
    <x v="0"/>
    <s v="International Customer"/>
    <s v="Error"/>
    <s v="Available"/>
    <s v="Numeric"/>
  </r>
  <r>
    <x v="3"/>
    <b v="0"/>
    <x v="0"/>
    <x v="0"/>
    <s v="Normal Usage"/>
    <x v="0"/>
    <x v="0"/>
    <x v="0"/>
    <s v="Domestic Plan"/>
    <s v="Error"/>
    <s v="Available"/>
    <s v="Numeric"/>
  </r>
  <r>
    <x v="31"/>
    <b v="0"/>
    <x v="0"/>
    <x v="0"/>
    <s v="Normal Usage"/>
    <x v="2"/>
    <x v="0"/>
    <x v="0"/>
    <s v="Domestic Plan"/>
    <s v="Error"/>
    <s v="Available"/>
    <s v="Numeric"/>
  </r>
  <r>
    <x v="21"/>
    <b v="0"/>
    <x v="0"/>
    <x v="2"/>
    <s v="Normal Usage"/>
    <x v="0"/>
    <x v="1"/>
    <x v="0"/>
    <s v="Domestic Plan"/>
    <s v="Error"/>
    <s v="Available"/>
    <s v="Numeric"/>
  </r>
  <r>
    <x v="18"/>
    <b v="0"/>
    <x v="0"/>
    <x v="1"/>
    <s v="High Usage"/>
    <x v="1"/>
    <x v="0"/>
    <x v="1"/>
    <s v="Domestic Plan"/>
    <s v="Error"/>
    <s v="Available"/>
    <s v="Numeric"/>
  </r>
  <r>
    <x v="32"/>
    <b v="1"/>
    <x v="1"/>
    <x v="0"/>
    <s v="Normal Usage"/>
    <x v="1"/>
    <x v="1"/>
    <x v="0"/>
    <s v="Domestic Plan"/>
    <s v="Error"/>
    <s v="Available"/>
    <s v="Numeric"/>
  </r>
  <r>
    <x v="12"/>
    <b v="0"/>
    <x v="0"/>
    <x v="0"/>
    <s v="Normal Usage"/>
    <x v="2"/>
    <x v="0"/>
    <x v="0"/>
    <s v="Domestic Plan"/>
    <s v="Error"/>
    <s v="Available"/>
    <s v="Numeric"/>
  </r>
  <r>
    <x v="10"/>
    <b v="0"/>
    <x v="0"/>
    <x v="0"/>
    <s v="Normal Usage"/>
    <x v="2"/>
    <x v="0"/>
    <x v="0"/>
    <s v="Domestic Plan"/>
    <s v="Error"/>
    <s v="Available"/>
    <s v="Numeric"/>
  </r>
  <r>
    <x v="32"/>
    <b v="0"/>
    <x v="0"/>
    <x v="0"/>
    <s v="Normal Usage"/>
    <x v="2"/>
    <x v="1"/>
    <x v="0"/>
    <s v="Domestic Plan"/>
    <s v="Error"/>
    <s v="Available"/>
    <s v="Numeric"/>
  </r>
  <r>
    <x v="33"/>
    <b v="1"/>
    <x v="1"/>
    <x v="0"/>
    <s v="Normal Usage"/>
    <x v="1"/>
    <x v="0"/>
    <x v="0"/>
    <s v="Domestic Plan"/>
    <s v="Error"/>
    <s v="Available"/>
    <s v="Numeric"/>
  </r>
  <r>
    <x v="34"/>
    <b v="0"/>
    <x v="0"/>
    <x v="2"/>
    <s v="High Usage"/>
    <x v="0"/>
    <x v="1"/>
    <x v="0"/>
    <s v="Domestic Plan"/>
    <s v="Error"/>
    <s v="Available"/>
    <s v="Numeric"/>
  </r>
  <r>
    <x v="34"/>
    <b v="1"/>
    <x v="1"/>
    <x v="1"/>
    <s v="Normal Usage"/>
    <x v="1"/>
    <x v="1"/>
    <x v="1"/>
    <s v="Domestic Plan"/>
    <s v="Error"/>
    <s v="Available"/>
    <s v="Numeric"/>
  </r>
  <r>
    <x v="10"/>
    <b v="0"/>
    <x v="0"/>
    <x v="0"/>
    <s v="Normal Usage"/>
    <x v="0"/>
    <x v="0"/>
    <x v="0"/>
    <s v="Domestic Plan"/>
    <s v="Error"/>
    <s v="Available"/>
    <s v="Numeric"/>
  </r>
  <r>
    <x v="29"/>
    <b v="1"/>
    <x v="1"/>
    <x v="0"/>
    <s v="High Usage"/>
    <x v="1"/>
    <x v="0"/>
    <x v="0"/>
    <s v="Domestic Plan"/>
    <s v="Error"/>
    <s v="Available"/>
    <s v="Numeric"/>
  </r>
  <r>
    <x v="35"/>
    <b v="1"/>
    <x v="1"/>
    <x v="2"/>
    <s v="Normal Usage"/>
    <x v="1"/>
    <x v="0"/>
    <x v="0"/>
    <s v="Domestic Plan"/>
    <s v="Error"/>
    <s v="Available"/>
    <s v="Numeric"/>
  </r>
  <r>
    <x v="1"/>
    <b v="1"/>
    <x v="1"/>
    <x v="1"/>
    <s v="Normal Usage"/>
    <x v="1"/>
    <x v="0"/>
    <x v="1"/>
    <s v="Domestic Plan"/>
    <s v="Error"/>
    <s v="Available"/>
    <s v="Numeric"/>
  </r>
  <r>
    <x v="22"/>
    <b v="0"/>
    <x v="0"/>
    <x v="0"/>
    <s v="Normal Usage"/>
    <x v="0"/>
    <x v="1"/>
    <x v="0"/>
    <s v="Domestic Plan"/>
    <s v="Error"/>
    <s v="Available"/>
    <s v="Numeric"/>
  </r>
  <r>
    <x v="25"/>
    <b v="0"/>
    <x v="0"/>
    <x v="0"/>
    <s v="High Usage"/>
    <x v="2"/>
    <x v="0"/>
    <x v="0"/>
    <s v="Domestic Plan"/>
    <s v="Error"/>
    <s v="Available"/>
    <s v="Numeric"/>
  </r>
  <r>
    <x v="27"/>
    <b v="1"/>
    <x v="1"/>
    <x v="0"/>
    <s v="Normal Usage"/>
    <x v="1"/>
    <x v="1"/>
    <x v="0"/>
    <s v="International Customer"/>
    <s v="Error"/>
    <s v="Available"/>
    <s v="Numeric"/>
  </r>
  <r>
    <x v="17"/>
    <b v="0"/>
    <x v="0"/>
    <x v="0"/>
    <s v="Normal Usage"/>
    <x v="0"/>
    <x v="1"/>
    <x v="0"/>
    <s v="International Customer"/>
    <s v="Error"/>
    <s v="Available"/>
    <s v="Numeric"/>
  </r>
  <r>
    <x v="36"/>
    <b v="0"/>
    <x v="0"/>
    <x v="2"/>
    <s v="Normal Usage"/>
    <x v="0"/>
    <x v="0"/>
    <x v="0"/>
    <s v="Domestic Plan"/>
    <s v="Error"/>
    <s v="Available"/>
    <s v="Numeric"/>
  </r>
  <r>
    <x v="27"/>
    <b v="0"/>
    <x v="0"/>
    <x v="0"/>
    <s v="Normal Usage"/>
    <x v="2"/>
    <x v="0"/>
    <x v="0"/>
    <s v="Domestic Plan"/>
    <s v="Error"/>
    <s v="Available"/>
    <s v="Numeric"/>
  </r>
  <r>
    <x v="31"/>
    <b v="0"/>
    <x v="0"/>
    <x v="0"/>
    <s v="Normal Usage"/>
    <x v="0"/>
    <x v="0"/>
    <x v="0"/>
    <s v="Domestic Plan"/>
    <s v="Error"/>
    <s v="Available"/>
    <s v="Numeric"/>
  </r>
  <r>
    <x v="32"/>
    <b v="0"/>
    <x v="0"/>
    <x v="2"/>
    <s v="High Usage"/>
    <x v="0"/>
    <x v="1"/>
    <x v="0"/>
    <s v="Domestic Plan"/>
    <s v="Error"/>
    <s v="Available"/>
    <s v="Numeric"/>
  </r>
  <r>
    <x v="23"/>
    <b v="0"/>
    <x v="0"/>
    <x v="0"/>
    <s v="High Usage"/>
    <x v="0"/>
    <x v="0"/>
    <x v="0"/>
    <s v="Domestic Plan"/>
    <s v="Error"/>
    <s v="Available"/>
    <s v="Numeric"/>
  </r>
  <r>
    <x v="13"/>
    <b v="0"/>
    <x v="0"/>
    <x v="2"/>
    <s v="Normal Usage"/>
    <x v="0"/>
    <x v="0"/>
    <x v="0"/>
    <s v="Domestic Plan"/>
    <s v="Error"/>
    <s v="Available"/>
    <s v="Numeric"/>
  </r>
  <r>
    <x v="26"/>
    <b v="0"/>
    <x v="0"/>
    <x v="2"/>
    <s v="Normal Usage"/>
    <x v="0"/>
    <x v="0"/>
    <x v="0"/>
    <s v="Domestic Plan"/>
    <s v="Error"/>
    <s v="Available"/>
    <s v="Numeric"/>
  </r>
  <r>
    <x v="25"/>
    <b v="1"/>
    <x v="1"/>
    <x v="0"/>
    <s v="High Usage"/>
    <x v="1"/>
    <x v="0"/>
    <x v="0"/>
    <s v="Domestic Plan"/>
    <s v="Error"/>
    <s v="Available"/>
    <s v="Numeric"/>
  </r>
  <r>
    <x v="37"/>
    <b v="0"/>
    <x v="0"/>
    <x v="0"/>
    <s v="Normal Usage"/>
    <x v="0"/>
    <x v="1"/>
    <x v="0"/>
    <s v="Domestic Plan"/>
    <s v="Error"/>
    <s v="Available"/>
    <s v="Numeric"/>
  </r>
  <r>
    <x v="38"/>
    <b v="0"/>
    <x v="0"/>
    <x v="0"/>
    <s v="Normal Usage"/>
    <x v="2"/>
    <x v="0"/>
    <x v="0"/>
    <s v="Domestic Plan"/>
    <s v="Error"/>
    <s v="Available"/>
    <s v="Numeric"/>
  </r>
  <r>
    <x v="19"/>
    <b v="0"/>
    <x v="0"/>
    <x v="2"/>
    <s v="Normal Usage"/>
    <x v="0"/>
    <x v="0"/>
    <x v="0"/>
    <s v="Domestic Plan"/>
    <s v="Error"/>
    <s v="Available"/>
    <s v="Numeric"/>
  </r>
  <r>
    <x v="16"/>
    <b v="0"/>
    <x v="0"/>
    <x v="2"/>
    <s v="Normal Usage"/>
    <x v="0"/>
    <x v="0"/>
    <x v="0"/>
    <s v="Domestic Plan"/>
    <s v="Error"/>
    <s v="Available"/>
    <s v="Numeric"/>
  </r>
  <r>
    <x v="39"/>
    <b v="0"/>
    <x v="0"/>
    <x v="0"/>
    <s v="High Usage"/>
    <x v="0"/>
    <x v="1"/>
    <x v="0"/>
    <s v="Domestic Plan"/>
    <s v="Error"/>
    <s v="Available"/>
    <s v="Numeric"/>
  </r>
  <r>
    <x v="13"/>
    <b v="0"/>
    <x v="0"/>
    <x v="0"/>
    <s v="Normal Usage"/>
    <x v="0"/>
    <x v="1"/>
    <x v="0"/>
    <s v="International Customer"/>
    <s v="Error"/>
    <s v="Available"/>
    <s v="Numeric"/>
  </r>
  <r>
    <x v="16"/>
    <b v="0"/>
    <x v="0"/>
    <x v="1"/>
    <s v="Normal Usage"/>
    <x v="2"/>
    <x v="0"/>
    <x v="1"/>
    <s v="Domestic Plan"/>
    <s v="Error"/>
    <s v="Available"/>
    <s v="Numeric"/>
  </r>
  <r>
    <x v="6"/>
    <b v="0"/>
    <x v="0"/>
    <x v="0"/>
    <s v="Normal Usage"/>
    <x v="2"/>
    <x v="0"/>
    <x v="0"/>
    <s v="Domestic Plan"/>
    <s v="Error"/>
    <s v="Available"/>
    <s v="Numeric"/>
  </r>
  <r>
    <x v="26"/>
    <b v="0"/>
    <x v="0"/>
    <x v="2"/>
    <s v="Normal Usage"/>
    <x v="0"/>
    <x v="0"/>
    <x v="0"/>
    <s v="Domestic Plan"/>
    <s v="Error"/>
    <s v="Available"/>
    <s v="Numeric"/>
  </r>
  <r>
    <x v="7"/>
    <b v="0"/>
    <x v="0"/>
    <x v="1"/>
    <s v="Normal Usage"/>
    <x v="1"/>
    <x v="1"/>
    <x v="1"/>
    <s v="Domestic Plan"/>
    <s v="Error"/>
    <s v="Available"/>
    <s v="Numeric"/>
  </r>
  <r>
    <x v="22"/>
    <b v="0"/>
    <x v="0"/>
    <x v="2"/>
    <s v="Normal Usage"/>
    <x v="0"/>
    <x v="0"/>
    <x v="0"/>
    <s v="Domestic Plan"/>
    <s v="Error"/>
    <s v="Available"/>
    <s v="Numeric"/>
  </r>
  <r>
    <x v="32"/>
    <b v="0"/>
    <x v="0"/>
    <x v="2"/>
    <s v="Normal Usage"/>
    <x v="0"/>
    <x v="0"/>
    <x v="0"/>
    <s v="Domestic Plan"/>
    <s v="Error"/>
    <s v="Available"/>
    <s v="Numeric"/>
  </r>
  <r>
    <x v="0"/>
    <b v="0"/>
    <x v="0"/>
    <x v="0"/>
    <s v="Normal Usage"/>
    <x v="0"/>
    <x v="1"/>
    <x v="0"/>
    <s v="Domestic Plan"/>
    <s v="Error"/>
    <s v="Available"/>
    <s v="Numeric"/>
  </r>
  <r>
    <x v="16"/>
    <b v="0"/>
    <x v="0"/>
    <x v="0"/>
    <s v="Normal Usage"/>
    <x v="2"/>
    <x v="0"/>
    <x v="0"/>
    <s v="Domestic Plan"/>
    <s v="Error"/>
    <s v="Available"/>
    <s v="Numeric"/>
  </r>
  <r>
    <x v="35"/>
    <b v="0"/>
    <x v="0"/>
    <x v="1"/>
    <s v="Normal Usage"/>
    <x v="2"/>
    <x v="0"/>
    <x v="1"/>
    <s v="Domestic Plan"/>
    <s v="Error"/>
    <s v="Available"/>
    <s v="Numeric"/>
  </r>
  <r>
    <x v="20"/>
    <b v="0"/>
    <x v="0"/>
    <x v="0"/>
    <s v="Normal Usage"/>
    <x v="0"/>
    <x v="1"/>
    <x v="0"/>
    <s v="Domestic Plan"/>
    <s v="Error"/>
    <s v="Available"/>
    <s v="Numeric"/>
  </r>
  <r>
    <x v="16"/>
    <b v="0"/>
    <x v="0"/>
    <x v="1"/>
    <s v="Normal Usage"/>
    <x v="2"/>
    <x v="1"/>
    <x v="1"/>
    <s v="Domestic Plan"/>
    <s v="Error"/>
    <s v="Available"/>
    <s v="Numeric"/>
  </r>
  <r>
    <x v="6"/>
    <b v="0"/>
    <x v="0"/>
    <x v="2"/>
    <s v="High Usage"/>
    <x v="0"/>
    <x v="1"/>
    <x v="0"/>
    <s v="Domestic Plan"/>
    <s v="Error"/>
    <s v="Available"/>
    <s v="Numeric"/>
  </r>
  <r>
    <x v="38"/>
    <b v="0"/>
    <x v="0"/>
    <x v="0"/>
    <s v="Normal Usage"/>
    <x v="0"/>
    <x v="0"/>
    <x v="0"/>
    <s v="Domestic Plan"/>
    <s v="Error"/>
    <s v="Available"/>
    <s v="Numeric"/>
  </r>
  <r>
    <x v="13"/>
    <b v="0"/>
    <x v="0"/>
    <x v="2"/>
    <s v="High Usage"/>
    <x v="0"/>
    <x v="1"/>
    <x v="0"/>
    <s v="International Customer"/>
    <s v="Error"/>
    <s v="Available"/>
    <s v="Numeric"/>
  </r>
  <r>
    <x v="1"/>
    <b v="0"/>
    <x v="0"/>
    <x v="2"/>
    <s v="High Usage"/>
    <x v="0"/>
    <x v="0"/>
    <x v="0"/>
    <s v="Domestic Plan"/>
    <s v="Error"/>
    <s v="Available"/>
    <s v="Numeric"/>
  </r>
  <r>
    <x v="22"/>
    <b v="1"/>
    <x v="1"/>
    <x v="0"/>
    <s v="Normal Usage"/>
    <x v="1"/>
    <x v="1"/>
    <x v="0"/>
    <s v="International Customer"/>
    <s v="Error"/>
    <s v="Available"/>
    <s v="Numeric"/>
  </r>
  <r>
    <x v="35"/>
    <b v="0"/>
    <x v="0"/>
    <x v="0"/>
    <s v="Normal Usage"/>
    <x v="2"/>
    <x v="1"/>
    <x v="0"/>
    <s v="Domestic Plan"/>
    <s v="Error"/>
    <s v="Available"/>
    <s v="Numeric"/>
  </r>
  <r>
    <x v="40"/>
    <b v="1"/>
    <x v="1"/>
    <x v="1"/>
    <s v="Normal Usage"/>
    <x v="1"/>
    <x v="1"/>
    <x v="1"/>
    <s v="International Customer"/>
    <s v="Error"/>
    <s v="Available"/>
    <s v="Numeric"/>
  </r>
  <r>
    <x v="32"/>
    <b v="0"/>
    <x v="0"/>
    <x v="1"/>
    <s v="Normal Usage"/>
    <x v="2"/>
    <x v="1"/>
    <x v="1"/>
    <s v="Domestic Plan"/>
    <s v="Error"/>
    <s v="Available"/>
    <s v="Numeric"/>
  </r>
  <r>
    <x v="21"/>
    <b v="1"/>
    <x v="1"/>
    <x v="1"/>
    <s v="Normal Usage"/>
    <x v="1"/>
    <x v="0"/>
    <x v="1"/>
    <s v="Domestic Plan"/>
    <s v="Error"/>
    <s v="Available"/>
    <s v="Numeric"/>
  </r>
  <r>
    <x v="33"/>
    <b v="0"/>
    <x v="0"/>
    <x v="0"/>
    <s v="Normal Usage"/>
    <x v="2"/>
    <x v="0"/>
    <x v="0"/>
    <s v="Domestic Plan"/>
    <s v="Error"/>
    <s v="Available"/>
    <s v="Numeric"/>
  </r>
  <r>
    <x v="41"/>
    <b v="0"/>
    <x v="0"/>
    <x v="0"/>
    <s v="High Usage"/>
    <x v="0"/>
    <x v="0"/>
    <x v="0"/>
    <s v="Domestic Plan"/>
    <s v="Error"/>
    <s v="Available"/>
    <s v="Numeric"/>
  </r>
  <r>
    <x v="42"/>
    <b v="0"/>
    <x v="0"/>
    <x v="2"/>
    <s v="Normal Usage"/>
    <x v="0"/>
    <x v="1"/>
    <x v="0"/>
    <s v="Domestic Plan"/>
    <s v="Error"/>
    <s v="Available"/>
    <s v="Numeric"/>
  </r>
  <r>
    <x v="0"/>
    <b v="0"/>
    <x v="0"/>
    <x v="1"/>
    <s v="Normal Usage"/>
    <x v="1"/>
    <x v="0"/>
    <x v="1"/>
    <s v="Domestic Plan"/>
    <s v="Error"/>
    <s v="Available"/>
    <s v="Numeric"/>
  </r>
  <r>
    <x v="25"/>
    <b v="0"/>
    <x v="0"/>
    <x v="2"/>
    <s v="High Usage"/>
    <x v="0"/>
    <x v="0"/>
    <x v="0"/>
    <s v="Domestic Plan"/>
    <s v="Error"/>
    <s v="Available"/>
    <s v="Numeric"/>
  </r>
  <r>
    <x v="35"/>
    <b v="0"/>
    <x v="0"/>
    <x v="2"/>
    <s v="Normal Usage"/>
    <x v="0"/>
    <x v="1"/>
    <x v="0"/>
    <s v="Domestic Plan"/>
    <s v="Error"/>
    <s v="Available"/>
    <s v="Numeric"/>
  </r>
  <r>
    <x v="31"/>
    <b v="0"/>
    <x v="0"/>
    <x v="1"/>
    <s v="High Usage"/>
    <x v="1"/>
    <x v="0"/>
    <x v="1"/>
    <s v="Domestic Plan"/>
    <s v="Error"/>
    <s v="Available"/>
    <s v="Numeric"/>
  </r>
  <r>
    <x v="43"/>
    <b v="0"/>
    <x v="0"/>
    <x v="1"/>
    <s v="Normal Usage"/>
    <x v="2"/>
    <x v="1"/>
    <x v="1"/>
    <s v="Domestic Plan"/>
    <s v="Error"/>
    <s v="Available"/>
    <s v="Numeric"/>
  </r>
  <r>
    <x v="9"/>
    <b v="1"/>
    <x v="1"/>
    <x v="0"/>
    <s v="Normal Usage"/>
    <x v="1"/>
    <x v="1"/>
    <x v="0"/>
    <s v="International Customer"/>
    <s v="Error"/>
    <s v="Available"/>
    <s v="Numeric"/>
  </r>
  <r>
    <x v="11"/>
    <b v="1"/>
    <x v="1"/>
    <x v="1"/>
    <s v="Normal Usage"/>
    <x v="1"/>
    <x v="1"/>
    <x v="1"/>
    <s v="International Customer"/>
    <s v="Error"/>
    <s v="Available"/>
    <s v="Numeric"/>
  </r>
  <r>
    <x v="2"/>
    <b v="0"/>
    <x v="0"/>
    <x v="0"/>
    <s v="High Usage"/>
    <x v="2"/>
    <x v="0"/>
    <x v="0"/>
    <s v="Domestic Plan"/>
    <s v="Error"/>
    <s v="Available"/>
    <s v="Numeric"/>
  </r>
  <r>
    <x v="11"/>
    <b v="0"/>
    <x v="0"/>
    <x v="0"/>
    <s v="Normal Usage"/>
    <x v="0"/>
    <x v="0"/>
    <x v="0"/>
    <s v="Domestic Plan"/>
    <s v="Error"/>
    <s v="Available"/>
    <s v="Numeric"/>
  </r>
  <r>
    <x v="16"/>
    <b v="0"/>
    <x v="0"/>
    <x v="0"/>
    <s v="Normal Usage"/>
    <x v="2"/>
    <x v="1"/>
    <x v="0"/>
    <s v="Domestic Plan"/>
    <s v="Error"/>
    <s v="Available"/>
    <s v="Numeric"/>
  </r>
  <r>
    <x v="44"/>
    <b v="1"/>
    <x v="1"/>
    <x v="0"/>
    <s v="High Usage"/>
    <x v="1"/>
    <x v="0"/>
    <x v="0"/>
    <s v="Domestic Plan"/>
    <s v="Error"/>
    <s v="Available"/>
    <s v="Numeric"/>
  </r>
  <r>
    <x v="33"/>
    <b v="1"/>
    <x v="1"/>
    <x v="1"/>
    <s v="Normal Usage"/>
    <x v="1"/>
    <x v="0"/>
    <x v="1"/>
    <s v="Domestic Plan"/>
    <s v="Error"/>
    <s v="Available"/>
    <s v="Numeric"/>
  </r>
  <r>
    <x v="9"/>
    <b v="0"/>
    <x v="0"/>
    <x v="0"/>
    <s v="Normal Usage"/>
    <x v="0"/>
    <x v="1"/>
    <x v="0"/>
    <s v="Domestic Plan"/>
    <s v="Error"/>
    <s v="Available"/>
    <s v="Numeric"/>
  </r>
  <r>
    <x v="45"/>
    <b v="0"/>
    <x v="0"/>
    <x v="0"/>
    <s v="Normal Usage"/>
    <x v="0"/>
    <x v="0"/>
    <x v="0"/>
    <s v="Domestic Plan"/>
    <s v="Error"/>
    <s v="Available"/>
    <s v="Numeric"/>
  </r>
  <r>
    <x v="2"/>
    <b v="0"/>
    <x v="0"/>
    <x v="0"/>
    <s v="Normal Usage"/>
    <x v="2"/>
    <x v="0"/>
    <x v="0"/>
    <s v="Domestic Plan"/>
    <s v="Error"/>
    <s v="Available"/>
    <s v="Numeric"/>
  </r>
  <r>
    <x v="24"/>
    <b v="0"/>
    <x v="0"/>
    <x v="0"/>
    <s v="Normal Usage"/>
    <x v="0"/>
    <x v="0"/>
    <x v="0"/>
    <s v="Domestic Plan"/>
    <s v="Error"/>
    <s v="Available"/>
    <s v="Numeric"/>
  </r>
  <r>
    <x v="31"/>
    <b v="0"/>
    <x v="0"/>
    <x v="0"/>
    <s v="Normal Usage"/>
    <x v="0"/>
    <x v="1"/>
    <x v="0"/>
    <s v="Domestic Plan"/>
    <s v="Error"/>
    <s v="Available"/>
    <s v="Numeric"/>
  </r>
  <r>
    <x v="28"/>
    <b v="0"/>
    <x v="0"/>
    <x v="1"/>
    <s v="Normal Usage"/>
    <x v="2"/>
    <x v="0"/>
    <x v="1"/>
    <s v="Domestic Plan"/>
    <s v="Error"/>
    <s v="Available"/>
    <s v="Numeric"/>
  </r>
  <r>
    <x v="45"/>
    <b v="0"/>
    <x v="0"/>
    <x v="1"/>
    <s v="High Usage"/>
    <x v="1"/>
    <x v="0"/>
    <x v="1"/>
    <s v="Domestic Plan"/>
    <s v="Error"/>
    <s v="Available"/>
    <s v="Numeric"/>
  </r>
  <r>
    <x v="38"/>
    <b v="1"/>
    <x v="1"/>
    <x v="0"/>
    <s v="Normal Usage"/>
    <x v="1"/>
    <x v="1"/>
    <x v="0"/>
    <s v="International Customer"/>
    <s v="Error"/>
    <s v="Available"/>
    <s v="Numeric"/>
  </r>
  <r>
    <x v="18"/>
    <b v="0"/>
    <x v="0"/>
    <x v="0"/>
    <s v="Normal Usage"/>
    <x v="2"/>
    <x v="1"/>
    <x v="0"/>
    <s v="International Customer"/>
    <s v="Error"/>
    <s v="Available"/>
    <s v="Numeric"/>
  </r>
  <r>
    <x v="29"/>
    <b v="0"/>
    <x v="0"/>
    <x v="1"/>
    <s v="Normal Usage"/>
    <x v="2"/>
    <x v="0"/>
    <x v="1"/>
    <s v="Domestic Plan"/>
    <s v="Error"/>
    <s v="Available"/>
    <s v="Numeric"/>
  </r>
  <r>
    <x v="40"/>
    <b v="0"/>
    <x v="0"/>
    <x v="0"/>
    <s v="Normal Usage"/>
    <x v="2"/>
    <x v="1"/>
    <x v="0"/>
    <s v="Domestic Plan"/>
    <s v="Error"/>
    <s v="Available"/>
    <s v="Numeric"/>
  </r>
  <r>
    <x v="0"/>
    <b v="0"/>
    <x v="0"/>
    <x v="1"/>
    <s v="High Usage"/>
    <x v="1"/>
    <x v="0"/>
    <x v="1"/>
    <s v="Domestic Plan"/>
    <s v="Error"/>
    <s v="Available"/>
    <s v="Numeric"/>
  </r>
  <r>
    <x v="30"/>
    <b v="0"/>
    <x v="0"/>
    <x v="0"/>
    <s v="Normal Usage"/>
    <x v="0"/>
    <x v="0"/>
    <x v="0"/>
    <s v="Domestic Plan"/>
    <s v="Error"/>
    <s v="Available"/>
    <s v="Numeric"/>
  </r>
  <r>
    <x v="46"/>
    <b v="0"/>
    <x v="0"/>
    <x v="0"/>
    <s v="Normal Usage"/>
    <x v="2"/>
    <x v="0"/>
    <x v="0"/>
    <s v="Domestic Plan"/>
    <s v="Error"/>
    <s v="Available"/>
    <s v="Numeric"/>
  </r>
  <r>
    <x v="44"/>
    <b v="0"/>
    <x v="0"/>
    <x v="2"/>
    <s v="Normal Usage"/>
    <x v="0"/>
    <x v="1"/>
    <x v="0"/>
    <s v="Domestic Plan"/>
    <s v="Error"/>
    <s v="Available"/>
    <s v="Numeric"/>
  </r>
  <r>
    <x v="47"/>
    <b v="0"/>
    <x v="0"/>
    <x v="1"/>
    <s v="High Usage"/>
    <x v="1"/>
    <x v="1"/>
    <x v="1"/>
    <s v="Domestic Plan"/>
    <s v="Error"/>
    <s v="Available"/>
    <s v="Numeric"/>
  </r>
  <r>
    <x v="17"/>
    <b v="1"/>
    <x v="1"/>
    <x v="1"/>
    <s v="Normal Usage"/>
    <x v="1"/>
    <x v="0"/>
    <x v="1"/>
    <s v="Domestic Plan"/>
    <s v="Error"/>
    <s v="Available"/>
    <s v="Numeric"/>
  </r>
  <r>
    <x v="10"/>
    <b v="0"/>
    <x v="0"/>
    <x v="2"/>
    <s v="Normal Usage"/>
    <x v="0"/>
    <x v="0"/>
    <x v="0"/>
    <s v="Domestic Plan"/>
    <s v="Error"/>
    <s v="Available"/>
    <s v="Numeric"/>
  </r>
  <r>
    <x v="12"/>
    <b v="1"/>
    <x v="1"/>
    <x v="0"/>
    <s v="Normal Usage"/>
    <x v="1"/>
    <x v="0"/>
    <x v="0"/>
    <s v="Domestic Plan"/>
    <s v="Error"/>
    <s v="Available"/>
    <s v="Numeric"/>
  </r>
  <r>
    <x v="32"/>
    <b v="0"/>
    <x v="0"/>
    <x v="0"/>
    <s v="Normal Usage"/>
    <x v="0"/>
    <x v="1"/>
    <x v="0"/>
    <s v="Domestic Plan"/>
    <s v="Error"/>
    <s v="Available"/>
    <s v="Numeric"/>
  </r>
  <r>
    <x v="12"/>
    <b v="0"/>
    <x v="0"/>
    <x v="2"/>
    <s v="Normal Usage"/>
    <x v="0"/>
    <x v="0"/>
    <x v="0"/>
    <s v="Domestic Plan"/>
    <s v="Error"/>
    <s v="Available"/>
    <s v="Numeric"/>
  </r>
  <r>
    <x v="44"/>
    <b v="0"/>
    <x v="0"/>
    <x v="0"/>
    <s v="High Usage"/>
    <x v="0"/>
    <x v="1"/>
    <x v="0"/>
    <s v="Domestic Plan"/>
    <s v="Error"/>
    <s v="Available"/>
    <s v="Numeric"/>
  </r>
  <r>
    <x v="34"/>
    <b v="0"/>
    <x v="0"/>
    <x v="0"/>
    <s v="Normal Usage"/>
    <x v="2"/>
    <x v="1"/>
    <x v="0"/>
    <s v="Domestic Plan"/>
    <s v="Error"/>
    <s v="Available"/>
    <s v="Numeric"/>
  </r>
  <r>
    <x v="36"/>
    <b v="0"/>
    <x v="0"/>
    <x v="0"/>
    <s v="Normal Usage"/>
    <x v="0"/>
    <x v="0"/>
    <x v="0"/>
    <s v="Domestic Plan"/>
    <s v="Error"/>
    <s v="Available"/>
    <s v="Numeric"/>
  </r>
  <r>
    <x v="0"/>
    <b v="0"/>
    <x v="0"/>
    <x v="0"/>
    <s v="High Usage"/>
    <x v="0"/>
    <x v="0"/>
    <x v="0"/>
    <s v="Domestic Plan"/>
    <s v="Error"/>
    <s v="Available"/>
    <s v="Numeric"/>
  </r>
  <r>
    <x v="30"/>
    <b v="0"/>
    <x v="0"/>
    <x v="0"/>
    <s v="Normal Usage"/>
    <x v="0"/>
    <x v="0"/>
    <x v="0"/>
    <s v="Domestic Plan"/>
    <s v="Error"/>
    <s v="Available"/>
    <s v="Numeric"/>
  </r>
  <r>
    <x v="44"/>
    <b v="0"/>
    <x v="0"/>
    <x v="2"/>
    <s v="Normal Usage"/>
    <x v="0"/>
    <x v="0"/>
    <x v="0"/>
    <s v="Domestic Plan"/>
    <s v="Error"/>
    <s v="Available"/>
    <s v="Numeric"/>
  </r>
  <r>
    <x v="46"/>
    <b v="0"/>
    <x v="0"/>
    <x v="0"/>
    <s v="Normal Usage"/>
    <x v="0"/>
    <x v="0"/>
    <x v="0"/>
    <s v="Domestic Plan"/>
    <s v="Error"/>
    <s v="Available"/>
    <s v="Numeric"/>
  </r>
  <r>
    <x v="5"/>
    <b v="0"/>
    <x v="0"/>
    <x v="1"/>
    <s v="Normal Usage"/>
    <x v="2"/>
    <x v="0"/>
    <x v="1"/>
    <s v="Domestic Plan"/>
    <s v="Error"/>
    <s v="Available"/>
    <s v="Numeric"/>
  </r>
  <r>
    <x v="40"/>
    <b v="0"/>
    <x v="0"/>
    <x v="1"/>
    <s v="Normal Usage"/>
    <x v="1"/>
    <x v="0"/>
    <x v="1"/>
    <s v="Domestic Plan"/>
    <s v="Error"/>
    <s v="Available"/>
    <s v="Numeric"/>
  </r>
  <r>
    <x v="10"/>
    <b v="0"/>
    <x v="0"/>
    <x v="1"/>
    <s v="High Usage"/>
    <x v="1"/>
    <x v="1"/>
    <x v="1"/>
    <s v="Domestic Plan"/>
    <s v="Error"/>
    <s v="Available"/>
    <s v="Numeric"/>
  </r>
  <r>
    <x v="30"/>
    <b v="0"/>
    <x v="0"/>
    <x v="0"/>
    <s v="Normal Usage"/>
    <x v="2"/>
    <x v="0"/>
    <x v="0"/>
    <s v="Domestic Plan"/>
    <s v="Error"/>
    <s v="Available"/>
    <s v="Numeric"/>
  </r>
  <r>
    <x v="42"/>
    <b v="0"/>
    <x v="0"/>
    <x v="1"/>
    <s v="Normal Usage"/>
    <x v="2"/>
    <x v="1"/>
    <x v="1"/>
    <s v="Domestic Plan"/>
    <s v="Error"/>
    <s v="Available"/>
    <s v="Numeric"/>
  </r>
  <r>
    <x v="9"/>
    <b v="0"/>
    <x v="0"/>
    <x v="1"/>
    <s v="Normal Usage"/>
    <x v="2"/>
    <x v="0"/>
    <x v="1"/>
    <s v="Domestic Plan"/>
    <s v="Error"/>
    <s v="Available"/>
    <s v="Numeric"/>
  </r>
  <r>
    <x v="47"/>
    <b v="0"/>
    <x v="0"/>
    <x v="0"/>
    <s v="Normal Usage"/>
    <x v="0"/>
    <x v="0"/>
    <x v="0"/>
    <s v="Domestic Plan"/>
    <s v="Error"/>
    <s v="Available"/>
    <s v="Numeric"/>
  </r>
  <r>
    <x v="18"/>
    <b v="0"/>
    <x v="0"/>
    <x v="2"/>
    <s v="Normal Usage"/>
    <x v="0"/>
    <x v="0"/>
    <x v="0"/>
    <s v="Domestic Plan"/>
    <s v="Error"/>
    <s v="Available"/>
    <s v="Numeric"/>
  </r>
  <r>
    <x v="7"/>
    <b v="0"/>
    <x v="0"/>
    <x v="0"/>
    <s v="Normal Usage"/>
    <x v="2"/>
    <x v="1"/>
    <x v="0"/>
    <s v="International Customer"/>
    <s v="Error"/>
    <s v="Available"/>
    <s v="Numeric"/>
  </r>
  <r>
    <x v="8"/>
    <b v="0"/>
    <x v="0"/>
    <x v="0"/>
    <s v="High Usage"/>
    <x v="2"/>
    <x v="0"/>
    <x v="0"/>
    <s v="Domestic Plan"/>
    <s v="Error"/>
    <s v="Available"/>
    <s v="Numeric"/>
  </r>
  <r>
    <x v="44"/>
    <b v="1"/>
    <x v="1"/>
    <x v="0"/>
    <s v="Normal Usage"/>
    <x v="1"/>
    <x v="1"/>
    <x v="0"/>
    <s v="International Customer"/>
    <s v="Error"/>
    <s v="Available"/>
    <s v="Numeric"/>
  </r>
  <r>
    <x v="37"/>
    <b v="1"/>
    <x v="1"/>
    <x v="1"/>
    <s v="Normal Usage"/>
    <x v="1"/>
    <x v="1"/>
    <x v="1"/>
    <s v="Domestic Plan"/>
    <s v="Error"/>
    <s v="Available"/>
    <s v="Numeric"/>
  </r>
  <r>
    <x v="42"/>
    <b v="0"/>
    <x v="0"/>
    <x v="0"/>
    <s v="High Usage"/>
    <x v="0"/>
    <x v="0"/>
    <x v="0"/>
    <s v="Domestic Plan"/>
    <s v="Error"/>
    <s v="Available"/>
    <s v="Numeric"/>
  </r>
  <r>
    <x v="27"/>
    <b v="0"/>
    <x v="0"/>
    <x v="0"/>
    <s v="High Usage"/>
    <x v="2"/>
    <x v="1"/>
    <x v="0"/>
    <s v="Domestic Plan"/>
    <s v="Error"/>
    <s v="Available"/>
    <s v="Numeric"/>
  </r>
  <r>
    <x v="40"/>
    <b v="0"/>
    <x v="0"/>
    <x v="2"/>
    <s v="Normal Usage"/>
    <x v="0"/>
    <x v="1"/>
    <x v="0"/>
    <s v="Domestic Plan"/>
    <s v="Error"/>
    <s v="Available"/>
    <s v="Numeric"/>
  </r>
  <r>
    <x v="24"/>
    <b v="0"/>
    <x v="0"/>
    <x v="0"/>
    <s v="Normal Usage"/>
    <x v="0"/>
    <x v="1"/>
    <x v="0"/>
    <s v="International Customer"/>
    <s v="Error"/>
    <s v="Available"/>
    <s v="Numeric"/>
  </r>
  <r>
    <x v="26"/>
    <b v="0"/>
    <x v="0"/>
    <x v="0"/>
    <s v="Normal Usage"/>
    <x v="2"/>
    <x v="0"/>
    <x v="0"/>
    <s v="Domestic Plan"/>
    <s v="Error"/>
    <s v="Available"/>
    <s v="Numeric"/>
  </r>
  <r>
    <x v="0"/>
    <b v="0"/>
    <x v="0"/>
    <x v="0"/>
    <s v="Normal Usage"/>
    <x v="2"/>
    <x v="1"/>
    <x v="0"/>
    <s v="Domestic Plan"/>
    <s v="Error"/>
    <s v="Available"/>
    <s v="Numeric"/>
  </r>
  <r>
    <x v="48"/>
    <b v="0"/>
    <x v="0"/>
    <x v="2"/>
    <s v="Normal Usage"/>
    <x v="0"/>
    <x v="1"/>
    <x v="0"/>
    <s v="Domestic Plan"/>
    <s v="Error"/>
    <s v="Available"/>
    <s v="Numeric"/>
  </r>
  <r>
    <x v="9"/>
    <b v="1"/>
    <x v="1"/>
    <x v="1"/>
    <s v="Normal Usage"/>
    <x v="1"/>
    <x v="1"/>
    <x v="1"/>
    <s v="International Customer"/>
    <s v="Error"/>
    <s v="Available"/>
    <s v="Numeric"/>
  </r>
  <r>
    <x v="12"/>
    <b v="0"/>
    <x v="0"/>
    <x v="0"/>
    <s v="Normal Usage"/>
    <x v="0"/>
    <x v="0"/>
    <x v="0"/>
    <s v="Domestic Plan"/>
    <s v="Error"/>
    <s v="Available"/>
    <s v="Numeric"/>
  </r>
  <r>
    <x v="46"/>
    <b v="0"/>
    <x v="0"/>
    <x v="0"/>
    <s v="Normal Usage"/>
    <x v="2"/>
    <x v="1"/>
    <x v="0"/>
    <s v="International Customer"/>
    <s v="Error"/>
    <s v="Available"/>
    <s v="Numeric"/>
  </r>
  <r>
    <x v="9"/>
    <b v="0"/>
    <x v="0"/>
    <x v="0"/>
    <s v="Normal Usage"/>
    <x v="0"/>
    <x v="1"/>
    <x v="0"/>
    <s v="Domestic Plan"/>
    <s v="Error"/>
    <s v="Available"/>
    <s v="Numeric"/>
  </r>
  <r>
    <x v="21"/>
    <b v="0"/>
    <x v="0"/>
    <x v="0"/>
    <s v="Normal Usage"/>
    <x v="0"/>
    <x v="1"/>
    <x v="0"/>
    <s v="Domestic Plan"/>
    <s v="Error"/>
    <s v="Available"/>
    <s v="Numeric"/>
  </r>
  <r>
    <x v="16"/>
    <b v="0"/>
    <x v="0"/>
    <x v="2"/>
    <s v="Normal Usage"/>
    <x v="0"/>
    <x v="1"/>
    <x v="0"/>
    <s v="International Customer"/>
    <s v="Error"/>
    <s v="Available"/>
    <s v="Numeric"/>
  </r>
  <r>
    <x v="11"/>
    <b v="0"/>
    <x v="0"/>
    <x v="0"/>
    <s v="Normal Usage"/>
    <x v="2"/>
    <x v="0"/>
    <x v="0"/>
    <s v="Domestic Plan"/>
    <s v="Error"/>
    <s v="Available"/>
    <s v="Numeric"/>
  </r>
  <r>
    <x v="8"/>
    <b v="1"/>
    <x v="1"/>
    <x v="0"/>
    <s v="Normal Usage"/>
    <x v="1"/>
    <x v="1"/>
    <x v="0"/>
    <s v="International Customer"/>
    <s v="Error"/>
    <s v="Available"/>
    <s v="Numeric"/>
  </r>
  <r>
    <x v="19"/>
    <b v="0"/>
    <x v="0"/>
    <x v="0"/>
    <s v="Normal Usage"/>
    <x v="0"/>
    <x v="0"/>
    <x v="0"/>
    <s v="Domestic Plan"/>
    <s v="Error"/>
    <s v="Available"/>
    <s v="Numeric"/>
  </r>
  <r>
    <x v="18"/>
    <b v="0"/>
    <x v="0"/>
    <x v="0"/>
    <s v="Normal Usage"/>
    <x v="0"/>
    <x v="1"/>
    <x v="0"/>
    <s v="Domestic Plan"/>
    <s v="Error"/>
    <s v="Available"/>
    <s v="Numeric"/>
  </r>
  <r>
    <x v="24"/>
    <b v="0"/>
    <x v="0"/>
    <x v="0"/>
    <s v="Normal Usage"/>
    <x v="0"/>
    <x v="0"/>
    <x v="0"/>
    <s v="Domestic Plan"/>
    <s v="Error"/>
    <s v="Available"/>
    <s v="Numeric"/>
  </r>
  <r>
    <x v="29"/>
    <b v="0"/>
    <x v="0"/>
    <x v="2"/>
    <s v="Normal Usage"/>
    <x v="0"/>
    <x v="0"/>
    <x v="0"/>
    <s v="Domestic Plan"/>
    <s v="Error"/>
    <s v="Available"/>
    <s v="Numeric"/>
  </r>
  <r>
    <x v="3"/>
    <b v="1"/>
    <x v="1"/>
    <x v="0"/>
    <s v="High Usage"/>
    <x v="1"/>
    <x v="0"/>
    <x v="0"/>
    <s v="Domestic Plan"/>
    <s v="Error"/>
    <s v="Available"/>
    <s v="Numeric"/>
  </r>
  <r>
    <x v="1"/>
    <b v="0"/>
    <x v="0"/>
    <x v="2"/>
    <s v="High Usage"/>
    <x v="0"/>
    <x v="0"/>
    <x v="0"/>
    <s v="Domestic Plan"/>
    <s v="Error"/>
    <s v="Available"/>
    <s v="Numeric"/>
  </r>
  <r>
    <x v="29"/>
    <b v="0"/>
    <x v="0"/>
    <x v="0"/>
    <s v="Normal Usage"/>
    <x v="0"/>
    <x v="1"/>
    <x v="0"/>
    <s v="Domestic Plan"/>
    <s v="Error"/>
    <s v="Available"/>
    <s v="Numeric"/>
  </r>
  <r>
    <x v="46"/>
    <b v="0"/>
    <x v="0"/>
    <x v="0"/>
    <s v="Normal Usage"/>
    <x v="0"/>
    <x v="1"/>
    <x v="0"/>
    <s v="Domestic Plan"/>
    <s v="Error"/>
    <s v="Available"/>
    <s v="Numeric"/>
  </r>
  <r>
    <x v="13"/>
    <b v="1"/>
    <x v="1"/>
    <x v="1"/>
    <s v="Normal Usage"/>
    <x v="1"/>
    <x v="1"/>
    <x v="1"/>
    <s v="International Customer"/>
    <s v="Error"/>
    <s v="Available"/>
    <s v="Numeric"/>
  </r>
  <r>
    <x v="21"/>
    <b v="0"/>
    <x v="0"/>
    <x v="0"/>
    <s v="Normal Usage"/>
    <x v="2"/>
    <x v="1"/>
    <x v="0"/>
    <s v="Domestic Plan"/>
    <s v="Error"/>
    <s v="Available"/>
    <s v="Numeric"/>
  </r>
  <r>
    <x v="28"/>
    <b v="0"/>
    <x v="0"/>
    <x v="0"/>
    <s v="Normal Usage"/>
    <x v="0"/>
    <x v="0"/>
    <x v="0"/>
    <s v="Domestic Plan"/>
    <s v="Error"/>
    <s v="Available"/>
    <s v="Numeric"/>
  </r>
  <r>
    <x v="17"/>
    <b v="0"/>
    <x v="0"/>
    <x v="1"/>
    <s v="Normal Usage"/>
    <x v="2"/>
    <x v="1"/>
    <x v="1"/>
    <s v="Domestic Plan"/>
    <s v="Error"/>
    <s v="Available"/>
    <s v="Numeric"/>
  </r>
  <r>
    <x v="19"/>
    <b v="0"/>
    <x v="0"/>
    <x v="0"/>
    <s v="Normal Usage"/>
    <x v="2"/>
    <x v="1"/>
    <x v="0"/>
    <s v="International Customer"/>
    <s v="Error"/>
    <s v="Available"/>
    <s v="Numeric"/>
  </r>
  <r>
    <x v="7"/>
    <b v="0"/>
    <x v="0"/>
    <x v="1"/>
    <s v="Normal Usage"/>
    <x v="1"/>
    <x v="1"/>
    <x v="1"/>
    <s v="Domestic Plan"/>
    <s v="Error"/>
    <s v="Available"/>
    <s v="Numeric"/>
  </r>
  <r>
    <x v="11"/>
    <b v="0"/>
    <x v="0"/>
    <x v="2"/>
    <s v="Normal Usage"/>
    <x v="0"/>
    <x v="0"/>
    <x v="0"/>
    <s v="Domestic Plan"/>
    <s v="Error"/>
    <s v="Available"/>
    <s v="Numeric"/>
  </r>
  <r>
    <x v="21"/>
    <b v="0"/>
    <x v="0"/>
    <x v="0"/>
    <s v="Normal Usage"/>
    <x v="2"/>
    <x v="1"/>
    <x v="0"/>
    <s v="International Customer"/>
    <s v="Error"/>
    <s v="Available"/>
    <s v="Numeric"/>
  </r>
  <r>
    <x v="8"/>
    <b v="0"/>
    <x v="0"/>
    <x v="0"/>
    <s v="High Usage"/>
    <x v="0"/>
    <x v="1"/>
    <x v="0"/>
    <s v="Domestic Plan"/>
    <s v="Error"/>
    <s v="Available"/>
    <s v="Numeric"/>
  </r>
  <r>
    <x v="11"/>
    <b v="0"/>
    <x v="0"/>
    <x v="2"/>
    <s v="Normal Usage"/>
    <x v="0"/>
    <x v="0"/>
    <x v="0"/>
    <s v="Domestic Plan"/>
    <s v="Error"/>
    <s v="Available"/>
    <s v="Numeric"/>
  </r>
  <r>
    <x v="27"/>
    <b v="0"/>
    <x v="0"/>
    <x v="0"/>
    <s v="Normal Usage"/>
    <x v="0"/>
    <x v="0"/>
    <x v="0"/>
    <s v="Domestic Plan"/>
    <s v="Error"/>
    <s v="Available"/>
    <s v="Numeric"/>
  </r>
  <r>
    <x v="14"/>
    <b v="0"/>
    <x v="0"/>
    <x v="0"/>
    <s v="Normal Usage"/>
    <x v="0"/>
    <x v="0"/>
    <x v="0"/>
    <s v="Domestic Plan"/>
    <s v="Error"/>
    <s v="Available"/>
    <s v="Numeric"/>
  </r>
  <r>
    <x v="44"/>
    <b v="0"/>
    <x v="0"/>
    <x v="0"/>
    <s v="Normal Usage"/>
    <x v="0"/>
    <x v="0"/>
    <x v="0"/>
    <s v="Domestic Plan"/>
    <s v="Error"/>
    <s v="Available"/>
    <s v="Numeric"/>
  </r>
  <r>
    <x v="39"/>
    <b v="0"/>
    <x v="0"/>
    <x v="0"/>
    <s v="High Usage"/>
    <x v="2"/>
    <x v="0"/>
    <x v="0"/>
    <s v="Domestic Plan"/>
    <s v="Error"/>
    <s v="Available"/>
    <s v="Numeric"/>
  </r>
  <r>
    <x v="49"/>
    <b v="0"/>
    <x v="0"/>
    <x v="0"/>
    <s v="Normal Usage"/>
    <x v="2"/>
    <x v="0"/>
    <x v="0"/>
    <s v="Domestic Plan"/>
    <s v="Error"/>
    <s v="Available"/>
    <s v="Numeric"/>
  </r>
  <r>
    <x v="10"/>
    <b v="0"/>
    <x v="0"/>
    <x v="0"/>
    <s v="Normal Usage"/>
    <x v="0"/>
    <x v="1"/>
    <x v="0"/>
    <s v="Domestic Plan"/>
    <s v="Error"/>
    <s v="Available"/>
    <s v="Numeric"/>
  </r>
  <r>
    <x v="11"/>
    <b v="0"/>
    <x v="0"/>
    <x v="1"/>
    <s v="Normal Usage"/>
    <x v="2"/>
    <x v="0"/>
    <x v="1"/>
    <s v="Domestic Plan"/>
    <s v="Error"/>
    <s v="Available"/>
    <s v="Numeric"/>
  </r>
  <r>
    <x v="5"/>
    <b v="0"/>
    <x v="0"/>
    <x v="0"/>
    <s v="Normal Usage"/>
    <x v="2"/>
    <x v="1"/>
    <x v="0"/>
    <s v="Domestic Plan"/>
    <s v="Error"/>
    <s v="Available"/>
    <s v="Numeric"/>
  </r>
  <r>
    <x v="17"/>
    <b v="0"/>
    <x v="0"/>
    <x v="0"/>
    <s v="Normal Usage"/>
    <x v="2"/>
    <x v="0"/>
    <x v="0"/>
    <s v="Domestic Plan"/>
    <s v="Error"/>
    <s v="Available"/>
    <s v="Numeric"/>
  </r>
  <r>
    <x v="27"/>
    <b v="0"/>
    <x v="0"/>
    <x v="2"/>
    <s v="Normal Usage"/>
    <x v="0"/>
    <x v="1"/>
    <x v="0"/>
    <s v="Domestic Plan"/>
    <s v="Error"/>
    <s v="Available"/>
    <s v="Numeric"/>
  </r>
  <r>
    <x v="47"/>
    <b v="0"/>
    <x v="0"/>
    <x v="0"/>
    <s v="Normal Usage"/>
    <x v="2"/>
    <x v="1"/>
    <x v="0"/>
    <s v="Domestic Plan"/>
    <s v="Error"/>
    <s v="Available"/>
    <s v="Numeric"/>
  </r>
  <r>
    <x v="42"/>
    <b v="0"/>
    <x v="0"/>
    <x v="1"/>
    <s v="Normal Usage"/>
    <x v="1"/>
    <x v="0"/>
    <x v="1"/>
    <s v="Domestic Plan"/>
    <s v="Error"/>
    <s v="Available"/>
    <s v="Numeric"/>
  </r>
  <r>
    <x v="42"/>
    <b v="1"/>
    <x v="1"/>
    <x v="0"/>
    <s v="Normal Usage"/>
    <x v="1"/>
    <x v="1"/>
    <x v="0"/>
    <s v="Domestic Plan"/>
    <s v="Error"/>
    <s v="Available"/>
    <s v="Numeric"/>
  </r>
  <r>
    <x v="48"/>
    <b v="0"/>
    <x v="0"/>
    <x v="1"/>
    <s v="Normal Usage"/>
    <x v="2"/>
    <x v="0"/>
    <x v="1"/>
    <s v="Domestic Plan"/>
    <s v="Error"/>
    <s v="Available"/>
    <s v="Numeric"/>
  </r>
  <r>
    <x v="36"/>
    <b v="1"/>
    <x v="1"/>
    <x v="2"/>
    <s v="High Usage"/>
    <x v="1"/>
    <x v="0"/>
    <x v="0"/>
    <s v="Domestic Plan"/>
    <s v="Error"/>
    <s v="Available"/>
    <s v="Numeric"/>
  </r>
  <r>
    <x v="26"/>
    <b v="0"/>
    <x v="0"/>
    <x v="1"/>
    <s v="Normal Usage"/>
    <x v="2"/>
    <x v="0"/>
    <x v="1"/>
    <s v="Domestic Plan"/>
    <s v="Error"/>
    <s v="Available"/>
    <s v="Numeric"/>
  </r>
  <r>
    <x v="6"/>
    <b v="0"/>
    <x v="0"/>
    <x v="0"/>
    <s v="Normal Usage"/>
    <x v="2"/>
    <x v="1"/>
    <x v="0"/>
    <s v="Domestic Plan"/>
    <s v="Error"/>
    <s v="Available"/>
    <s v="Numeric"/>
  </r>
  <r>
    <x v="27"/>
    <b v="0"/>
    <x v="0"/>
    <x v="0"/>
    <s v="Normal Usage"/>
    <x v="2"/>
    <x v="0"/>
    <x v="0"/>
    <s v="Domestic Plan"/>
    <s v="Error"/>
    <s v="Available"/>
    <s v="Numeric"/>
  </r>
  <r>
    <x v="33"/>
    <b v="0"/>
    <x v="0"/>
    <x v="2"/>
    <s v="Normal Usage"/>
    <x v="0"/>
    <x v="1"/>
    <x v="0"/>
    <s v="Domestic Plan"/>
    <s v="Error"/>
    <s v="Available"/>
    <s v="Numeric"/>
  </r>
  <r>
    <x v="46"/>
    <b v="0"/>
    <x v="0"/>
    <x v="0"/>
    <s v="High Usage"/>
    <x v="2"/>
    <x v="1"/>
    <x v="0"/>
    <s v="International Customer"/>
    <s v="Error"/>
    <s v="Available"/>
    <s v="Numeric"/>
  </r>
  <r>
    <x v="46"/>
    <b v="0"/>
    <x v="0"/>
    <x v="2"/>
    <s v="Normal Usage"/>
    <x v="0"/>
    <x v="0"/>
    <x v="0"/>
    <s v="Domestic Plan"/>
    <s v="Error"/>
    <s v="Available"/>
    <s v="Numeric"/>
  </r>
  <r>
    <x v="2"/>
    <b v="0"/>
    <x v="0"/>
    <x v="0"/>
    <s v="Normal Usage"/>
    <x v="0"/>
    <x v="0"/>
    <x v="0"/>
    <s v="Domestic Plan"/>
    <s v="Error"/>
    <s v="Available"/>
    <s v="Numeric"/>
  </r>
  <r>
    <x v="44"/>
    <b v="0"/>
    <x v="0"/>
    <x v="0"/>
    <s v="Normal Usage"/>
    <x v="0"/>
    <x v="0"/>
    <x v="0"/>
    <s v="Domestic Plan"/>
    <s v="Error"/>
    <s v="Available"/>
    <s v="Numeric"/>
  </r>
  <r>
    <x v="44"/>
    <b v="0"/>
    <x v="0"/>
    <x v="0"/>
    <s v="Normal Usage"/>
    <x v="0"/>
    <x v="0"/>
    <x v="0"/>
    <s v="Domestic Plan"/>
    <s v="Error"/>
    <s v="Available"/>
    <s v="Numeric"/>
  </r>
  <r>
    <x v="39"/>
    <b v="0"/>
    <x v="0"/>
    <x v="0"/>
    <s v="High Usage"/>
    <x v="0"/>
    <x v="1"/>
    <x v="0"/>
    <s v="Domestic Plan"/>
    <s v="Error"/>
    <s v="Available"/>
    <s v="Numeric"/>
  </r>
  <r>
    <x v="10"/>
    <b v="0"/>
    <x v="0"/>
    <x v="2"/>
    <s v="Normal Usage"/>
    <x v="0"/>
    <x v="0"/>
    <x v="0"/>
    <s v="Domestic Plan"/>
    <s v="Error"/>
    <s v="Available"/>
    <s v="Numeric"/>
  </r>
  <r>
    <x v="36"/>
    <b v="0"/>
    <x v="0"/>
    <x v="0"/>
    <s v="Normal Usage"/>
    <x v="2"/>
    <x v="0"/>
    <x v="0"/>
    <s v="Domestic Plan"/>
    <s v="Error"/>
    <s v="Available"/>
    <s v="Numeric"/>
  </r>
  <r>
    <x v="11"/>
    <b v="0"/>
    <x v="0"/>
    <x v="0"/>
    <s v="Normal Usage"/>
    <x v="2"/>
    <x v="0"/>
    <x v="0"/>
    <s v="Domestic Plan"/>
    <s v="Error"/>
    <s v="Available"/>
    <s v="Numeric"/>
  </r>
  <r>
    <x v="2"/>
    <b v="0"/>
    <x v="0"/>
    <x v="1"/>
    <s v="High Usage"/>
    <x v="1"/>
    <x v="1"/>
    <x v="1"/>
    <s v="International Customer"/>
    <s v="Error"/>
    <s v="Available"/>
    <s v="Numeric"/>
  </r>
  <r>
    <x v="26"/>
    <b v="0"/>
    <x v="0"/>
    <x v="1"/>
    <s v="Normal Usage"/>
    <x v="2"/>
    <x v="0"/>
    <x v="1"/>
    <s v="Domestic Plan"/>
    <s v="Error"/>
    <s v="Available"/>
    <s v="Numeric"/>
  </r>
  <r>
    <x v="25"/>
    <b v="0"/>
    <x v="0"/>
    <x v="0"/>
    <s v="Normal Usage"/>
    <x v="0"/>
    <x v="0"/>
    <x v="0"/>
    <s v="Domestic Plan"/>
    <s v="Error"/>
    <s v="Available"/>
    <s v="Numeric"/>
  </r>
  <r>
    <x v="30"/>
    <b v="0"/>
    <x v="0"/>
    <x v="2"/>
    <s v="High Usage"/>
    <x v="0"/>
    <x v="0"/>
    <x v="0"/>
    <s v="Domestic Plan"/>
    <s v="Error"/>
    <s v="Available"/>
    <s v="Numeric"/>
  </r>
  <r>
    <x v="46"/>
    <b v="0"/>
    <x v="0"/>
    <x v="0"/>
    <s v="Normal Usage"/>
    <x v="0"/>
    <x v="1"/>
    <x v="0"/>
    <s v="Domestic Plan"/>
    <s v="Error"/>
    <s v="Available"/>
    <s v="Numeric"/>
  </r>
  <r>
    <x v="45"/>
    <b v="0"/>
    <x v="0"/>
    <x v="0"/>
    <s v="High Usage"/>
    <x v="0"/>
    <x v="0"/>
    <x v="0"/>
    <s v="Domestic Plan"/>
    <s v="Error"/>
    <s v="Available"/>
    <s v="Numeric"/>
  </r>
  <r>
    <x v="2"/>
    <b v="0"/>
    <x v="0"/>
    <x v="0"/>
    <s v="Normal Usage"/>
    <x v="0"/>
    <x v="0"/>
    <x v="0"/>
    <s v="Domestic Plan"/>
    <s v="Error"/>
    <s v="Available"/>
    <s v="Numeric"/>
  </r>
  <r>
    <x v="28"/>
    <b v="0"/>
    <x v="0"/>
    <x v="0"/>
    <s v="Normal Usage"/>
    <x v="0"/>
    <x v="1"/>
    <x v="0"/>
    <s v="Domestic Plan"/>
    <s v="Error"/>
    <s v="Available"/>
    <s v="Numeric"/>
  </r>
  <r>
    <x v="2"/>
    <b v="1"/>
    <x v="1"/>
    <x v="1"/>
    <s v="Normal Usage"/>
    <x v="1"/>
    <x v="0"/>
    <x v="1"/>
    <s v="Domestic Plan"/>
    <s v="Error"/>
    <s v="Available"/>
    <s v="Numeric"/>
  </r>
  <r>
    <x v="40"/>
    <b v="1"/>
    <x v="1"/>
    <x v="2"/>
    <s v="High Usage"/>
    <x v="1"/>
    <x v="0"/>
    <x v="0"/>
    <s v="Domestic Plan"/>
    <s v="Error"/>
    <s v="Available"/>
    <s v="Numeric"/>
  </r>
  <r>
    <x v="32"/>
    <b v="0"/>
    <x v="0"/>
    <x v="1"/>
    <s v="High Usage"/>
    <x v="1"/>
    <x v="0"/>
    <x v="1"/>
    <s v="Domestic Plan"/>
    <s v="Error"/>
    <s v="Available"/>
    <s v="Numeric"/>
  </r>
  <r>
    <x v="37"/>
    <b v="0"/>
    <x v="0"/>
    <x v="1"/>
    <s v="High Usage"/>
    <x v="1"/>
    <x v="1"/>
    <x v="1"/>
    <s v="International Customer"/>
    <s v="Error"/>
    <s v="Available"/>
    <s v="Numeric"/>
  </r>
  <r>
    <x v="5"/>
    <b v="0"/>
    <x v="0"/>
    <x v="2"/>
    <s v="High Usage"/>
    <x v="0"/>
    <x v="0"/>
    <x v="0"/>
    <s v="Domestic Plan"/>
    <s v="Error"/>
    <s v="Available"/>
    <s v="Numeric"/>
  </r>
  <r>
    <x v="35"/>
    <b v="0"/>
    <x v="0"/>
    <x v="0"/>
    <s v="Normal Usage"/>
    <x v="0"/>
    <x v="0"/>
    <x v="0"/>
    <s v="Domestic Plan"/>
    <s v="Error"/>
    <s v="Available"/>
    <s v="Numeric"/>
  </r>
  <r>
    <x v="22"/>
    <b v="0"/>
    <x v="0"/>
    <x v="1"/>
    <s v="Normal Usage"/>
    <x v="1"/>
    <x v="0"/>
    <x v="1"/>
    <s v="Domestic Plan"/>
    <s v="Error"/>
    <s v="Available"/>
    <s v="Numeric"/>
  </r>
  <r>
    <x v="36"/>
    <b v="0"/>
    <x v="0"/>
    <x v="1"/>
    <s v="Normal Usage"/>
    <x v="2"/>
    <x v="1"/>
    <x v="1"/>
    <s v="Domestic Plan"/>
    <s v="Error"/>
    <s v="Available"/>
    <s v="Numeric"/>
  </r>
  <r>
    <x v="7"/>
    <b v="0"/>
    <x v="0"/>
    <x v="2"/>
    <s v="Normal Usage"/>
    <x v="0"/>
    <x v="0"/>
    <x v="0"/>
    <s v="Domestic Plan"/>
    <s v="Error"/>
    <s v="Available"/>
    <s v="Numeric"/>
  </r>
  <r>
    <x v="21"/>
    <b v="0"/>
    <x v="0"/>
    <x v="2"/>
    <s v="Normal Usage"/>
    <x v="0"/>
    <x v="0"/>
    <x v="0"/>
    <s v="Domestic Plan"/>
    <s v="Error"/>
    <s v="Available"/>
    <s v="Numeric"/>
  </r>
  <r>
    <x v="41"/>
    <b v="0"/>
    <x v="0"/>
    <x v="1"/>
    <s v="Normal Usage"/>
    <x v="2"/>
    <x v="0"/>
    <x v="1"/>
    <s v="Domestic Plan"/>
    <s v="Error"/>
    <s v="Available"/>
    <s v="Numeric"/>
  </r>
  <r>
    <x v="29"/>
    <b v="0"/>
    <x v="0"/>
    <x v="0"/>
    <s v="Normal Usage"/>
    <x v="0"/>
    <x v="1"/>
    <x v="0"/>
    <s v="International Customer"/>
    <s v="Error"/>
    <s v="Available"/>
    <s v="Numeric"/>
  </r>
  <r>
    <x v="14"/>
    <b v="0"/>
    <x v="0"/>
    <x v="0"/>
    <s v="Normal Usage"/>
    <x v="0"/>
    <x v="0"/>
    <x v="0"/>
    <s v="Domestic Plan"/>
    <s v="Error"/>
    <s v="Available"/>
    <s v="Numeric"/>
  </r>
  <r>
    <x v="6"/>
    <b v="1"/>
    <x v="1"/>
    <x v="1"/>
    <s v="Normal Usage"/>
    <x v="1"/>
    <x v="0"/>
    <x v="1"/>
    <s v="Domestic Plan"/>
    <s v="Error"/>
    <s v="Available"/>
    <s v="Numeric"/>
  </r>
  <r>
    <x v="2"/>
    <b v="0"/>
    <x v="0"/>
    <x v="0"/>
    <s v="Normal Usage"/>
    <x v="0"/>
    <x v="0"/>
    <x v="0"/>
    <s v="Domestic Plan"/>
    <s v="Error"/>
    <s v="Available"/>
    <s v="Numeric"/>
  </r>
  <r>
    <x v="30"/>
    <b v="0"/>
    <x v="0"/>
    <x v="2"/>
    <s v="Normal Usage"/>
    <x v="0"/>
    <x v="1"/>
    <x v="0"/>
    <s v="Domestic Plan"/>
    <s v="Error"/>
    <s v="Available"/>
    <s v="Numeric"/>
  </r>
  <r>
    <x v="45"/>
    <b v="0"/>
    <x v="0"/>
    <x v="0"/>
    <s v="Normal Usage"/>
    <x v="0"/>
    <x v="0"/>
    <x v="0"/>
    <s v="Domestic Plan"/>
    <s v="Error"/>
    <s v="Available"/>
    <s v="Numeric"/>
  </r>
  <r>
    <x v="6"/>
    <b v="0"/>
    <x v="0"/>
    <x v="2"/>
    <s v="Normal Usage"/>
    <x v="0"/>
    <x v="1"/>
    <x v="0"/>
    <s v="Domestic Plan"/>
    <s v="Error"/>
    <s v="Available"/>
    <s v="Numeric"/>
  </r>
  <r>
    <x v="23"/>
    <b v="0"/>
    <x v="0"/>
    <x v="0"/>
    <s v="Normal Usage"/>
    <x v="2"/>
    <x v="0"/>
    <x v="0"/>
    <s v="Domestic Plan"/>
    <s v="Error"/>
    <s v="Available"/>
    <s v="Numeric"/>
  </r>
  <r>
    <x v="18"/>
    <b v="0"/>
    <x v="0"/>
    <x v="0"/>
    <s v="Normal Usage"/>
    <x v="0"/>
    <x v="0"/>
    <x v="0"/>
    <s v="Domestic Plan"/>
    <s v="Error"/>
    <s v="Available"/>
    <s v="Numeric"/>
  </r>
  <r>
    <x v="2"/>
    <b v="0"/>
    <x v="0"/>
    <x v="1"/>
    <s v="Normal Usage"/>
    <x v="2"/>
    <x v="0"/>
    <x v="1"/>
    <s v="Domestic Plan"/>
    <s v="Error"/>
    <s v="Available"/>
    <s v="Numeric"/>
  </r>
  <r>
    <x v="43"/>
    <b v="0"/>
    <x v="0"/>
    <x v="0"/>
    <s v="Normal Usage"/>
    <x v="2"/>
    <x v="1"/>
    <x v="0"/>
    <s v="International Customer"/>
    <s v="Error"/>
    <s v="Available"/>
    <s v="Numeric"/>
  </r>
  <r>
    <x v="30"/>
    <b v="0"/>
    <x v="0"/>
    <x v="2"/>
    <s v="Normal Usage"/>
    <x v="0"/>
    <x v="0"/>
    <x v="0"/>
    <s v="Domestic Plan"/>
    <s v="Error"/>
    <s v="Available"/>
    <s v="Numeric"/>
  </r>
  <r>
    <x v="36"/>
    <b v="0"/>
    <x v="0"/>
    <x v="0"/>
    <s v="Normal Usage"/>
    <x v="0"/>
    <x v="1"/>
    <x v="0"/>
    <s v="International Customer"/>
    <s v="Error"/>
    <s v="Available"/>
    <s v="Numeric"/>
  </r>
  <r>
    <x v="1"/>
    <b v="0"/>
    <x v="0"/>
    <x v="2"/>
    <s v="Normal Usage"/>
    <x v="0"/>
    <x v="0"/>
    <x v="0"/>
    <s v="Domestic Plan"/>
    <s v="Error"/>
    <s v="Available"/>
    <s v="Numeric"/>
  </r>
  <r>
    <x v="11"/>
    <b v="0"/>
    <x v="0"/>
    <x v="0"/>
    <s v="High Usage"/>
    <x v="0"/>
    <x v="0"/>
    <x v="0"/>
    <s v="Domestic Plan"/>
    <s v="Error"/>
    <s v="Available"/>
    <s v="Numeric"/>
  </r>
  <r>
    <x v="18"/>
    <b v="0"/>
    <x v="0"/>
    <x v="0"/>
    <s v="Normal Usage"/>
    <x v="0"/>
    <x v="0"/>
    <x v="0"/>
    <s v="Domestic Plan"/>
    <s v="Error"/>
    <s v="Available"/>
    <s v="Numeric"/>
  </r>
  <r>
    <x v="24"/>
    <b v="1"/>
    <x v="1"/>
    <x v="1"/>
    <s v="Normal Usage"/>
    <x v="1"/>
    <x v="1"/>
    <x v="1"/>
    <s v="International Customer"/>
    <s v="Error"/>
    <s v="Available"/>
    <s v="Numeric"/>
  </r>
  <r>
    <x v="21"/>
    <b v="0"/>
    <x v="0"/>
    <x v="2"/>
    <s v="Normal Usage"/>
    <x v="0"/>
    <x v="0"/>
    <x v="0"/>
    <s v="Domestic Plan"/>
    <s v="Error"/>
    <s v="Available"/>
    <s v="Numeric"/>
  </r>
  <r>
    <x v="49"/>
    <b v="0"/>
    <x v="0"/>
    <x v="2"/>
    <s v="Normal Usage"/>
    <x v="0"/>
    <x v="1"/>
    <x v="0"/>
    <s v="Domestic Plan"/>
    <s v="Error"/>
    <s v="Available"/>
    <s v="Numeric"/>
  </r>
  <r>
    <x v="18"/>
    <b v="0"/>
    <x v="0"/>
    <x v="0"/>
    <s v="Normal Usage"/>
    <x v="2"/>
    <x v="1"/>
    <x v="0"/>
    <s v="Domestic Plan"/>
    <s v="Error"/>
    <s v="Available"/>
    <s v="Numeric"/>
  </r>
  <r>
    <x v="34"/>
    <b v="0"/>
    <x v="0"/>
    <x v="2"/>
    <s v="Normal Usage"/>
    <x v="0"/>
    <x v="1"/>
    <x v="0"/>
    <s v="International Customer"/>
    <s v="Error"/>
    <s v="Available"/>
    <s v="Numeric"/>
  </r>
  <r>
    <x v="23"/>
    <b v="0"/>
    <x v="0"/>
    <x v="0"/>
    <s v="High Usage"/>
    <x v="0"/>
    <x v="0"/>
    <x v="0"/>
    <s v="Domestic Plan"/>
    <s v="Error"/>
    <s v="Available"/>
    <s v="Numeric"/>
  </r>
  <r>
    <x v="0"/>
    <b v="0"/>
    <x v="0"/>
    <x v="1"/>
    <s v="Normal Usage"/>
    <x v="2"/>
    <x v="0"/>
    <x v="1"/>
    <s v="Domestic Plan"/>
    <s v="Error"/>
    <s v="Available"/>
    <s v="Numeric"/>
  </r>
  <r>
    <x v="40"/>
    <b v="0"/>
    <x v="0"/>
    <x v="1"/>
    <s v="Normal Usage"/>
    <x v="2"/>
    <x v="1"/>
    <x v="1"/>
    <s v="Domestic Plan"/>
    <s v="Error"/>
    <s v="Available"/>
    <s v="Numeric"/>
  </r>
  <r>
    <x v="12"/>
    <b v="0"/>
    <x v="0"/>
    <x v="1"/>
    <s v="Normal Usage"/>
    <x v="1"/>
    <x v="0"/>
    <x v="1"/>
    <s v="Domestic Plan"/>
    <s v="Error"/>
    <s v="Available"/>
    <s v="Numeric"/>
  </r>
  <r>
    <x v="7"/>
    <b v="0"/>
    <x v="0"/>
    <x v="0"/>
    <s v="Normal Usage"/>
    <x v="0"/>
    <x v="1"/>
    <x v="0"/>
    <s v="Domestic Plan"/>
    <s v="Error"/>
    <s v="Available"/>
    <s v="Numeric"/>
  </r>
  <r>
    <x v="37"/>
    <b v="0"/>
    <x v="0"/>
    <x v="0"/>
    <s v="Normal Usage"/>
    <x v="0"/>
    <x v="0"/>
    <x v="0"/>
    <s v="Domestic Plan"/>
    <s v="Error"/>
    <s v="Available"/>
    <s v="Numeric"/>
  </r>
  <r>
    <x v="41"/>
    <b v="0"/>
    <x v="0"/>
    <x v="2"/>
    <s v="Normal Usage"/>
    <x v="0"/>
    <x v="0"/>
    <x v="0"/>
    <s v="Domestic Plan"/>
    <s v="Error"/>
    <s v="Available"/>
    <s v="Numeric"/>
  </r>
  <r>
    <x v="16"/>
    <b v="0"/>
    <x v="0"/>
    <x v="1"/>
    <s v="Normal Usage"/>
    <x v="2"/>
    <x v="0"/>
    <x v="1"/>
    <s v="Domestic Plan"/>
    <s v="Error"/>
    <s v="Available"/>
    <s v="Numeric"/>
  </r>
  <r>
    <x v="7"/>
    <b v="0"/>
    <x v="0"/>
    <x v="1"/>
    <s v="Normal Usage"/>
    <x v="2"/>
    <x v="0"/>
    <x v="1"/>
    <s v="Domestic Plan"/>
    <s v="Error"/>
    <s v="Available"/>
    <s v="Numeric"/>
  </r>
  <r>
    <x v="26"/>
    <b v="0"/>
    <x v="0"/>
    <x v="0"/>
    <s v="Normal Usage"/>
    <x v="2"/>
    <x v="0"/>
    <x v="0"/>
    <s v="Domestic Plan"/>
    <s v="Error"/>
    <s v="Available"/>
    <s v="Numeric"/>
  </r>
  <r>
    <x v="12"/>
    <b v="0"/>
    <x v="0"/>
    <x v="0"/>
    <s v="Normal Usage"/>
    <x v="0"/>
    <x v="1"/>
    <x v="0"/>
    <s v="Domestic Plan"/>
    <s v="Error"/>
    <s v="Available"/>
    <s v="Numeric"/>
  </r>
  <r>
    <x v="45"/>
    <b v="0"/>
    <x v="0"/>
    <x v="2"/>
    <s v="Normal Usage"/>
    <x v="0"/>
    <x v="1"/>
    <x v="0"/>
    <s v="International Customer"/>
    <s v="Error"/>
    <s v="Available"/>
    <s v="Numeric"/>
  </r>
  <r>
    <x v="35"/>
    <b v="0"/>
    <x v="0"/>
    <x v="1"/>
    <s v="Normal Usage"/>
    <x v="2"/>
    <x v="1"/>
    <x v="1"/>
    <s v="International Customer"/>
    <s v="Error"/>
    <s v="Available"/>
    <s v="Numeric"/>
  </r>
  <r>
    <x v="23"/>
    <b v="0"/>
    <x v="0"/>
    <x v="2"/>
    <s v="Normal Usage"/>
    <x v="0"/>
    <x v="0"/>
    <x v="0"/>
    <s v="Domestic Plan"/>
    <s v="Error"/>
    <s v="Available"/>
    <s v="Numeric"/>
  </r>
  <r>
    <x v="37"/>
    <b v="0"/>
    <x v="0"/>
    <x v="0"/>
    <s v="Normal Usage"/>
    <x v="0"/>
    <x v="0"/>
    <x v="0"/>
    <s v="Domestic Plan"/>
    <s v="Error"/>
    <s v="Available"/>
    <s v="Numeric"/>
  </r>
  <r>
    <x v="23"/>
    <b v="0"/>
    <x v="0"/>
    <x v="0"/>
    <s v="Normal Usage"/>
    <x v="2"/>
    <x v="1"/>
    <x v="0"/>
    <s v="Domestic Plan"/>
    <s v="Error"/>
    <s v="Available"/>
    <s v="Numeric"/>
  </r>
  <r>
    <x v="5"/>
    <b v="0"/>
    <x v="0"/>
    <x v="1"/>
    <s v="Normal Usage"/>
    <x v="2"/>
    <x v="1"/>
    <x v="1"/>
    <s v="Domestic Plan"/>
    <s v="Error"/>
    <s v="Available"/>
    <s v="Numeric"/>
  </r>
  <r>
    <x v="16"/>
    <b v="0"/>
    <x v="0"/>
    <x v="1"/>
    <s v="High Usage"/>
    <x v="1"/>
    <x v="0"/>
    <x v="1"/>
    <s v="Domestic Plan"/>
    <s v="Error"/>
    <s v="Available"/>
    <s v="Numeric"/>
  </r>
  <r>
    <x v="42"/>
    <b v="0"/>
    <x v="0"/>
    <x v="2"/>
    <s v="High Usage"/>
    <x v="0"/>
    <x v="0"/>
    <x v="0"/>
    <s v="Domestic Plan"/>
    <s v="Error"/>
    <s v="Available"/>
    <s v="Numeric"/>
  </r>
  <r>
    <x v="6"/>
    <b v="1"/>
    <x v="1"/>
    <x v="0"/>
    <s v="High Usage"/>
    <x v="1"/>
    <x v="0"/>
    <x v="0"/>
    <s v="Domestic Plan"/>
    <s v="Error"/>
    <s v="Available"/>
    <s v="Numeric"/>
  </r>
  <r>
    <x v="7"/>
    <b v="0"/>
    <x v="0"/>
    <x v="0"/>
    <s v="High Usage"/>
    <x v="0"/>
    <x v="0"/>
    <x v="0"/>
    <s v="Domestic Plan"/>
    <s v="Error"/>
    <s v="Available"/>
    <s v="Numeric"/>
  </r>
  <r>
    <x v="25"/>
    <b v="0"/>
    <x v="0"/>
    <x v="0"/>
    <s v="Normal Usage"/>
    <x v="0"/>
    <x v="0"/>
    <x v="0"/>
    <s v="Domestic Plan"/>
    <s v="Error"/>
    <s v="Available"/>
    <s v="Numeric"/>
  </r>
  <r>
    <x v="37"/>
    <b v="1"/>
    <x v="1"/>
    <x v="0"/>
    <s v="Normal Usage"/>
    <x v="1"/>
    <x v="0"/>
    <x v="0"/>
    <s v="Domestic Plan"/>
    <s v="Error"/>
    <s v="Available"/>
    <s v="Numeric"/>
  </r>
  <r>
    <x v="0"/>
    <b v="0"/>
    <x v="0"/>
    <x v="0"/>
    <s v="Normal Usage"/>
    <x v="2"/>
    <x v="0"/>
    <x v="0"/>
    <s v="Domestic Plan"/>
    <s v="Error"/>
    <s v="Available"/>
    <s v="Numeric"/>
  </r>
  <r>
    <x v="9"/>
    <b v="0"/>
    <x v="0"/>
    <x v="0"/>
    <s v="Normal Usage"/>
    <x v="0"/>
    <x v="0"/>
    <x v="0"/>
    <s v="Domestic Plan"/>
    <s v="Error"/>
    <s v="Available"/>
    <s v="Numeric"/>
  </r>
  <r>
    <x v="7"/>
    <b v="1"/>
    <x v="1"/>
    <x v="0"/>
    <s v="Normal Usage"/>
    <x v="1"/>
    <x v="0"/>
    <x v="0"/>
    <s v="Domestic Plan"/>
    <s v="Error"/>
    <s v="Available"/>
    <s v="Numeric"/>
  </r>
  <r>
    <x v="48"/>
    <b v="0"/>
    <x v="0"/>
    <x v="0"/>
    <s v="Normal Usage"/>
    <x v="0"/>
    <x v="0"/>
    <x v="0"/>
    <s v="Domestic Plan"/>
    <s v="Error"/>
    <s v="Available"/>
    <s v="Numeric"/>
  </r>
  <r>
    <x v="38"/>
    <b v="0"/>
    <x v="0"/>
    <x v="0"/>
    <s v="High Usage"/>
    <x v="0"/>
    <x v="1"/>
    <x v="0"/>
    <s v="Domestic Plan"/>
    <s v="Error"/>
    <s v="Available"/>
    <s v="Numeric"/>
  </r>
  <r>
    <x v="28"/>
    <b v="0"/>
    <x v="0"/>
    <x v="2"/>
    <s v="High Usage"/>
    <x v="0"/>
    <x v="0"/>
    <x v="0"/>
    <s v="Domestic Plan"/>
    <s v="Error"/>
    <s v="Available"/>
    <s v="Numeric"/>
  </r>
  <r>
    <x v="41"/>
    <b v="0"/>
    <x v="0"/>
    <x v="0"/>
    <s v="High Usage"/>
    <x v="0"/>
    <x v="1"/>
    <x v="0"/>
    <s v="Domestic Plan"/>
    <s v="Error"/>
    <s v="Available"/>
    <s v="Numeric"/>
  </r>
  <r>
    <x v="13"/>
    <b v="1"/>
    <x v="1"/>
    <x v="2"/>
    <s v="Normal Usage"/>
    <x v="1"/>
    <x v="0"/>
    <x v="0"/>
    <s v="Domestic Plan"/>
    <s v="Error"/>
    <s v="Available"/>
    <s v="Numeric"/>
  </r>
  <r>
    <x v="16"/>
    <b v="0"/>
    <x v="0"/>
    <x v="1"/>
    <s v="Normal Usage"/>
    <x v="2"/>
    <x v="0"/>
    <x v="1"/>
    <s v="Domestic Plan"/>
    <s v="Error"/>
    <s v="Available"/>
    <s v="Numeric"/>
  </r>
  <r>
    <x v="46"/>
    <b v="0"/>
    <x v="0"/>
    <x v="2"/>
    <s v="Normal Usage"/>
    <x v="0"/>
    <x v="0"/>
    <x v="0"/>
    <s v="Domestic Plan"/>
    <s v="Error"/>
    <s v="Available"/>
    <s v="Numeric"/>
  </r>
  <r>
    <x v="32"/>
    <b v="0"/>
    <x v="0"/>
    <x v="0"/>
    <s v="Normal Usage"/>
    <x v="0"/>
    <x v="0"/>
    <x v="0"/>
    <s v="Domestic Plan"/>
    <s v="Error"/>
    <s v="Available"/>
    <s v="Numeric"/>
  </r>
  <r>
    <x v="46"/>
    <b v="0"/>
    <x v="0"/>
    <x v="0"/>
    <s v="Normal Usage"/>
    <x v="0"/>
    <x v="0"/>
    <x v="0"/>
    <s v="Domestic Plan"/>
    <s v="Error"/>
    <s v="Available"/>
    <s v="Numeric"/>
  </r>
  <r>
    <x v="34"/>
    <b v="0"/>
    <x v="0"/>
    <x v="0"/>
    <s v="Normal Usage"/>
    <x v="0"/>
    <x v="0"/>
    <x v="0"/>
    <s v="Domestic Plan"/>
    <s v="Error"/>
    <s v="Available"/>
    <s v="Numeric"/>
  </r>
  <r>
    <x v="21"/>
    <b v="0"/>
    <x v="0"/>
    <x v="1"/>
    <s v="High Usage"/>
    <x v="1"/>
    <x v="0"/>
    <x v="1"/>
    <s v="Domestic Plan"/>
    <s v="Error"/>
    <s v="Available"/>
    <s v="Numeric"/>
  </r>
  <r>
    <x v="42"/>
    <b v="0"/>
    <x v="0"/>
    <x v="0"/>
    <s v="Normal Usage"/>
    <x v="0"/>
    <x v="0"/>
    <x v="0"/>
    <s v="Domestic Plan"/>
    <s v="Error"/>
    <s v="Available"/>
    <s v="Numeric"/>
  </r>
  <r>
    <x v="31"/>
    <b v="0"/>
    <x v="0"/>
    <x v="2"/>
    <s v="High Usage"/>
    <x v="0"/>
    <x v="0"/>
    <x v="0"/>
    <s v="Domestic Plan"/>
    <s v="Error"/>
    <s v="Available"/>
    <s v="Numeric"/>
  </r>
  <r>
    <x v="37"/>
    <b v="0"/>
    <x v="0"/>
    <x v="2"/>
    <s v="Normal Usage"/>
    <x v="0"/>
    <x v="0"/>
    <x v="0"/>
    <s v="Domestic Plan"/>
    <s v="Error"/>
    <s v="Available"/>
    <s v="Numeric"/>
  </r>
  <r>
    <x v="9"/>
    <b v="0"/>
    <x v="0"/>
    <x v="2"/>
    <s v="Normal Usage"/>
    <x v="0"/>
    <x v="0"/>
    <x v="0"/>
    <s v="Domestic Plan"/>
    <s v="Error"/>
    <s v="Available"/>
    <s v="Numeric"/>
  </r>
  <r>
    <x v="12"/>
    <b v="1"/>
    <x v="1"/>
    <x v="1"/>
    <s v="Normal Usage"/>
    <x v="1"/>
    <x v="0"/>
    <x v="1"/>
    <s v="Domestic Plan"/>
    <s v="Error"/>
    <s v="Available"/>
    <s v="Numeric"/>
  </r>
  <r>
    <x v="27"/>
    <b v="1"/>
    <x v="1"/>
    <x v="1"/>
    <s v="Normal Usage"/>
    <x v="1"/>
    <x v="1"/>
    <x v="1"/>
    <s v="Domestic Plan"/>
    <s v="Error"/>
    <s v="Available"/>
    <s v="Numeric"/>
  </r>
  <r>
    <x v="24"/>
    <b v="0"/>
    <x v="0"/>
    <x v="0"/>
    <s v="Normal Usage"/>
    <x v="0"/>
    <x v="0"/>
    <x v="0"/>
    <s v="Domestic Plan"/>
    <s v="Error"/>
    <s v="Available"/>
    <s v="Numeric"/>
  </r>
  <r>
    <x v="32"/>
    <b v="0"/>
    <x v="0"/>
    <x v="2"/>
    <s v="Normal Usage"/>
    <x v="0"/>
    <x v="1"/>
    <x v="0"/>
    <s v="Domestic Plan"/>
    <s v="Error"/>
    <s v="Available"/>
    <s v="Numeric"/>
  </r>
  <r>
    <x v="8"/>
    <b v="0"/>
    <x v="0"/>
    <x v="0"/>
    <s v="Normal Usage"/>
    <x v="0"/>
    <x v="0"/>
    <x v="0"/>
    <s v="Domestic Plan"/>
    <s v="Error"/>
    <s v="Available"/>
    <s v="Numeric"/>
  </r>
  <r>
    <x v="24"/>
    <b v="0"/>
    <x v="0"/>
    <x v="0"/>
    <s v="Normal Usage"/>
    <x v="2"/>
    <x v="0"/>
    <x v="0"/>
    <s v="Domestic Plan"/>
    <s v="Error"/>
    <s v="Available"/>
    <s v="Numeric"/>
  </r>
  <r>
    <x v="8"/>
    <b v="0"/>
    <x v="0"/>
    <x v="0"/>
    <s v="Normal Usage"/>
    <x v="2"/>
    <x v="1"/>
    <x v="0"/>
    <s v="Domestic Plan"/>
    <s v="Error"/>
    <s v="Available"/>
    <s v="Numeric"/>
  </r>
  <r>
    <x v="42"/>
    <b v="0"/>
    <x v="0"/>
    <x v="0"/>
    <s v="High Usage"/>
    <x v="0"/>
    <x v="0"/>
    <x v="0"/>
    <s v="Domestic Plan"/>
    <s v="Error"/>
    <s v="Available"/>
    <s v="Numeric"/>
  </r>
  <r>
    <x v="48"/>
    <b v="0"/>
    <x v="0"/>
    <x v="2"/>
    <s v="Normal Usage"/>
    <x v="0"/>
    <x v="0"/>
    <x v="0"/>
    <s v="Domestic Plan"/>
    <s v="Error"/>
    <s v="Available"/>
    <s v="Numeric"/>
  </r>
  <r>
    <x v="6"/>
    <b v="0"/>
    <x v="0"/>
    <x v="0"/>
    <s v="High Usage"/>
    <x v="0"/>
    <x v="0"/>
    <x v="0"/>
    <s v="Domestic Plan"/>
    <s v="Error"/>
    <s v="Available"/>
    <s v="Numeric"/>
  </r>
  <r>
    <x v="0"/>
    <b v="0"/>
    <x v="0"/>
    <x v="0"/>
    <s v="Normal Usage"/>
    <x v="2"/>
    <x v="1"/>
    <x v="0"/>
    <s v="Domestic Plan"/>
    <s v="Error"/>
    <s v="Available"/>
    <s v="Numeric"/>
  </r>
  <r>
    <x v="23"/>
    <b v="0"/>
    <x v="0"/>
    <x v="2"/>
    <s v="Normal Usage"/>
    <x v="0"/>
    <x v="1"/>
    <x v="0"/>
    <s v="Domestic Plan"/>
    <s v="Error"/>
    <s v="Available"/>
    <s v="Numeric"/>
  </r>
  <r>
    <x v="35"/>
    <b v="0"/>
    <x v="0"/>
    <x v="0"/>
    <s v="Normal Usage"/>
    <x v="0"/>
    <x v="0"/>
    <x v="0"/>
    <s v="Domestic Plan"/>
    <s v="Error"/>
    <s v="Available"/>
    <s v="Numeric"/>
  </r>
  <r>
    <x v="0"/>
    <b v="0"/>
    <x v="0"/>
    <x v="1"/>
    <s v="Normal Usage"/>
    <x v="2"/>
    <x v="1"/>
    <x v="1"/>
    <s v="Domestic Plan"/>
    <s v="Error"/>
    <s v="Available"/>
    <s v="Numeric"/>
  </r>
  <r>
    <x v="16"/>
    <b v="0"/>
    <x v="0"/>
    <x v="2"/>
    <s v="Normal Usage"/>
    <x v="0"/>
    <x v="0"/>
    <x v="0"/>
    <s v="Domestic Plan"/>
    <s v="Error"/>
    <s v="Available"/>
    <s v="Numeric"/>
  </r>
  <r>
    <x v="3"/>
    <b v="0"/>
    <x v="0"/>
    <x v="1"/>
    <s v="High Usage"/>
    <x v="1"/>
    <x v="1"/>
    <x v="1"/>
    <s v="Domestic Plan"/>
    <s v="Error"/>
    <s v="Available"/>
    <s v="Numeric"/>
  </r>
  <r>
    <x v="43"/>
    <b v="0"/>
    <x v="0"/>
    <x v="0"/>
    <s v="High Usage"/>
    <x v="0"/>
    <x v="0"/>
    <x v="0"/>
    <s v="Domestic Plan"/>
    <s v="Error"/>
    <s v="Available"/>
    <s v="Numeric"/>
  </r>
  <r>
    <x v="18"/>
    <b v="0"/>
    <x v="0"/>
    <x v="0"/>
    <s v="Normal Usage"/>
    <x v="2"/>
    <x v="0"/>
    <x v="0"/>
    <s v="Domestic Plan"/>
    <s v="Error"/>
    <s v="Available"/>
    <s v="Numeric"/>
  </r>
  <r>
    <x v="17"/>
    <b v="0"/>
    <x v="0"/>
    <x v="0"/>
    <s v="Normal Usage"/>
    <x v="2"/>
    <x v="1"/>
    <x v="0"/>
    <s v="Domestic Plan"/>
    <s v="Error"/>
    <s v="Available"/>
    <s v="Numeric"/>
  </r>
  <r>
    <x v="42"/>
    <b v="0"/>
    <x v="0"/>
    <x v="1"/>
    <s v="Normal Usage"/>
    <x v="2"/>
    <x v="0"/>
    <x v="1"/>
    <s v="Domestic Plan"/>
    <s v="Error"/>
    <s v="Available"/>
    <s v="Numeric"/>
  </r>
  <r>
    <x v="47"/>
    <b v="0"/>
    <x v="0"/>
    <x v="0"/>
    <s v="Normal Usage"/>
    <x v="0"/>
    <x v="0"/>
    <x v="0"/>
    <s v="Domestic Plan"/>
    <s v="Error"/>
    <s v="Available"/>
    <s v="Numeric"/>
  </r>
  <r>
    <x v="34"/>
    <b v="0"/>
    <x v="0"/>
    <x v="0"/>
    <s v="Normal Usage"/>
    <x v="0"/>
    <x v="0"/>
    <x v="0"/>
    <s v="Domestic Plan"/>
    <s v="Error"/>
    <s v="Available"/>
    <s v="Numeric"/>
  </r>
  <r>
    <x v="32"/>
    <b v="0"/>
    <x v="0"/>
    <x v="0"/>
    <s v="Normal Usage"/>
    <x v="2"/>
    <x v="0"/>
    <x v="0"/>
    <s v="Domestic Plan"/>
    <s v="Error"/>
    <s v="Available"/>
    <s v="Numeric"/>
  </r>
  <r>
    <x v="29"/>
    <b v="0"/>
    <x v="0"/>
    <x v="2"/>
    <s v="Normal Usage"/>
    <x v="0"/>
    <x v="0"/>
    <x v="0"/>
    <s v="Domestic Plan"/>
    <s v="Error"/>
    <s v="Available"/>
    <s v="Numeric"/>
  </r>
  <r>
    <x v="27"/>
    <b v="0"/>
    <x v="0"/>
    <x v="2"/>
    <s v="Normal Usage"/>
    <x v="0"/>
    <x v="0"/>
    <x v="0"/>
    <s v="Domestic Plan"/>
    <s v="Error"/>
    <s v="Available"/>
    <s v="Numeric"/>
  </r>
  <r>
    <x v="13"/>
    <b v="0"/>
    <x v="0"/>
    <x v="0"/>
    <s v="Normal Usage"/>
    <x v="2"/>
    <x v="0"/>
    <x v="0"/>
    <s v="Domestic Plan"/>
    <s v="Error"/>
    <s v="Available"/>
    <s v="Numeric"/>
  </r>
  <r>
    <x v="11"/>
    <b v="0"/>
    <x v="0"/>
    <x v="0"/>
    <s v="Normal Usage"/>
    <x v="0"/>
    <x v="0"/>
    <x v="0"/>
    <s v="Domestic Plan"/>
    <s v="Error"/>
    <s v="Available"/>
    <s v="Numeric"/>
  </r>
  <r>
    <x v="41"/>
    <b v="0"/>
    <x v="0"/>
    <x v="0"/>
    <s v="Normal Usage"/>
    <x v="2"/>
    <x v="1"/>
    <x v="0"/>
    <s v="Domestic Plan"/>
    <s v="Error"/>
    <s v="Available"/>
    <s v="Numeric"/>
  </r>
  <r>
    <x v="34"/>
    <b v="0"/>
    <x v="0"/>
    <x v="1"/>
    <s v="Normal Usage"/>
    <x v="2"/>
    <x v="0"/>
    <x v="1"/>
    <s v="Domestic Plan"/>
    <s v="Error"/>
    <s v="Available"/>
    <s v="Numeric"/>
  </r>
  <r>
    <x v="30"/>
    <b v="1"/>
    <x v="1"/>
    <x v="0"/>
    <s v="High Usage"/>
    <x v="1"/>
    <x v="1"/>
    <x v="0"/>
    <s v="International Customer"/>
    <s v="Error"/>
    <s v="Available"/>
    <s v="Numeric"/>
  </r>
  <r>
    <x v="13"/>
    <b v="0"/>
    <x v="0"/>
    <x v="1"/>
    <s v="Normal Usage"/>
    <x v="2"/>
    <x v="1"/>
    <x v="1"/>
    <s v="Domestic Plan"/>
    <s v="Error"/>
    <s v="Available"/>
    <s v="Numeric"/>
  </r>
  <r>
    <x v="42"/>
    <b v="0"/>
    <x v="0"/>
    <x v="1"/>
    <s v="Normal Usage"/>
    <x v="2"/>
    <x v="0"/>
    <x v="1"/>
    <s v="Domestic Plan"/>
    <s v="Error"/>
    <s v="Available"/>
    <s v="Numeric"/>
  </r>
  <r>
    <x v="47"/>
    <b v="0"/>
    <x v="0"/>
    <x v="2"/>
    <s v="Normal Usage"/>
    <x v="0"/>
    <x v="1"/>
    <x v="0"/>
    <s v="Domestic Plan"/>
    <s v="Error"/>
    <s v="Available"/>
    <s v="Numeric"/>
  </r>
  <r>
    <x v="27"/>
    <b v="0"/>
    <x v="0"/>
    <x v="0"/>
    <s v="Normal Usage"/>
    <x v="2"/>
    <x v="0"/>
    <x v="0"/>
    <s v="Domestic Plan"/>
    <s v="Error"/>
    <s v="Available"/>
    <s v="Numeric"/>
  </r>
  <r>
    <x v="40"/>
    <b v="0"/>
    <x v="0"/>
    <x v="1"/>
    <s v="Normal Usage"/>
    <x v="2"/>
    <x v="0"/>
    <x v="1"/>
    <s v="Domestic Plan"/>
    <s v="Error"/>
    <s v="Available"/>
    <s v="Numeric"/>
  </r>
  <r>
    <x v="49"/>
    <b v="0"/>
    <x v="0"/>
    <x v="0"/>
    <s v="Normal Usage"/>
    <x v="0"/>
    <x v="0"/>
    <x v="0"/>
    <s v="Domestic Plan"/>
    <s v="Error"/>
    <s v="Available"/>
    <s v="Numeric"/>
  </r>
  <r>
    <x v="24"/>
    <b v="0"/>
    <x v="0"/>
    <x v="1"/>
    <s v="Normal Usage"/>
    <x v="2"/>
    <x v="1"/>
    <x v="1"/>
    <s v="Domestic Plan"/>
    <s v="Error"/>
    <s v="Available"/>
    <s v="Numeric"/>
  </r>
  <r>
    <x v="26"/>
    <b v="0"/>
    <x v="0"/>
    <x v="0"/>
    <s v="Normal Usage"/>
    <x v="0"/>
    <x v="1"/>
    <x v="0"/>
    <s v="Domestic Plan"/>
    <s v="Error"/>
    <s v="Available"/>
    <s v="Numeric"/>
  </r>
  <r>
    <x v="14"/>
    <b v="0"/>
    <x v="0"/>
    <x v="2"/>
    <s v="Normal Usage"/>
    <x v="0"/>
    <x v="0"/>
    <x v="0"/>
    <s v="Domestic Plan"/>
    <s v="Error"/>
    <s v="Available"/>
    <s v="Numeric"/>
  </r>
  <r>
    <x v="16"/>
    <b v="1"/>
    <x v="1"/>
    <x v="1"/>
    <s v="Normal Usage"/>
    <x v="1"/>
    <x v="0"/>
    <x v="1"/>
    <s v="Domestic Plan"/>
    <s v="Error"/>
    <s v="Available"/>
    <s v="Numeric"/>
  </r>
  <r>
    <x v="48"/>
    <b v="0"/>
    <x v="0"/>
    <x v="0"/>
    <s v="Normal Usage"/>
    <x v="0"/>
    <x v="0"/>
    <x v="0"/>
    <s v="Domestic Plan"/>
    <s v="Error"/>
    <s v="Available"/>
    <s v="Numeric"/>
  </r>
  <r>
    <x v="44"/>
    <b v="0"/>
    <x v="0"/>
    <x v="0"/>
    <s v="Normal Usage"/>
    <x v="0"/>
    <x v="0"/>
    <x v="0"/>
    <s v="Domestic Plan"/>
    <s v="Error"/>
    <s v="Available"/>
    <s v="Numeric"/>
  </r>
  <r>
    <x v="34"/>
    <b v="0"/>
    <x v="0"/>
    <x v="1"/>
    <s v="High Usage"/>
    <x v="1"/>
    <x v="1"/>
    <x v="1"/>
    <s v="Domestic Plan"/>
    <s v="Error"/>
    <s v="Available"/>
    <s v="Numeric"/>
  </r>
  <r>
    <x v="23"/>
    <b v="0"/>
    <x v="0"/>
    <x v="2"/>
    <s v="Normal Usage"/>
    <x v="0"/>
    <x v="0"/>
    <x v="0"/>
    <s v="Domestic Plan"/>
    <s v="Error"/>
    <s v="Available"/>
    <s v="Numeric"/>
  </r>
  <r>
    <x v="43"/>
    <b v="1"/>
    <x v="1"/>
    <x v="0"/>
    <s v="Normal Usage"/>
    <x v="1"/>
    <x v="1"/>
    <x v="0"/>
    <s v="International Customer"/>
    <s v="Error"/>
    <s v="Available"/>
    <s v="Numeric"/>
  </r>
  <r>
    <x v="44"/>
    <b v="0"/>
    <x v="0"/>
    <x v="0"/>
    <s v="Normal Usage"/>
    <x v="0"/>
    <x v="0"/>
    <x v="0"/>
    <s v="Domestic Plan"/>
    <s v="Error"/>
    <s v="Available"/>
    <s v="Numeric"/>
  </r>
  <r>
    <x v="14"/>
    <b v="0"/>
    <x v="0"/>
    <x v="0"/>
    <s v="Normal Usage"/>
    <x v="2"/>
    <x v="0"/>
    <x v="0"/>
    <s v="Domestic Plan"/>
    <s v="Error"/>
    <s v="Available"/>
    <s v="Numeric"/>
  </r>
  <r>
    <x v="28"/>
    <b v="0"/>
    <x v="0"/>
    <x v="1"/>
    <s v="Normal Usage"/>
    <x v="2"/>
    <x v="0"/>
    <x v="1"/>
    <s v="Domestic Plan"/>
    <s v="Error"/>
    <s v="Available"/>
    <s v="Numeric"/>
  </r>
  <r>
    <x v="50"/>
    <b v="0"/>
    <x v="0"/>
    <x v="0"/>
    <s v="Normal Usage"/>
    <x v="2"/>
    <x v="0"/>
    <x v="0"/>
    <s v="Domestic Plan"/>
    <s v="Error"/>
    <s v="Available"/>
    <s v="Numeric"/>
  </r>
  <r>
    <x v="5"/>
    <b v="0"/>
    <x v="0"/>
    <x v="0"/>
    <s v="Normal Usage"/>
    <x v="0"/>
    <x v="1"/>
    <x v="0"/>
    <s v="Domestic Plan"/>
    <s v="Error"/>
    <s v="Available"/>
    <s v="Numeric"/>
  </r>
  <r>
    <x v="34"/>
    <b v="0"/>
    <x v="0"/>
    <x v="0"/>
    <s v="Normal Usage"/>
    <x v="2"/>
    <x v="1"/>
    <x v="0"/>
    <s v="Domestic Plan"/>
    <s v="Error"/>
    <s v="Available"/>
    <s v="Numeric"/>
  </r>
  <r>
    <x v="25"/>
    <b v="1"/>
    <x v="1"/>
    <x v="0"/>
    <s v="High Usage"/>
    <x v="1"/>
    <x v="0"/>
    <x v="0"/>
    <s v="Domestic Plan"/>
    <s v="Error"/>
    <s v="Available"/>
    <s v="Numeric"/>
  </r>
  <r>
    <x v="33"/>
    <b v="0"/>
    <x v="0"/>
    <x v="0"/>
    <s v="Normal Usage"/>
    <x v="0"/>
    <x v="1"/>
    <x v="0"/>
    <s v="Domestic Plan"/>
    <s v="Error"/>
    <s v="Available"/>
    <s v="Numeric"/>
  </r>
  <r>
    <x v="13"/>
    <b v="1"/>
    <x v="1"/>
    <x v="0"/>
    <s v="Normal Usage"/>
    <x v="1"/>
    <x v="0"/>
    <x v="0"/>
    <s v="Domestic Plan"/>
    <s v="Error"/>
    <s v="Available"/>
    <s v="Numeric"/>
  </r>
  <r>
    <x v="36"/>
    <b v="0"/>
    <x v="0"/>
    <x v="0"/>
    <s v="Normal Usage"/>
    <x v="2"/>
    <x v="1"/>
    <x v="0"/>
    <s v="Domestic Plan"/>
    <s v="Error"/>
    <s v="Available"/>
    <s v="Numeric"/>
  </r>
  <r>
    <x v="20"/>
    <b v="0"/>
    <x v="0"/>
    <x v="0"/>
    <s v="Normal Usage"/>
    <x v="2"/>
    <x v="0"/>
    <x v="0"/>
    <s v="Domestic Plan"/>
    <s v="Error"/>
    <s v="Available"/>
    <s v="Numeric"/>
  </r>
  <r>
    <x v="7"/>
    <b v="0"/>
    <x v="0"/>
    <x v="2"/>
    <s v="High Usage"/>
    <x v="0"/>
    <x v="1"/>
    <x v="0"/>
    <s v="International Customer"/>
    <s v="Error"/>
    <s v="Available"/>
    <s v="Numeric"/>
  </r>
  <r>
    <x v="21"/>
    <b v="1"/>
    <x v="1"/>
    <x v="1"/>
    <s v="Normal Usage"/>
    <x v="1"/>
    <x v="0"/>
    <x v="1"/>
    <s v="Domestic Plan"/>
    <s v="Error"/>
    <s v="Available"/>
    <s v="Numeric"/>
  </r>
  <r>
    <x v="31"/>
    <b v="0"/>
    <x v="0"/>
    <x v="2"/>
    <s v="Normal Usage"/>
    <x v="0"/>
    <x v="1"/>
    <x v="0"/>
    <s v="Domestic Plan"/>
    <s v="Error"/>
    <s v="Available"/>
    <s v="Numeric"/>
  </r>
  <r>
    <x v="4"/>
    <b v="0"/>
    <x v="0"/>
    <x v="0"/>
    <s v="Normal Usage"/>
    <x v="0"/>
    <x v="0"/>
    <x v="0"/>
    <s v="Domestic Plan"/>
    <s v="Error"/>
    <s v="Available"/>
    <s v="Numeric"/>
  </r>
  <r>
    <x v="42"/>
    <b v="0"/>
    <x v="0"/>
    <x v="0"/>
    <s v="Normal Usage"/>
    <x v="0"/>
    <x v="0"/>
    <x v="0"/>
    <s v="Domestic Plan"/>
    <s v="Error"/>
    <s v="Available"/>
    <s v="Numeric"/>
  </r>
  <r>
    <x v="27"/>
    <b v="0"/>
    <x v="0"/>
    <x v="0"/>
    <s v="Normal Usage"/>
    <x v="0"/>
    <x v="0"/>
    <x v="0"/>
    <s v="Domestic Plan"/>
    <s v="Error"/>
    <s v="Available"/>
    <s v="Numeric"/>
  </r>
  <r>
    <x v="10"/>
    <b v="0"/>
    <x v="0"/>
    <x v="0"/>
    <s v="Normal Usage"/>
    <x v="2"/>
    <x v="0"/>
    <x v="0"/>
    <s v="Domestic Plan"/>
    <s v="Error"/>
    <s v="Available"/>
    <s v="Numeric"/>
  </r>
  <r>
    <x v="35"/>
    <b v="0"/>
    <x v="0"/>
    <x v="2"/>
    <s v="Normal Usage"/>
    <x v="0"/>
    <x v="0"/>
    <x v="0"/>
    <s v="Domestic Plan"/>
    <s v="Error"/>
    <s v="Available"/>
    <s v="Numeric"/>
  </r>
  <r>
    <x v="42"/>
    <b v="1"/>
    <x v="1"/>
    <x v="0"/>
    <s v="High Usage"/>
    <x v="1"/>
    <x v="0"/>
    <x v="0"/>
    <s v="Domestic Plan"/>
    <s v="Error"/>
    <s v="Available"/>
    <s v="Numeric"/>
  </r>
  <r>
    <x v="10"/>
    <b v="0"/>
    <x v="0"/>
    <x v="1"/>
    <s v="High Usage"/>
    <x v="1"/>
    <x v="0"/>
    <x v="1"/>
    <s v="Domestic Plan"/>
    <s v="Error"/>
    <s v="Available"/>
    <s v="Numeric"/>
  </r>
  <r>
    <x v="9"/>
    <b v="0"/>
    <x v="0"/>
    <x v="2"/>
    <s v="Normal Usage"/>
    <x v="0"/>
    <x v="1"/>
    <x v="0"/>
    <s v="Domestic Plan"/>
    <s v="Error"/>
    <s v="Available"/>
    <s v="Numeric"/>
  </r>
  <r>
    <x v="30"/>
    <b v="0"/>
    <x v="0"/>
    <x v="0"/>
    <s v="Normal Usage"/>
    <x v="0"/>
    <x v="0"/>
    <x v="0"/>
    <s v="Domestic Plan"/>
    <s v="Error"/>
    <s v="Available"/>
    <s v="Numeric"/>
  </r>
  <r>
    <x v="42"/>
    <b v="0"/>
    <x v="0"/>
    <x v="0"/>
    <s v="Normal Usage"/>
    <x v="2"/>
    <x v="0"/>
    <x v="0"/>
    <s v="Domestic Plan"/>
    <s v="Error"/>
    <s v="Available"/>
    <s v="Numeric"/>
  </r>
  <r>
    <x v="46"/>
    <b v="0"/>
    <x v="0"/>
    <x v="0"/>
    <s v="Normal Usage"/>
    <x v="2"/>
    <x v="1"/>
    <x v="0"/>
    <s v="Domestic Plan"/>
    <s v="Error"/>
    <s v="Available"/>
    <s v="Numeric"/>
  </r>
  <r>
    <x v="28"/>
    <b v="0"/>
    <x v="0"/>
    <x v="2"/>
    <s v="Normal Usage"/>
    <x v="0"/>
    <x v="0"/>
    <x v="0"/>
    <s v="Domestic Plan"/>
    <s v="Error"/>
    <s v="Available"/>
    <s v="Numeric"/>
  </r>
  <r>
    <x v="0"/>
    <b v="0"/>
    <x v="0"/>
    <x v="0"/>
    <s v="Normal Usage"/>
    <x v="0"/>
    <x v="0"/>
    <x v="0"/>
    <s v="Domestic Plan"/>
    <s v="Error"/>
    <s v="Available"/>
    <s v="Numeric"/>
  </r>
  <r>
    <x v="22"/>
    <b v="0"/>
    <x v="0"/>
    <x v="0"/>
    <s v="Normal Usage"/>
    <x v="0"/>
    <x v="0"/>
    <x v="0"/>
    <s v="Domestic Plan"/>
    <s v="Error"/>
    <s v="Available"/>
    <s v="Numeric"/>
  </r>
  <r>
    <x v="26"/>
    <b v="0"/>
    <x v="0"/>
    <x v="0"/>
    <s v="Normal Usage"/>
    <x v="0"/>
    <x v="1"/>
    <x v="0"/>
    <s v="Domestic Plan"/>
    <s v="Error"/>
    <s v="Available"/>
    <s v="Numeric"/>
  </r>
  <r>
    <x v="47"/>
    <b v="0"/>
    <x v="0"/>
    <x v="2"/>
    <s v="Normal Usage"/>
    <x v="0"/>
    <x v="0"/>
    <x v="0"/>
    <s v="Domestic Plan"/>
    <s v="Error"/>
    <s v="Available"/>
    <s v="Numeric"/>
  </r>
  <r>
    <x v="50"/>
    <b v="0"/>
    <x v="0"/>
    <x v="2"/>
    <s v="Normal Usage"/>
    <x v="0"/>
    <x v="0"/>
    <x v="0"/>
    <s v="Domestic Plan"/>
    <s v="Error"/>
    <s v="Available"/>
    <s v="Numeric"/>
  </r>
  <r>
    <x v="14"/>
    <b v="0"/>
    <x v="0"/>
    <x v="0"/>
    <s v="Normal Usage"/>
    <x v="2"/>
    <x v="0"/>
    <x v="0"/>
    <s v="Domestic Plan"/>
    <s v="Error"/>
    <s v="Available"/>
    <s v="Numeric"/>
  </r>
  <r>
    <x v="19"/>
    <b v="0"/>
    <x v="0"/>
    <x v="2"/>
    <s v="High Usage"/>
    <x v="0"/>
    <x v="0"/>
    <x v="0"/>
    <s v="Domestic Plan"/>
    <s v="Error"/>
    <s v="Available"/>
    <s v="Numeric"/>
  </r>
  <r>
    <x v="46"/>
    <b v="0"/>
    <x v="0"/>
    <x v="1"/>
    <s v="Normal Usage"/>
    <x v="2"/>
    <x v="0"/>
    <x v="1"/>
    <s v="Domestic Plan"/>
    <s v="Error"/>
    <s v="Available"/>
    <s v="Numeric"/>
  </r>
  <r>
    <x v="23"/>
    <b v="0"/>
    <x v="0"/>
    <x v="1"/>
    <s v="Normal Usage"/>
    <x v="1"/>
    <x v="0"/>
    <x v="1"/>
    <s v="Domestic Plan"/>
    <s v="Error"/>
    <s v="Available"/>
    <s v="Numeric"/>
  </r>
  <r>
    <x v="1"/>
    <b v="0"/>
    <x v="0"/>
    <x v="2"/>
    <s v="Normal Usage"/>
    <x v="0"/>
    <x v="1"/>
    <x v="0"/>
    <s v="Domestic Plan"/>
    <s v="Error"/>
    <s v="Available"/>
    <s v="Numeric"/>
  </r>
  <r>
    <x v="25"/>
    <b v="0"/>
    <x v="0"/>
    <x v="2"/>
    <s v="Normal Usage"/>
    <x v="0"/>
    <x v="1"/>
    <x v="0"/>
    <s v="Domestic Plan"/>
    <s v="Error"/>
    <s v="Available"/>
    <s v="Numeric"/>
  </r>
  <r>
    <x v="20"/>
    <b v="0"/>
    <x v="0"/>
    <x v="0"/>
    <s v="Normal Usage"/>
    <x v="2"/>
    <x v="0"/>
    <x v="0"/>
    <s v="Domestic Plan"/>
    <s v="Error"/>
    <s v="Available"/>
    <s v="Numeric"/>
  </r>
  <r>
    <x v="30"/>
    <b v="0"/>
    <x v="0"/>
    <x v="0"/>
    <s v="Normal Usage"/>
    <x v="0"/>
    <x v="1"/>
    <x v="0"/>
    <s v="Domestic Plan"/>
    <s v="Error"/>
    <s v="Available"/>
    <s v="Numeric"/>
  </r>
  <r>
    <x v="26"/>
    <b v="0"/>
    <x v="0"/>
    <x v="1"/>
    <s v="High Usage"/>
    <x v="1"/>
    <x v="0"/>
    <x v="1"/>
    <s v="Domestic Plan"/>
    <s v="Error"/>
    <s v="Available"/>
    <s v="Numeric"/>
  </r>
  <r>
    <x v="39"/>
    <b v="0"/>
    <x v="0"/>
    <x v="1"/>
    <s v="Normal Usage"/>
    <x v="2"/>
    <x v="1"/>
    <x v="1"/>
    <s v="Domestic Plan"/>
    <s v="Error"/>
    <s v="Available"/>
    <s v="Numeric"/>
  </r>
  <r>
    <x v="25"/>
    <b v="0"/>
    <x v="0"/>
    <x v="0"/>
    <s v="High Usage"/>
    <x v="2"/>
    <x v="1"/>
    <x v="0"/>
    <s v="Domestic Plan"/>
    <s v="Error"/>
    <s v="Available"/>
    <s v="Numeric"/>
  </r>
  <r>
    <x v="18"/>
    <b v="1"/>
    <x v="1"/>
    <x v="2"/>
    <s v="Normal Usage"/>
    <x v="1"/>
    <x v="0"/>
    <x v="0"/>
    <s v="Domestic Plan"/>
    <s v="Error"/>
    <s v="Available"/>
    <s v="Numeric"/>
  </r>
  <r>
    <x v="31"/>
    <b v="1"/>
    <x v="1"/>
    <x v="0"/>
    <s v="Normal Usage"/>
    <x v="1"/>
    <x v="1"/>
    <x v="0"/>
    <s v="Domestic Plan"/>
    <s v="Error"/>
    <s v="Available"/>
    <s v="Numeric"/>
  </r>
  <r>
    <x v="26"/>
    <b v="1"/>
    <x v="1"/>
    <x v="0"/>
    <s v="Normal Usage"/>
    <x v="1"/>
    <x v="0"/>
    <x v="0"/>
    <s v="Domestic Plan"/>
    <s v="Error"/>
    <s v="Available"/>
    <s v="Numeric"/>
  </r>
  <r>
    <x v="9"/>
    <b v="0"/>
    <x v="0"/>
    <x v="0"/>
    <s v="Normal Usage"/>
    <x v="0"/>
    <x v="1"/>
    <x v="0"/>
    <s v="Domestic Plan"/>
    <s v="Error"/>
    <s v="Available"/>
    <s v="Numeric"/>
  </r>
  <r>
    <x v="3"/>
    <b v="0"/>
    <x v="0"/>
    <x v="0"/>
    <s v="Normal Usage"/>
    <x v="0"/>
    <x v="1"/>
    <x v="0"/>
    <s v="Domestic Plan"/>
    <s v="Error"/>
    <s v="Available"/>
    <s v="Numeric"/>
  </r>
  <r>
    <x v="32"/>
    <b v="1"/>
    <x v="1"/>
    <x v="0"/>
    <s v="Normal Usage"/>
    <x v="1"/>
    <x v="0"/>
    <x v="0"/>
    <s v="Domestic Plan"/>
    <s v="Error"/>
    <s v="Available"/>
    <s v="Numeric"/>
  </r>
  <r>
    <x v="20"/>
    <b v="0"/>
    <x v="0"/>
    <x v="1"/>
    <s v="High Usage"/>
    <x v="1"/>
    <x v="0"/>
    <x v="1"/>
    <s v="Domestic Plan"/>
    <s v="Error"/>
    <s v="Available"/>
    <s v="Numeric"/>
  </r>
  <r>
    <x v="4"/>
    <b v="0"/>
    <x v="0"/>
    <x v="2"/>
    <s v="Normal Usage"/>
    <x v="0"/>
    <x v="1"/>
    <x v="0"/>
    <s v="Domestic Plan"/>
    <s v="Error"/>
    <s v="Available"/>
    <s v="Numeric"/>
  </r>
  <r>
    <x v="14"/>
    <b v="0"/>
    <x v="0"/>
    <x v="0"/>
    <s v="Normal Usage"/>
    <x v="0"/>
    <x v="0"/>
    <x v="0"/>
    <s v="Domestic Plan"/>
    <s v="Error"/>
    <s v="Available"/>
    <s v="Numeric"/>
  </r>
  <r>
    <x v="20"/>
    <b v="0"/>
    <x v="0"/>
    <x v="0"/>
    <s v="Normal Usage"/>
    <x v="0"/>
    <x v="1"/>
    <x v="0"/>
    <s v="Domestic Plan"/>
    <s v="Error"/>
    <s v="Available"/>
    <s v="Numeric"/>
  </r>
  <r>
    <x v="22"/>
    <b v="0"/>
    <x v="0"/>
    <x v="0"/>
    <s v="Normal Usage"/>
    <x v="0"/>
    <x v="0"/>
    <x v="0"/>
    <s v="Domestic Plan"/>
    <s v="Error"/>
    <s v="Available"/>
    <s v="Numeric"/>
  </r>
  <r>
    <x v="11"/>
    <b v="0"/>
    <x v="0"/>
    <x v="2"/>
    <s v="High Usage"/>
    <x v="0"/>
    <x v="1"/>
    <x v="0"/>
    <s v="Domestic Plan"/>
    <s v="Error"/>
    <s v="Available"/>
    <s v="Numeric"/>
  </r>
  <r>
    <x v="46"/>
    <b v="0"/>
    <x v="0"/>
    <x v="0"/>
    <s v="Normal Usage"/>
    <x v="0"/>
    <x v="0"/>
    <x v="0"/>
    <s v="Domestic Plan"/>
    <s v="Error"/>
    <s v="Available"/>
    <s v="Numeric"/>
  </r>
  <r>
    <x v="18"/>
    <b v="1"/>
    <x v="1"/>
    <x v="1"/>
    <s v="Normal Usage"/>
    <x v="1"/>
    <x v="0"/>
    <x v="1"/>
    <s v="Domestic Plan"/>
    <s v="Error"/>
    <s v="Available"/>
    <s v="Numeric"/>
  </r>
  <r>
    <x v="34"/>
    <b v="0"/>
    <x v="0"/>
    <x v="0"/>
    <s v="Normal Usage"/>
    <x v="0"/>
    <x v="0"/>
    <x v="0"/>
    <s v="Domestic Plan"/>
    <s v="Error"/>
    <s v="Available"/>
    <s v="Numeric"/>
  </r>
  <r>
    <x v="36"/>
    <b v="0"/>
    <x v="0"/>
    <x v="0"/>
    <s v="Normal Usage"/>
    <x v="0"/>
    <x v="1"/>
    <x v="0"/>
    <s v="International Customer"/>
    <s v="Error"/>
    <s v="Available"/>
    <s v="Numeric"/>
  </r>
  <r>
    <x v="4"/>
    <b v="1"/>
    <x v="1"/>
    <x v="2"/>
    <s v="High Usage"/>
    <x v="1"/>
    <x v="0"/>
    <x v="0"/>
    <s v="Domestic Plan"/>
    <s v="Error"/>
    <s v="Available"/>
    <s v="Numeric"/>
  </r>
  <r>
    <x v="6"/>
    <b v="0"/>
    <x v="0"/>
    <x v="0"/>
    <s v="Normal Usage"/>
    <x v="0"/>
    <x v="1"/>
    <x v="0"/>
    <s v="International Customer"/>
    <s v="Error"/>
    <s v="Available"/>
    <s v="Numeric"/>
  </r>
  <r>
    <x v="46"/>
    <b v="1"/>
    <x v="1"/>
    <x v="2"/>
    <s v="Normal Usage"/>
    <x v="1"/>
    <x v="0"/>
    <x v="0"/>
    <s v="Domestic Plan"/>
    <s v="Error"/>
    <s v="Available"/>
    <s v="Numeric"/>
  </r>
  <r>
    <x v="19"/>
    <b v="0"/>
    <x v="0"/>
    <x v="2"/>
    <s v="High Usage"/>
    <x v="0"/>
    <x v="0"/>
    <x v="0"/>
    <s v="Domestic Plan"/>
    <s v="Error"/>
    <s v="Available"/>
    <s v="Numeric"/>
  </r>
  <r>
    <x v="19"/>
    <b v="0"/>
    <x v="0"/>
    <x v="0"/>
    <s v="Normal Usage"/>
    <x v="0"/>
    <x v="0"/>
    <x v="0"/>
    <s v="Domestic Plan"/>
    <s v="Error"/>
    <s v="Available"/>
    <s v="Numeric"/>
  </r>
  <r>
    <x v="14"/>
    <b v="0"/>
    <x v="0"/>
    <x v="0"/>
    <s v="Normal Usage"/>
    <x v="0"/>
    <x v="0"/>
    <x v="0"/>
    <s v="Domestic Plan"/>
    <s v="Error"/>
    <s v="Available"/>
    <s v="Numeric"/>
  </r>
  <r>
    <x v="30"/>
    <b v="0"/>
    <x v="0"/>
    <x v="0"/>
    <s v="Normal Usage"/>
    <x v="0"/>
    <x v="1"/>
    <x v="0"/>
    <s v="Domestic Plan"/>
    <s v="Error"/>
    <s v="Available"/>
    <s v="Numeric"/>
  </r>
  <r>
    <x v="46"/>
    <b v="0"/>
    <x v="0"/>
    <x v="0"/>
    <s v="Normal Usage"/>
    <x v="2"/>
    <x v="0"/>
    <x v="0"/>
    <s v="Domestic Plan"/>
    <s v="Error"/>
    <s v="Available"/>
    <s v="Numeric"/>
  </r>
  <r>
    <x v="14"/>
    <b v="1"/>
    <x v="1"/>
    <x v="1"/>
    <s v="Normal Usage"/>
    <x v="1"/>
    <x v="1"/>
    <x v="1"/>
    <s v="Domestic Plan"/>
    <s v="Error"/>
    <s v="Available"/>
    <s v="Numeric"/>
  </r>
  <r>
    <x v="40"/>
    <b v="0"/>
    <x v="0"/>
    <x v="0"/>
    <s v="Normal Usage"/>
    <x v="0"/>
    <x v="0"/>
    <x v="0"/>
    <s v="Domestic Plan"/>
    <s v="Error"/>
    <s v="Available"/>
    <s v="Numeric"/>
  </r>
  <r>
    <x v="12"/>
    <b v="0"/>
    <x v="0"/>
    <x v="0"/>
    <s v="Normal Usage"/>
    <x v="2"/>
    <x v="1"/>
    <x v="0"/>
    <s v="Domestic Plan"/>
    <s v="Error"/>
    <s v="Available"/>
    <s v="Numeric"/>
  </r>
  <r>
    <x v="41"/>
    <b v="0"/>
    <x v="0"/>
    <x v="0"/>
    <s v="Normal Usage"/>
    <x v="0"/>
    <x v="0"/>
    <x v="0"/>
    <s v="Domestic Plan"/>
    <s v="Error"/>
    <s v="Available"/>
    <s v="Numeric"/>
  </r>
  <r>
    <x v="40"/>
    <b v="0"/>
    <x v="0"/>
    <x v="0"/>
    <s v="Normal Usage"/>
    <x v="0"/>
    <x v="1"/>
    <x v="0"/>
    <s v="Domestic Plan"/>
    <s v="Error"/>
    <s v="Available"/>
    <s v="Numeric"/>
  </r>
  <r>
    <x v="3"/>
    <b v="0"/>
    <x v="0"/>
    <x v="0"/>
    <s v="Normal Usage"/>
    <x v="2"/>
    <x v="1"/>
    <x v="0"/>
    <s v="Domestic Plan"/>
    <s v="Error"/>
    <s v="Available"/>
    <s v="Numeric"/>
  </r>
  <r>
    <x v="41"/>
    <b v="0"/>
    <x v="0"/>
    <x v="0"/>
    <s v="Normal Usage"/>
    <x v="0"/>
    <x v="1"/>
    <x v="0"/>
    <s v="International Customer"/>
    <s v="Error"/>
    <s v="Available"/>
    <s v="Numeric"/>
  </r>
  <r>
    <x v="18"/>
    <b v="0"/>
    <x v="0"/>
    <x v="1"/>
    <s v="High Usage"/>
    <x v="1"/>
    <x v="0"/>
    <x v="1"/>
    <s v="Domestic Plan"/>
    <s v="Error"/>
    <s v="Available"/>
    <s v="Numeric"/>
  </r>
  <r>
    <x v="19"/>
    <b v="0"/>
    <x v="0"/>
    <x v="0"/>
    <s v="Normal Usage"/>
    <x v="0"/>
    <x v="0"/>
    <x v="0"/>
    <s v="Domestic Plan"/>
    <s v="Error"/>
    <s v="Available"/>
    <s v="Numeric"/>
  </r>
  <r>
    <x v="41"/>
    <b v="0"/>
    <x v="0"/>
    <x v="0"/>
    <s v="High Usage"/>
    <x v="0"/>
    <x v="1"/>
    <x v="0"/>
    <s v="International Customer"/>
    <s v="Error"/>
    <s v="Available"/>
    <s v="Numeric"/>
  </r>
  <r>
    <x v="11"/>
    <b v="0"/>
    <x v="0"/>
    <x v="1"/>
    <s v="Normal Usage"/>
    <x v="2"/>
    <x v="0"/>
    <x v="1"/>
    <s v="Domestic Plan"/>
    <s v="Error"/>
    <s v="Available"/>
    <s v="Numeric"/>
  </r>
  <r>
    <x v="30"/>
    <b v="1"/>
    <x v="1"/>
    <x v="1"/>
    <s v="High Usage"/>
    <x v="1"/>
    <x v="0"/>
    <x v="1"/>
    <s v="Domestic Plan"/>
    <s v="Error"/>
    <s v="Available"/>
    <s v="Numeric"/>
  </r>
  <r>
    <x v="46"/>
    <b v="0"/>
    <x v="0"/>
    <x v="0"/>
    <s v="Normal Usage"/>
    <x v="2"/>
    <x v="0"/>
    <x v="0"/>
    <s v="Domestic Plan"/>
    <s v="Error"/>
    <s v="Available"/>
    <s v="Numeric"/>
  </r>
  <r>
    <x v="15"/>
    <b v="0"/>
    <x v="0"/>
    <x v="2"/>
    <s v="High Usage"/>
    <x v="0"/>
    <x v="0"/>
    <x v="0"/>
    <s v="Domestic Plan"/>
    <s v="Error"/>
    <s v="Available"/>
    <s v="Numeric"/>
  </r>
  <r>
    <x v="26"/>
    <b v="0"/>
    <x v="0"/>
    <x v="1"/>
    <s v="Normal Usage"/>
    <x v="1"/>
    <x v="0"/>
    <x v="1"/>
    <s v="Domestic Plan"/>
    <s v="Error"/>
    <s v="Available"/>
    <s v="Numeric"/>
  </r>
  <r>
    <x v="17"/>
    <b v="1"/>
    <x v="1"/>
    <x v="2"/>
    <s v="High Usage"/>
    <x v="1"/>
    <x v="0"/>
    <x v="0"/>
    <s v="Domestic Plan"/>
    <s v="Error"/>
    <s v="Available"/>
    <s v="Numeric"/>
  </r>
  <r>
    <x v="27"/>
    <b v="0"/>
    <x v="0"/>
    <x v="2"/>
    <s v="Normal Usage"/>
    <x v="0"/>
    <x v="1"/>
    <x v="0"/>
    <s v="Domestic Plan"/>
    <s v="Error"/>
    <s v="Available"/>
    <s v="Numeric"/>
  </r>
  <r>
    <x v="35"/>
    <b v="0"/>
    <x v="0"/>
    <x v="0"/>
    <s v="Normal Usage"/>
    <x v="0"/>
    <x v="1"/>
    <x v="0"/>
    <s v="Domestic Plan"/>
    <s v="Error"/>
    <s v="Available"/>
    <s v="Numeric"/>
  </r>
  <r>
    <x v="24"/>
    <b v="0"/>
    <x v="0"/>
    <x v="0"/>
    <s v="Normal Usage"/>
    <x v="0"/>
    <x v="0"/>
    <x v="0"/>
    <s v="Domestic Plan"/>
    <s v="Error"/>
    <s v="Available"/>
    <s v="Numeric"/>
  </r>
  <r>
    <x v="8"/>
    <b v="0"/>
    <x v="0"/>
    <x v="1"/>
    <s v="High Usage"/>
    <x v="1"/>
    <x v="0"/>
    <x v="1"/>
    <s v="Domestic Plan"/>
    <s v="Error"/>
    <s v="Available"/>
    <s v="Numeric"/>
  </r>
  <r>
    <x v="26"/>
    <b v="0"/>
    <x v="0"/>
    <x v="0"/>
    <s v="Normal Usage"/>
    <x v="0"/>
    <x v="0"/>
    <x v="0"/>
    <s v="Domestic Plan"/>
    <s v="Error"/>
    <s v="Available"/>
    <s v="Numeric"/>
  </r>
  <r>
    <x v="24"/>
    <b v="1"/>
    <x v="1"/>
    <x v="1"/>
    <s v="Normal Usage"/>
    <x v="1"/>
    <x v="0"/>
    <x v="1"/>
    <s v="Domestic Plan"/>
    <s v="Error"/>
    <s v="Available"/>
    <s v="Numeric"/>
  </r>
  <r>
    <x v="35"/>
    <b v="0"/>
    <x v="0"/>
    <x v="0"/>
    <s v="Normal Usage"/>
    <x v="0"/>
    <x v="0"/>
    <x v="0"/>
    <s v="Domestic Plan"/>
    <s v="Error"/>
    <s v="Available"/>
    <s v="Numeric"/>
  </r>
  <r>
    <x v="2"/>
    <b v="0"/>
    <x v="0"/>
    <x v="0"/>
    <s v="Normal Usage"/>
    <x v="2"/>
    <x v="0"/>
    <x v="0"/>
    <s v="Domestic Plan"/>
    <s v="Error"/>
    <s v="Available"/>
    <s v="Numeric"/>
  </r>
  <r>
    <x v="18"/>
    <b v="0"/>
    <x v="0"/>
    <x v="0"/>
    <s v="High Usage"/>
    <x v="2"/>
    <x v="0"/>
    <x v="0"/>
    <s v="Domestic Plan"/>
    <s v="Error"/>
    <s v="Available"/>
    <s v="Numeric"/>
  </r>
  <r>
    <x v="19"/>
    <b v="0"/>
    <x v="0"/>
    <x v="0"/>
    <s v="Normal Usage"/>
    <x v="0"/>
    <x v="1"/>
    <x v="0"/>
    <s v="International Customer"/>
    <s v="Error"/>
    <s v="Available"/>
    <s v="Numeric"/>
  </r>
  <r>
    <x v="7"/>
    <b v="0"/>
    <x v="0"/>
    <x v="2"/>
    <s v="Normal Usage"/>
    <x v="0"/>
    <x v="0"/>
    <x v="0"/>
    <s v="Domestic Plan"/>
    <s v="Error"/>
    <s v="Available"/>
    <s v="Numeric"/>
  </r>
  <r>
    <x v="44"/>
    <b v="0"/>
    <x v="0"/>
    <x v="0"/>
    <s v="High Usage"/>
    <x v="2"/>
    <x v="0"/>
    <x v="0"/>
    <s v="Domestic Plan"/>
    <s v="Error"/>
    <s v="Available"/>
    <s v="Numeric"/>
  </r>
  <r>
    <x v="19"/>
    <b v="1"/>
    <x v="1"/>
    <x v="0"/>
    <s v="High Usage"/>
    <x v="1"/>
    <x v="0"/>
    <x v="0"/>
    <s v="Domestic Plan"/>
    <s v="Error"/>
    <s v="Available"/>
    <s v="Numeric"/>
  </r>
  <r>
    <x v="35"/>
    <b v="0"/>
    <x v="0"/>
    <x v="0"/>
    <s v="High Usage"/>
    <x v="2"/>
    <x v="1"/>
    <x v="0"/>
    <s v="Domestic Plan"/>
    <s v="Error"/>
    <s v="Available"/>
    <s v="Numeric"/>
  </r>
  <r>
    <x v="34"/>
    <b v="0"/>
    <x v="0"/>
    <x v="1"/>
    <s v="High Usage"/>
    <x v="1"/>
    <x v="1"/>
    <x v="1"/>
    <s v="Domestic Plan"/>
    <s v="Error"/>
    <s v="Available"/>
    <s v="Numeric"/>
  </r>
  <r>
    <x v="35"/>
    <b v="0"/>
    <x v="0"/>
    <x v="0"/>
    <s v="Normal Usage"/>
    <x v="0"/>
    <x v="1"/>
    <x v="0"/>
    <s v="International Customer"/>
    <s v="Error"/>
    <s v="Available"/>
    <s v="Numeric"/>
  </r>
  <r>
    <x v="49"/>
    <b v="0"/>
    <x v="0"/>
    <x v="1"/>
    <s v="Normal Usage"/>
    <x v="1"/>
    <x v="0"/>
    <x v="1"/>
    <s v="Domestic Plan"/>
    <s v="Error"/>
    <s v="Available"/>
    <s v="Numeric"/>
  </r>
  <r>
    <x v="27"/>
    <b v="1"/>
    <x v="1"/>
    <x v="0"/>
    <s v="High Usage"/>
    <x v="1"/>
    <x v="0"/>
    <x v="0"/>
    <s v="Domestic Plan"/>
    <s v="Error"/>
    <s v="Available"/>
    <s v="Numeric"/>
  </r>
  <r>
    <x v="40"/>
    <b v="0"/>
    <x v="0"/>
    <x v="0"/>
    <s v="Normal Usage"/>
    <x v="0"/>
    <x v="0"/>
    <x v="0"/>
    <s v="Domestic Plan"/>
    <s v="Error"/>
    <s v="Available"/>
    <s v="Numeric"/>
  </r>
  <r>
    <x v="27"/>
    <b v="0"/>
    <x v="0"/>
    <x v="0"/>
    <s v="Normal Usage"/>
    <x v="0"/>
    <x v="1"/>
    <x v="0"/>
    <s v="International Customer"/>
    <s v="Error"/>
    <s v="Available"/>
    <s v="Numeric"/>
  </r>
  <r>
    <x v="8"/>
    <b v="0"/>
    <x v="0"/>
    <x v="0"/>
    <s v="Normal Usage"/>
    <x v="2"/>
    <x v="0"/>
    <x v="0"/>
    <s v="Domestic Plan"/>
    <s v="Error"/>
    <s v="Available"/>
    <s v="Numeric"/>
  </r>
  <r>
    <x v="45"/>
    <b v="0"/>
    <x v="0"/>
    <x v="0"/>
    <s v="Normal Usage"/>
    <x v="2"/>
    <x v="0"/>
    <x v="0"/>
    <s v="Domestic Plan"/>
    <s v="Error"/>
    <s v="Available"/>
    <s v="Numeric"/>
  </r>
  <r>
    <x v="19"/>
    <b v="0"/>
    <x v="0"/>
    <x v="1"/>
    <s v="Normal Usage"/>
    <x v="2"/>
    <x v="0"/>
    <x v="1"/>
    <s v="Domestic Plan"/>
    <s v="Error"/>
    <s v="Available"/>
    <s v="Numeric"/>
  </r>
  <r>
    <x v="6"/>
    <b v="0"/>
    <x v="0"/>
    <x v="1"/>
    <s v="Normal Usage"/>
    <x v="1"/>
    <x v="1"/>
    <x v="1"/>
    <s v="Domestic Plan"/>
    <s v="Error"/>
    <s v="Available"/>
    <s v="Numeric"/>
  </r>
  <r>
    <x v="43"/>
    <b v="0"/>
    <x v="0"/>
    <x v="1"/>
    <s v="High Usage"/>
    <x v="1"/>
    <x v="0"/>
    <x v="1"/>
    <s v="Domestic Plan"/>
    <s v="Error"/>
    <s v="Available"/>
    <s v="Numeric"/>
  </r>
  <r>
    <x v="47"/>
    <b v="0"/>
    <x v="0"/>
    <x v="0"/>
    <s v="Normal Usage"/>
    <x v="0"/>
    <x v="0"/>
    <x v="0"/>
    <s v="Domestic Plan"/>
    <s v="Error"/>
    <s v="Available"/>
    <s v="Numeric"/>
  </r>
  <r>
    <x v="29"/>
    <b v="0"/>
    <x v="0"/>
    <x v="0"/>
    <s v="Normal Usage"/>
    <x v="0"/>
    <x v="0"/>
    <x v="0"/>
    <s v="Domestic Plan"/>
    <s v="Error"/>
    <s v="Available"/>
    <s v="Numeric"/>
  </r>
  <r>
    <x v="14"/>
    <b v="0"/>
    <x v="0"/>
    <x v="0"/>
    <s v="Normal Usage"/>
    <x v="0"/>
    <x v="0"/>
    <x v="0"/>
    <s v="Domestic Plan"/>
    <s v="Error"/>
    <s v="Available"/>
    <s v="Numeric"/>
  </r>
  <r>
    <x v="1"/>
    <b v="0"/>
    <x v="0"/>
    <x v="0"/>
    <s v="Normal Usage"/>
    <x v="0"/>
    <x v="1"/>
    <x v="0"/>
    <s v="Domestic Plan"/>
    <s v="Error"/>
    <s v="Available"/>
    <s v="Numeric"/>
  </r>
  <r>
    <x v="29"/>
    <b v="0"/>
    <x v="0"/>
    <x v="0"/>
    <s v="Normal Usage"/>
    <x v="0"/>
    <x v="0"/>
    <x v="0"/>
    <s v="Domestic Plan"/>
    <s v="Error"/>
    <s v="Available"/>
    <s v="Numeric"/>
  </r>
  <r>
    <x v="41"/>
    <b v="1"/>
    <x v="1"/>
    <x v="0"/>
    <s v="Normal Usage"/>
    <x v="1"/>
    <x v="1"/>
    <x v="0"/>
    <s v="International Customer"/>
    <s v="Error"/>
    <s v="Available"/>
    <s v="Numeric"/>
  </r>
  <r>
    <x v="22"/>
    <b v="0"/>
    <x v="0"/>
    <x v="0"/>
    <s v="High Usage"/>
    <x v="2"/>
    <x v="1"/>
    <x v="0"/>
    <s v="Domestic Plan"/>
    <s v="Error"/>
    <s v="Available"/>
    <s v="Numeric"/>
  </r>
  <r>
    <x v="12"/>
    <b v="1"/>
    <x v="1"/>
    <x v="0"/>
    <s v="Normal Usage"/>
    <x v="1"/>
    <x v="0"/>
    <x v="0"/>
    <s v="Domestic Plan"/>
    <s v="Error"/>
    <s v="Available"/>
    <s v="Numeric"/>
  </r>
  <r>
    <x v="9"/>
    <b v="1"/>
    <x v="1"/>
    <x v="0"/>
    <s v="Normal Usage"/>
    <x v="1"/>
    <x v="0"/>
    <x v="0"/>
    <s v="Domestic Plan"/>
    <s v="Error"/>
    <s v="Available"/>
    <s v="Numeric"/>
  </r>
  <r>
    <x v="2"/>
    <b v="0"/>
    <x v="0"/>
    <x v="2"/>
    <s v="Normal Usage"/>
    <x v="0"/>
    <x v="0"/>
    <x v="0"/>
    <s v="Domestic Plan"/>
    <s v="Error"/>
    <s v="Available"/>
    <s v="Numeric"/>
  </r>
  <r>
    <x v="28"/>
    <b v="0"/>
    <x v="0"/>
    <x v="0"/>
    <s v="Normal Usage"/>
    <x v="2"/>
    <x v="1"/>
    <x v="0"/>
    <s v="International Customer"/>
    <s v="Error"/>
    <s v="Available"/>
    <s v="Numeric"/>
  </r>
  <r>
    <x v="2"/>
    <b v="1"/>
    <x v="1"/>
    <x v="0"/>
    <s v="Normal Usage"/>
    <x v="1"/>
    <x v="1"/>
    <x v="0"/>
    <s v="International Customer"/>
    <s v="Error"/>
    <s v="Available"/>
    <s v="Numeric"/>
  </r>
  <r>
    <x v="15"/>
    <b v="0"/>
    <x v="0"/>
    <x v="2"/>
    <s v="Normal Usage"/>
    <x v="0"/>
    <x v="0"/>
    <x v="0"/>
    <s v="Domestic Plan"/>
    <s v="Error"/>
    <s v="Available"/>
    <s v="Numeric"/>
  </r>
  <r>
    <x v="17"/>
    <b v="1"/>
    <x v="1"/>
    <x v="0"/>
    <s v="High Usage"/>
    <x v="1"/>
    <x v="0"/>
    <x v="0"/>
    <s v="Domestic Plan"/>
    <s v="Error"/>
    <s v="Available"/>
    <s v="Numeric"/>
  </r>
  <r>
    <x v="15"/>
    <b v="1"/>
    <x v="1"/>
    <x v="1"/>
    <s v="Normal Usage"/>
    <x v="1"/>
    <x v="0"/>
    <x v="1"/>
    <s v="Domestic Plan"/>
    <s v="Error"/>
    <s v="Available"/>
    <s v="Numeric"/>
  </r>
  <r>
    <x v="14"/>
    <b v="0"/>
    <x v="0"/>
    <x v="0"/>
    <s v="Normal Usage"/>
    <x v="2"/>
    <x v="1"/>
    <x v="0"/>
    <s v="Domestic Plan"/>
    <s v="Error"/>
    <s v="Available"/>
    <s v="Numeric"/>
  </r>
  <r>
    <x v="7"/>
    <b v="0"/>
    <x v="0"/>
    <x v="0"/>
    <s v="Normal Usage"/>
    <x v="2"/>
    <x v="0"/>
    <x v="0"/>
    <s v="Domestic Plan"/>
    <s v="Error"/>
    <s v="Available"/>
    <s v="Numeric"/>
  </r>
  <r>
    <x v="4"/>
    <b v="0"/>
    <x v="0"/>
    <x v="0"/>
    <s v="Normal Usage"/>
    <x v="0"/>
    <x v="1"/>
    <x v="0"/>
    <s v="Domestic Plan"/>
    <s v="Error"/>
    <s v="Available"/>
    <s v="Numeric"/>
  </r>
  <r>
    <x v="26"/>
    <b v="0"/>
    <x v="0"/>
    <x v="1"/>
    <s v="Normal Usage"/>
    <x v="1"/>
    <x v="1"/>
    <x v="1"/>
    <s v="Domestic Plan"/>
    <s v="Error"/>
    <s v="Available"/>
    <s v="Numeric"/>
  </r>
  <r>
    <x v="50"/>
    <b v="0"/>
    <x v="0"/>
    <x v="0"/>
    <s v="Normal Usage"/>
    <x v="0"/>
    <x v="0"/>
    <x v="0"/>
    <s v="Domestic Plan"/>
    <s v="Error"/>
    <s v="Available"/>
    <s v="Numeric"/>
  </r>
  <r>
    <x v="40"/>
    <b v="0"/>
    <x v="0"/>
    <x v="0"/>
    <s v="High Usage"/>
    <x v="0"/>
    <x v="0"/>
    <x v="0"/>
    <s v="Domestic Plan"/>
    <s v="Error"/>
    <s v="Available"/>
    <s v="Numeric"/>
  </r>
  <r>
    <x v="20"/>
    <b v="0"/>
    <x v="0"/>
    <x v="0"/>
    <s v="Normal Usage"/>
    <x v="0"/>
    <x v="0"/>
    <x v="0"/>
    <s v="Domestic Plan"/>
    <s v="Error"/>
    <s v="Available"/>
    <s v="Numeric"/>
  </r>
  <r>
    <x v="48"/>
    <b v="0"/>
    <x v="0"/>
    <x v="0"/>
    <s v="Normal Usage"/>
    <x v="0"/>
    <x v="0"/>
    <x v="0"/>
    <s v="Domestic Plan"/>
    <s v="Error"/>
    <s v="Available"/>
    <s v="Numeric"/>
  </r>
  <r>
    <x v="11"/>
    <b v="0"/>
    <x v="0"/>
    <x v="1"/>
    <s v="Normal Usage"/>
    <x v="1"/>
    <x v="0"/>
    <x v="1"/>
    <s v="Domestic Plan"/>
    <s v="Error"/>
    <s v="Available"/>
    <s v="Numeric"/>
  </r>
  <r>
    <x v="43"/>
    <b v="0"/>
    <x v="0"/>
    <x v="0"/>
    <s v="Normal Usage"/>
    <x v="0"/>
    <x v="1"/>
    <x v="0"/>
    <s v="Domestic Plan"/>
    <s v="Error"/>
    <s v="Available"/>
    <s v="Numeric"/>
  </r>
  <r>
    <x v="19"/>
    <b v="0"/>
    <x v="0"/>
    <x v="0"/>
    <s v="Normal Usage"/>
    <x v="2"/>
    <x v="0"/>
    <x v="0"/>
    <s v="Domestic Plan"/>
    <s v="Error"/>
    <s v="Available"/>
    <s v="Numeric"/>
  </r>
  <r>
    <x v="28"/>
    <b v="0"/>
    <x v="0"/>
    <x v="0"/>
    <s v="Normal Usage"/>
    <x v="2"/>
    <x v="1"/>
    <x v="0"/>
    <s v="Domestic Plan"/>
    <s v="Error"/>
    <s v="Available"/>
    <s v="Numeric"/>
  </r>
  <r>
    <x v="44"/>
    <b v="1"/>
    <x v="1"/>
    <x v="0"/>
    <s v="Normal Usage"/>
    <x v="1"/>
    <x v="1"/>
    <x v="0"/>
    <s v="International Customer"/>
    <s v="Error"/>
    <s v="Available"/>
    <s v="Numeric"/>
  </r>
  <r>
    <x v="27"/>
    <b v="0"/>
    <x v="0"/>
    <x v="1"/>
    <s v="High Usage"/>
    <x v="1"/>
    <x v="0"/>
    <x v="1"/>
    <s v="Domestic Plan"/>
    <s v="Error"/>
    <s v="Available"/>
    <s v="Numeric"/>
  </r>
  <r>
    <x v="20"/>
    <b v="0"/>
    <x v="0"/>
    <x v="2"/>
    <s v="Normal Usage"/>
    <x v="0"/>
    <x v="1"/>
    <x v="0"/>
    <s v="Domestic Plan"/>
    <s v="Error"/>
    <s v="Available"/>
    <s v="Numeric"/>
  </r>
  <r>
    <x v="5"/>
    <b v="0"/>
    <x v="0"/>
    <x v="0"/>
    <s v="Normal Usage"/>
    <x v="0"/>
    <x v="0"/>
    <x v="0"/>
    <s v="Domestic Plan"/>
    <s v="Error"/>
    <s v="Available"/>
    <s v="Numeric"/>
  </r>
  <r>
    <x v="1"/>
    <b v="0"/>
    <x v="0"/>
    <x v="2"/>
    <s v="Normal Usage"/>
    <x v="0"/>
    <x v="1"/>
    <x v="0"/>
    <s v="Domestic Plan"/>
    <s v="Error"/>
    <s v="Available"/>
    <s v="Numeric"/>
  </r>
  <r>
    <x v="18"/>
    <b v="0"/>
    <x v="0"/>
    <x v="2"/>
    <s v="Normal Usage"/>
    <x v="0"/>
    <x v="0"/>
    <x v="0"/>
    <s v="Domestic Plan"/>
    <s v="Error"/>
    <s v="Available"/>
    <s v="Numeric"/>
  </r>
  <r>
    <x v="35"/>
    <b v="1"/>
    <x v="1"/>
    <x v="1"/>
    <s v="Normal Usage"/>
    <x v="1"/>
    <x v="0"/>
    <x v="1"/>
    <s v="Domestic Plan"/>
    <s v="Error"/>
    <s v="Available"/>
    <s v="Numeric"/>
  </r>
  <r>
    <x v="22"/>
    <b v="0"/>
    <x v="0"/>
    <x v="0"/>
    <s v="High Usage"/>
    <x v="0"/>
    <x v="1"/>
    <x v="0"/>
    <s v="Domestic Plan"/>
    <s v="Error"/>
    <s v="Available"/>
    <s v="Numeric"/>
  </r>
  <r>
    <x v="12"/>
    <b v="0"/>
    <x v="0"/>
    <x v="0"/>
    <s v="Normal Usage"/>
    <x v="0"/>
    <x v="1"/>
    <x v="0"/>
    <s v="Domestic Plan"/>
    <s v="Error"/>
    <s v="Available"/>
    <s v="Numeric"/>
  </r>
  <r>
    <x v="24"/>
    <b v="0"/>
    <x v="0"/>
    <x v="0"/>
    <s v="Normal Usage"/>
    <x v="0"/>
    <x v="0"/>
    <x v="0"/>
    <s v="Domestic Plan"/>
    <s v="Error"/>
    <s v="Available"/>
    <s v="Numeric"/>
  </r>
  <r>
    <x v="20"/>
    <b v="0"/>
    <x v="0"/>
    <x v="1"/>
    <s v="Normal Usage"/>
    <x v="2"/>
    <x v="0"/>
    <x v="1"/>
    <s v="Domestic Plan"/>
    <s v="Error"/>
    <s v="Available"/>
    <s v="Numeric"/>
  </r>
  <r>
    <x v="0"/>
    <b v="0"/>
    <x v="0"/>
    <x v="0"/>
    <s v="Normal Usage"/>
    <x v="2"/>
    <x v="0"/>
    <x v="0"/>
    <s v="Domestic Plan"/>
    <s v="Error"/>
    <s v="Available"/>
    <s v="Numeric"/>
  </r>
  <r>
    <x v="21"/>
    <b v="0"/>
    <x v="0"/>
    <x v="0"/>
    <s v="Normal Usage"/>
    <x v="2"/>
    <x v="0"/>
    <x v="0"/>
    <s v="Domestic Plan"/>
    <s v="Error"/>
    <s v="Available"/>
    <s v="Numeric"/>
  </r>
  <r>
    <x v="39"/>
    <b v="0"/>
    <x v="0"/>
    <x v="0"/>
    <s v="Normal Usage"/>
    <x v="0"/>
    <x v="1"/>
    <x v="0"/>
    <s v="Domestic Plan"/>
    <s v="Error"/>
    <s v="Available"/>
    <s v="Numeric"/>
  </r>
  <r>
    <x v="48"/>
    <b v="0"/>
    <x v="0"/>
    <x v="2"/>
    <s v="Normal Usage"/>
    <x v="0"/>
    <x v="0"/>
    <x v="0"/>
    <s v="Domestic Plan"/>
    <s v="Error"/>
    <s v="Available"/>
    <s v="Numeric"/>
  </r>
  <r>
    <x v="18"/>
    <b v="0"/>
    <x v="0"/>
    <x v="0"/>
    <s v="High Usage"/>
    <x v="2"/>
    <x v="0"/>
    <x v="0"/>
    <s v="Domestic Plan"/>
    <s v="Error"/>
    <s v="Available"/>
    <s v="Numeric"/>
  </r>
  <r>
    <x v="35"/>
    <b v="0"/>
    <x v="0"/>
    <x v="0"/>
    <s v="Normal Usage"/>
    <x v="0"/>
    <x v="0"/>
    <x v="0"/>
    <s v="Domestic Plan"/>
    <s v="Error"/>
    <s v="Available"/>
    <s v="Numeric"/>
  </r>
  <r>
    <x v="35"/>
    <b v="1"/>
    <x v="1"/>
    <x v="0"/>
    <s v="Normal Usage"/>
    <x v="1"/>
    <x v="0"/>
    <x v="0"/>
    <s v="Domestic Plan"/>
    <s v="Error"/>
    <s v="Available"/>
    <s v="Numeric"/>
  </r>
  <r>
    <x v="25"/>
    <b v="1"/>
    <x v="1"/>
    <x v="1"/>
    <s v="High Usage"/>
    <x v="1"/>
    <x v="1"/>
    <x v="1"/>
    <s v="International Customer"/>
    <s v="Error"/>
    <s v="Available"/>
    <s v="Numeric"/>
  </r>
  <r>
    <x v="13"/>
    <b v="0"/>
    <x v="0"/>
    <x v="0"/>
    <s v="Normal Usage"/>
    <x v="2"/>
    <x v="0"/>
    <x v="0"/>
    <s v="Domestic Plan"/>
    <s v="Error"/>
    <s v="Available"/>
    <s v="Numeric"/>
  </r>
  <r>
    <x v="31"/>
    <b v="0"/>
    <x v="0"/>
    <x v="0"/>
    <s v="Normal Usage"/>
    <x v="2"/>
    <x v="0"/>
    <x v="0"/>
    <s v="Domestic Plan"/>
    <s v="Error"/>
    <s v="Available"/>
    <s v="Numeric"/>
  </r>
  <r>
    <x v="49"/>
    <b v="0"/>
    <x v="0"/>
    <x v="0"/>
    <s v="Normal Usage"/>
    <x v="0"/>
    <x v="1"/>
    <x v="0"/>
    <s v="Domestic Plan"/>
    <s v="Error"/>
    <s v="Available"/>
    <s v="Numeric"/>
  </r>
  <r>
    <x v="41"/>
    <b v="0"/>
    <x v="0"/>
    <x v="2"/>
    <s v="Normal Usage"/>
    <x v="0"/>
    <x v="0"/>
    <x v="0"/>
    <s v="Domestic Plan"/>
    <s v="Error"/>
    <s v="Available"/>
    <s v="Numeric"/>
  </r>
  <r>
    <x v="14"/>
    <b v="1"/>
    <x v="1"/>
    <x v="0"/>
    <s v="High Usage"/>
    <x v="1"/>
    <x v="0"/>
    <x v="0"/>
    <s v="Domestic Plan"/>
    <s v="Error"/>
    <s v="Available"/>
    <s v="Numeric"/>
  </r>
  <r>
    <x v="48"/>
    <b v="0"/>
    <x v="0"/>
    <x v="1"/>
    <s v="Normal Usage"/>
    <x v="2"/>
    <x v="0"/>
    <x v="1"/>
    <s v="Domestic Plan"/>
    <s v="Error"/>
    <s v="Available"/>
    <s v="Numeric"/>
  </r>
  <r>
    <x v="50"/>
    <b v="0"/>
    <x v="0"/>
    <x v="2"/>
    <s v="Normal Usage"/>
    <x v="0"/>
    <x v="0"/>
    <x v="0"/>
    <s v="Domestic Plan"/>
    <s v="Error"/>
    <s v="Available"/>
    <s v="Numeric"/>
  </r>
  <r>
    <x v="10"/>
    <b v="0"/>
    <x v="0"/>
    <x v="0"/>
    <s v="Normal Usage"/>
    <x v="0"/>
    <x v="0"/>
    <x v="0"/>
    <s v="Domestic Plan"/>
    <s v="Error"/>
    <s v="Available"/>
    <s v="Numeric"/>
  </r>
  <r>
    <x v="12"/>
    <b v="0"/>
    <x v="0"/>
    <x v="0"/>
    <s v="Normal Usage"/>
    <x v="0"/>
    <x v="0"/>
    <x v="0"/>
    <s v="Domestic Plan"/>
    <s v="Error"/>
    <s v="Available"/>
    <s v="Numeric"/>
  </r>
  <r>
    <x v="46"/>
    <b v="1"/>
    <x v="1"/>
    <x v="0"/>
    <s v="High Usage"/>
    <x v="1"/>
    <x v="0"/>
    <x v="0"/>
    <s v="Domestic Plan"/>
    <s v="Error"/>
    <s v="Available"/>
    <s v="Numeric"/>
  </r>
  <r>
    <x v="8"/>
    <b v="0"/>
    <x v="0"/>
    <x v="1"/>
    <s v="Normal Usage"/>
    <x v="1"/>
    <x v="0"/>
    <x v="1"/>
    <s v="Domestic Plan"/>
    <s v="Error"/>
    <s v="Available"/>
    <s v="Numeric"/>
  </r>
  <r>
    <x v="46"/>
    <b v="0"/>
    <x v="0"/>
    <x v="0"/>
    <s v="Normal Usage"/>
    <x v="2"/>
    <x v="0"/>
    <x v="0"/>
    <s v="Domestic Plan"/>
    <s v="Error"/>
    <s v="Available"/>
    <s v="Numeric"/>
  </r>
  <r>
    <x v="48"/>
    <b v="0"/>
    <x v="0"/>
    <x v="0"/>
    <s v="Normal Usage"/>
    <x v="0"/>
    <x v="0"/>
    <x v="0"/>
    <s v="Domestic Plan"/>
    <s v="Error"/>
    <s v="Available"/>
    <s v="Numeric"/>
  </r>
  <r>
    <x v="19"/>
    <b v="0"/>
    <x v="0"/>
    <x v="0"/>
    <s v="High Usage"/>
    <x v="2"/>
    <x v="1"/>
    <x v="0"/>
    <s v="Domestic Plan"/>
    <s v="Error"/>
    <s v="Available"/>
    <s v="Numeric"/>
  </r>
  <r>
    <x v="1"/>
    <b v="0"/>
    <x v="0"/>
    <x v="1"/>
    <s v="Normal Usage"/>
    <x v="2"/>
    <x v="1"/>
    <x v="1"/>
    <s v="Domestic Plan"/>
    <s v="Error"/>
    <s v="Available"/>
    <s v="Numeric"/>
  </r>
  <r>
    <x v="25"/>
    <b v="0"/>
    <x v="0"/>
    <x v="2"/>
    <s v="Normal Usage"/>
    <x v="0"/>
    <x v="1"/>
    <x v="0"/>
    <s v="Domestic Plan"/>
    <s v="Error"/>
    <s v="Available"/>
    <s v="Numeric"/>
  </r>
  <r>
    <x v="48"/>
    <b v="0"/>
    <x v="0"/>
    <x v="0"/>
    <s v="High Usage"/>
    <x v="0"/>
    <x v="0"/>
    <x v="0"/>
    <s v="Domestic Plan"/>
    <s v="Error"/>
    <s v="Available"/>
    <s v="Numeric"/>
  </r>
  <r>
    <x v="26"/>
    <b v="0"/>
    <x v="0"/>
    <x v="0"/>
    <s v="Normal Usage"/>
    <x v="2"/>
    <x v="1"/>
    <x v="0"/>
    <s v="Domestic Plan"/>
    <s v="Error"/>
    <s v="Available"/>
    <s v="Numeric"/>
  </r>
  <r>
    <x v="48"/>
    <b v="0"/>
    <x v="0"/>
    <x v="1"/>
    <s v="High Usage"/>
    <x v="1"/>
    <x v="0"/>
    <x v="1"/>
    <s v="Domestic Plan"/>
    <s v="Error"/>
    <s v="Available"/>
    <s v="Numeric"/>
  </r>
  <r>
    <x v="31"/>
    <b v="0"/>
    <x v="0"/>
    <x v="0"/>
    <s v="Normal Usage"/>
    <x v="0"/>
    <x v="0"/>
    <x v="0"/>
    <s v="Domestic Plan"/>
    <s v="Error"/>
    <s v="Available"/>
    <s v="Numeric"/>
  </r>
  <r>
    <x v="12"/>
    <b v="0"/>
    <x v="0"/>
    <x v="1"/>
    <s v="Normal Usage"/>
    <x v="2"/>
    <x v="0"/>
    <x v="1"/>
    <s v="Domestic Plan"/>
    <s v="Error"/>
    <s v="Available"/>
    <s v="Numeric"/>
  </r>
  <r>
    <x v="4"/>
    <b v="0"/>
    <x v="0"/>
    <x v="0"/>
    <s v="Normal Usage"/>
    <x v="2"/>
    <x v="0"/>
    <x v="0"/>
    <s v="Domestic Plan"/>
    <s v="Error"/>
    <s v="Available"/>
    <s v="Numeric"/>
  </r>
  <r>
    <x v="6"/>
    <b v="0"/>
    <x v="0"/>
    <x v="1"/>
    <s v="Normal Usage"/>
    <x v="2"/>
    <x v="0"/>
    <x v="1"/>
    <s v="Domestic Plan"/>
    <s v="Error"/>
    <s v="Available"/>
    <s v="Numeric"/>
  </r>
  <r>
    <x v="22"/>
    <b v="0"/>
    <x v="0"/>
    <x v="2"/>
    <s v="Normal Usage"/>
    <x v="0"/>
    <x v="0"/>
    <x v="0"/>
    <s v="Domestic Plan"/>
    <s v="Error"/>
    <s v="Available"/>
    <s v="Numeric"/>
  </r>
  <r>
    <x v="34"/>
    <b v="0"/>
    <x v="0"/>
    <x v="1"/>
    <s v="Normal Usage"/>
    <x v="1"/>
    <x v="0"/>
    <x v="1"/>
    <s v="Domestic Plan"/>
    <s v="Error"/>
    <s v="Available"/>
    <s v="Numeric"/>
  </r>
  <r>
    <x v="37"/>
    <b v="0"/>
    <x v="0"/>
    <x v="2"/>
    <s v="Normal Usage"/>
    <x v="0"/>
    <x v="0"/>
    <x v="0"/>
    <s v="Domestic Plan"/>
    <s v="Error"/>
    <s v="Available"/>
    <s v="Numeric"/>
  </r>
  <r>
    <x v="39"/>
    <b v="0"/>
    <x v="0"/>
    <x v="0"/>
    <s v="Normal Usage"/>
    <x v="2"/>
    <x v="0"/>
    <x v="0"/>
    <s v="Domestic Plan"/>
    <s v="Error"/>
    <s v="Available"/>
    <s v="Numeric"/>
  </r>
  <r>
    <x v="37"/>
    <b v="0"/>
    <x v="0"/>
    <x v="1"/>
    <s v="Normal Usage"/>
    <x v="2"/>
    <x v="0"/>
    <x v="1"/>
    <s v="Domestic Plan"/>
    <s v="Error"/>
    <s v="Available"/>
    <s v="Numeric"/>
  </r>
  <r>
    <x v="10"/>
    <b v="1"/>
    <x v="1"/>
    <x v="2"/>
    <s v="Normal Usage"/>
    <x v="1"/>
    <x v="0"/>
    <x v="0"/>
    <s v="Domestic Plan"/>
    <s v="Error"/>
    <s v="Available"/>
    <s v="Numeric"/>
  </r>
  <r>
    <x v="3"/>
    <b v="1"/>
    <x v="1"/>
    <x v="1"/>
    <s v="High Usage"/>
    <x v="1"/>
    <x v="0"/>
    <x v="1"/>
    <s v="Domestic Plan"/>
    <s v="Error"/>
    <s v="Available"/>
    <s v="Numeric"/>
  </r>
  <r>
    <x v="23"/>
    <b v="0"/>
    <x v="0"/>
    <x v="0"/>
    <s v="Normal Usage"/>
    <x v="2"/>
    <x v="1"/>
    <x v="0"/>
    <s v="Domestic Plan"/>
    <s v="Error"/>
    <s v="Available"/>
    <s v="Numeric"/>
  </r>
  <r>
    <x v="43"/>
    <b v="0"/>
    <x v="0"/>
    <x v="0"/>
    <s v="Normal Usage"/>
    <x v="0"/>
    <x v="1"/>
    <x v="0"/>
    <s v="Domestic Plan"/>
    <s v="Error"/>
    <s v="Available"/>
    <s v="Numeric"/>
  </r>
  <r>
    <x v="33"/>
    <b v="0"/>
    <x v="0"/>
    <x v="0"/>
    <s v="High Usage"/>
    <x v="0"/>
    <x v="0"/>
    <x v="0"/>
    <s v="Domestic Plan"/>
    <s v="Error"/>
    <s v="Available"/>
    <s v="Numeric"/>
  </r>
  <r>
    <x v="42"/>
    <b v="1"/>
    <x v="1"/>
    <x v="0"/>
    <s v="High Usage"/>
    <x v="1"/>
    <x v="0"/>
    <x v="0"/>
    <s v="Domestic Plan"/>
    <s v="Error"/>
    <s v="Available"/>
    <s v="Numeric"/>
  </r>
  <r>
    <x v="4"/>
    <b v="0"/>
    <x v="0"/>
    <x v="2"/>
    <s v="Normal Usage"/>
    <x v="0"/>
    <x v="0"/>
    <x v="0"/>
    <s v="Domestic Plan"/>
    <s v="Error"/>
    <s v="Available"/>
    <s v="Numeric"/>
  </r>
  <r>
    <x v="36"/>
    <b v="0"/>
    <x v="0"/>
    <x v="0"/>
    <s v="Normal Usage"/>
    <x v="2"/>
    <x v="0"/>
    <x v="0"/>
    <s v="Domestic Plan"/>
    <s v="Error"/>
    <s v="Available"/>
    <s v="Numeric"/>
  </r>
  <r>
    <x v="22"/>
    <b v="0"/>
    <x v="0"/>
    <x v="0"/>
    <s v="Normal Usage"/>
    <x v="2"/>
    <x v="0"/>
    <x v="0"/>
    <s v="Domestic Plan"/>
    <s v="Error"/>
    <s v="Available"/>
    <s v="Numeric"/>
  </r>
  <r>
    <x v="30"/>
    <b v="0"/>
    <x v="0"/>
    <x v="0"/>
    <s v="Normal Usage"/>
    <x v="0"/>
    <x v="0"/>
    <x v="0"/>
    <s v="Domestic Plan"/>
    <s v="Error"/>
    <s v="Available"/>
    <s v="Numeric"/>
  </r>
  <r>
    <x v="5"/>
    <b v="0"/>
    <x v="0"/>
    <x v="1"/>
    <s v="Normal Usage"/>
    <x v="2"/>
    <x v="1"/>
    <x v="1"/>
    <s v="Domestic Plan"/>
    <s v="Error"/>
    <s v="Available"/>
    <s v="Numeric"/>
  </r>
  <r>
    <x v="9"/>
    <b v="0"/>
    <x v="0"/>
    <x v="2"/>
    <s v="Normal Usage"/>
    <x v="0"/>
    <x v="0"/>
    <x v="0"/>
    <s v="Domestic Plan"/>
    <s v="Error"/>
    <s v="Available"/>
    <s v="Numeric"/>
  </r>
  <r>
    <x v="1"/>
    <b v="0"/>
    <x v="0"/>
    <x v="0"/>
    <s v="Normal Usage"/>
    <x v="0"/>
    <x v="0"/>
    <x v="0"/>
    <s v="Domestic Plan"/>
    <s v="Error"/>
    <s v="Available"/>
    <s v="Numeric"/>
  </r>
  <r>
    <x v="39"/>
    <b v="0"/>
    <x v="0"/>
    <x v="1"/>
    <s v="Normal Usage"/>
    <x v="2"/>
    <x v="0"/>
    <x v="1"/>
    <s v="Domestic Plan"/>
    <s v="Error"/>
    <s v="Available"/>
    <s v="Numeric"/>
  </r>
  <r>
    <x v="27"/>
    <b v="0"/>
    <x v="0"/>
    <x v="0"/>
    <s v="Normal Usage"/>
    <x v="0"/>
    <x v="0"/>
    <x v="0"/>
    <s v="Domestic Plan"/>
    <s v="Error"/>
    <s v="Available"/>
    <s v="Numeric"/>
  </r>
  <r>
    <x v="23"/>
    <b v="0"/>
    <x v="0"/>
    <x v="0"/>
    <s v="Normal Usage"/>
    <x v="2"/>
    <x v="1"/>
    <x v="0"/>
    <s v="Domestic Plan"/>
    <s v="Error"/>
    <s v="Available"/>
    <s v="Numeric"/>
  </r>
  <r>
    <x v="42"/>
    <b v="1"/>
    <x v="1"/>
    <x v="0"/>
    <s v="High Usage"/>
    <x v="1"/>
    <x v="1"/>
    <x v="0"/>
    <s v="Domestic Plan"/>
    <s v="Error"/>
    <s v="Available"/>
    <s v="Numeric"/>
  </r>
  <r>
    <x v="11"/>
    <b v="0"/>
    <x v="0"/>
    <x v="0"/>
    <s v="Normal Usage"/>
    <x v="0"/>
    <x v="0"/>
    <x v="0"/>
    <s v="Domestic Plan"/>
    <s v="Error"/>
    <s v="Available"/>
    <s v="Numeric"/>
  </r>
  <r>
    <x v="43"/>
    <b v="1"/>
    <x v="1"/>
    <x v="1"/>
    <s v="Normal Usage"/>
    <x v="1"/>
    <x v="0"/>
    <x v="1"/>
    <s v="Domestic Plan"/>
    <s v="Error"/>
    <s v="Available"/>
    <s v="Numeric"/>
  </r>
  <r>
    <x v="30"/>
    <b v="0"/>
    <x v="0"/>
    <x v="0"/>
    <s v="Normal Usage"/>
    <x v="0"/>
    <x v="1"/>
    <x v="0"/>
    <s v="International Customer"/>
    <s v="Error"/>
    <s v="Available"/>
    <s v="Numeric"/>
  </r>
  <r>
    <x v="23"/>
    <b v="0"/>
    <x v="0"/>
    <x v="2"/>
    <s v="Normal Usage"/>
    <x v="0"/>
    <x v="1"/>
    <x v="0"/>
    <s v="Domestic Plan"/>
    <s v="Error"/>
    <s v="Available"/>
    <s v="Numeric"/>
  </r>
  <r>
    <x v="16"/>
    <b v="0"/>
    <x v="0"/>
    <x v="0"/>
    <s v="Normal Usage"/>
    <x v="2"/>
    <x v="1"/>
    <x v="0"/>
    <s v="Domestic Plan"/>
    <s v="Error"/>
    <s v="Available"/>
    <s v="Numeric"/>
  </r>
  <r>
    <x v="7"/>
    <b v="1"/>
    <x v="1"/>
    <x v="0"/>
    <s v="High Usage"/>
    <x v="1"/>
    <x v="0"/>
    <x v="0"/>
    <s v="Domestic Plan"/>
    <s v="Error"/>
    <s v="Available"/>
    <s v="Numeric"/>
  </r>
  <r>
    <x v="26"/>
    <b v="0"/>
    <x v="0"/>
    <x v="2"/>
    <s v="High Usage"/>
    <x v="0"/>
    <x v="0"/>
    <x v="0"/>
    <s v="Domestic Plan"/>
    <s v="Error"/>
    <s v="Available"/>
    <s v="Numeric"/>
  </r>
  <r>
    <x v="35"/>
    <b v="0"/>
    <x v="0"/>
    <x v="2"/>
    <s v="Normal Usage"/>
    <x v="0"/>
    <x v="1"/>
    <x v="0"/>
    <s v="International Customer"/>
    <s v="Error"/>
    <s v="Available"/>
    <s v="Numeric"/>
  </r>
  <r>
    <x v="25"/>
    <b v="1"/>
    <x v="1"/>
    <x v="2"/>
    <s v="Normal Usage"/>
    <x v="1"/>
    <x v="0"/>
    <x v="0"/>
    <s v="Domestic Plan"/>
    <s v="Error"/>
    <s v="Available"/>
    <s v="Numeric"/>
  </r>
  <r>
    <x v="31"/>
    <b v="0"/>
    <x v="0"/>
    <x v="0"/>
    <s v="Normal Usage"/>
    <x v="0"/>
    <x v="0"/>
    <x v="0"/>
    <s v="Domestic Plan"/>
    <s v="Error"/>
    <s v="Available"/>
    <s v="Numeric"/>
  </r>
  <r>
    <x v="24"/>
    <b v="0"/>
    <x v="0"/>
    <x v="0"/>
    <s v="Normal Usage"/>
    <x v="2"/>
    <x v="1"/>
    <x v="0"/>
    <s v="Domestic Plan"/>
    <s v="Error"/>
    <s v="Available"/>
    <s v="Numeric"/>
  </r>
  <r>
    <x v="3"/>
    <b v="1"/>
    <x v="1"/>
    <x v="0"/>
    <s v="Normal Usage"/>
    <x v="1"/>
    <x v="0"/>
    <x v="0"/>
    <s v="Domestic Plan"/>
    <s v="Error"/>
    <s v="Available"/>
    <s v="Numeric"/>
  </r>
  <r>
    <x v="16"/>
    <b v="0"/>
    <x v="0"/>
    <x v="2"/>
    <s v="Normal Usage"/>
    <x v="0"/>
    <x v="0"/>
    <x v="0"/>
    <s v="Domestic Plan"/>
    <s v="Error"/>
    <s v="Available"/>
    <s v="Numeric"/>
  </r>
  <r>
    <x v="44"/>
    <b v="0"/>
    <x v="0"/>
    <x v="0"/>
    <s v="High Usage"/>
    <x v="0"/>
    <x v="0"/>
    <x v="0"/>
    <s v="Domestic Plan"/>
    <s v="Error"/>
    <s v="Available"/>
    <s v="Numeric"/>
  </r>
  <r>
    <x v="2"/>
    <b v="0"/>
    <x v="0"/>
    <x v="0"/>
    <s v="Normal Usage"/>
    <x v="0"/>
    <x v="0"/>
    <x v="0"/>
    <s v="Domestic Plan"/>
    <s v="Error"/>
    <s v="Available"/>
    <s v="Numeric"/>
  </r>
  <r>
    <x v="44"/>
    <b v="0"/>
    <x v="0"/>
    <x v="2"/>
    <s v="Normal Usage"/>
    <x v="0"/>
    <x v="0"/>
    <x v="0"/>
    <s v="Domestic Plan"/>
    <s v="Error"/>
    <s v="Available"/>
    <s v="Numeric"/>
  </r>
  <r>
    <x v="24"/>
    <b v="0"/>
    <x v="0"/>
    <x v="0"/>
    <s v="Normal Usage"/>
    <x v="2"/>
    <x v="0"/>
    <x v="0"/>
    <s v="Domestic Plan"/>
    <s v="Error"/>
    <s v="Available"/>
    <s v="Numeric"/>
  </r>
  <r>
    <x v="40"/>
    <b v="0"/>
    <x v="0"/>
    <x v="1"/>
    <s v="High Usage"/>
    <x v="1"/>
    <x v="0"/>
    <x v="1"/>
    <s v="Domestic Plan"/>
    <s v="Error"/>
    <s v="Available"/>
    <s v="Numeric"/>
  </r>
  <r>
    <x v="9"/>
    <b v="0"/>
    <x v="0"/>
    <x v="0"/>
    <s v="Normal Usage"/>
    <x v="0"/>
    <x v="0"/>
    <x v="0"/>
    <s v="Domestic Plan"/>
    <s v="Error"/>
    <s v="Available"/>
    <s v="Numeric"/>
  </r>
  <r>
    <x v="42"/>
    <b v="0"/>
    <x v="0"/>
    <x v="0"/>
    <s v="Normal Usage"/>
    <x v="2"/>
    <x v="0"/>
    <x v="0"/>
    <s v="Domestic Plan"/>
    <s v="Error"/>
    <s v="Available"/>
    <s v="Numeric"/>
  </r>
  <r>
    <x v="28"/>
    <b v="1"/>
    <x v="1"/>
    <x v="2"/>
    <s v="Normal Usage"/>
    <x v="1"/>
    <x v="0"/>
    <x v="0"/>
    <s v="Domestic Plan"/>
    <s v="Error"/>
    <s v="Available"/>
    <s v="Numeric"/>
  </r>
  <r>
    <x v="47"/>
    <b v="0"/>
    <x v="0"/>
    <x v="2"/>
    <s v="Normal Usage"/>
    <x v="0"/>
    <x v="1"/>
    <x v="0"/>
    <s v="Domestic Plan"/>
    <s v="Error"/>
    <s v="Available"/>
    <s v="Numeric"/>
  </r>
  <r>
    <x v="45"/>
    <b v="0"/>
    <x v="0"/>
    <x v="0"/>
    <s v="Normal Usage"/>
    <x v="0"/>
    <x v="0"/>
    <x v="0"/>
    <s v="Domestic Plan"/>
    <s v="Error"/>
    <s v="Available"/>
    <s v="Numeric"/>
  </r>
  <r>
    <x v="48"/>
    <b v="0"/>
    <x v="0"/>
    <x v="0"/>
    <s v="Normal Usage"/>
    <x v="0"/>
    <x v="1"/>
    <x v="0"/>
    <s v="Domestic Plan"/>
    <s v="Error"/>
    <s v="Available"/>
    <s v="Numeric"/>
  </r>
  <r>
    <x v="34"/>
    <b v="0"/>
    <x v="0"/>
    <x v="2"/>
    <s v="Normal Usage"/>
    <x v="0"/>
    <x v="1"/>
    <x v="0"/>
    <s v="Domestic Plan"/>
    <s v="Error"/>
    <s v="Available"/>
    <s v="Numeric"/>
  </r>
  <r>
    <x v="13"/>
    <b v="0"/>
    <x v="0"/>
    <x v="0"/>
    <s v="Normal Usage"/>
    <x v="0"/>
    <x v="1"/>
    <x v="0"/>
    <s v="Domestic Plan"/>
    <s v="Error"/>
    <s v="Available"/>
    <s v="Numeric"/>
  </r>
  <r>
    <x v="20"/>
    <b v="0"/>
    <x v="0"/>
    <x v="2"/>
    <s v="Normal Usage"/>
    <x v="0"/>
    <x v="0"/>
    <x v="0"/>
    <s v="Domestic Plan"/>
    <s v="Error"/>
    <s v="Available"/>
    <s v="Numeric"/>
  </r>
  <r>
    <x v="30"/>
    <b v="0"/>
    <x v="0"/>
    <x v="1"/>
    <s v="High Usage"/>
    <x v="1"/>
    <x v="1"/>
    <x v="1"/>
    <s v="Domestic Plan"/>
    <s v="Error"/>
    <s v="Available"/>
    <s v="Numeric"/>
  </r>
  <r>
    <x v="33"/>
    <b v="0"/>
    <x v="0"/>
    <x v="0"/>
    <s v="Normal Usage"/>
    <x v="2"/>
    <x v="0"/>
    <x v="0"/>
    <s v="Domestic Plan"/>
    <s v="Error"/>
    <s v="Available"/>
    <s v="Numeric"/>
  </r>
  <r>
    <x v="37"/>
    <b v="0"/>
    <x v="0"/>
    <x v="2"/>
    <s v="Normal Usage"/>
    <x v="0"/>
    <x v="0"/>
    <x v="0"/>
    <s v="Domestic Plan"/>
    <s v="Error"/>
    <s v="Available"/>
    <s v="Numeric"/>
  </r>
  <r>
    <x v="20"/>
    <b v="0"/>
    <x v="0"/>
    <x v="0"/>
    <s v="Normal Usage"/>
    <x v="2"/>
    <x v="0"/>
    <x v="0"/>
    <s v="Domestic Plan"/>
    <s v="Error"/>
    <s v="Available"/>
    <s v="Numeric"/>
  </r>
  <r>
    <x v="18"/>
    <b v="1"/>
    <x v="1"/>
    <x v="0"/>
    <s v="High Usage"/>
    <x v="1"/>
    <x v="0"/>
    <x v="0"/>
    <s v="Domestic Plan"/>
    <s v="Error"/>
    <s v="Available"/>
    <s v="Numeric"/>
  </r>
  <r>
    <x v="1"/>
    <b v="1"/>
    <x v="1"/>
    <x v="1"/>
    <s v="High Usage"/>
    <x v="1"/>
    <x v="0"/>
    <x v="1"/>
    <s v="Domestic Plan"/>
    <s v="Error"/>
    <s v="Available"/>
    <s v="Numeric"/>
  </r>
  <r>
    <x v="19"/>
    <b v="0"/>
    <x v="0"/>
    <x v="0"/>
    <s v="Normal Usage"/>
    <x v="0"/>
    <x v="0"/>
    <x v="0"/>
    <s v="Domestic Plan"/>
    <s v="Error"/>
    <s v="Available"/>
    <s v="Numeric"/>
  </r>
  <r>
    <x v="22"/>
    <b v="0"/>
    <x v="0"/>
    <x v="2"/>
    <s v="Normal Usage"/>
    <x v="0"/>
    <x v="0"/>
    <x v="0"/>
    <s v="Domestic Plan"/>
    <s v="Error"/>
    <s v="Available"/>
    <s v="Numeric"/>
  </r>
  <r>
    <x v="45"/>
    <b v="0"/>
    <x v="0"/>
    <x v="2"/>
    <s v="Normal Usage"/>
    <x v="0"/>
    <x v="0"/>
    <x v="0"/>
    <s v="Domestic Plan"/>
    <s v="Error"/>
    <s v="Available"/>
    <s v="Numeric"/>
  </r>
  <r>
    <x v="25"/>
    <b v="0"/>
    <x v="0"/>
    <x v="0"/>
    <s v="Normal Usage"/>
    <x v="0"/>
    <x v="1"/>
    <x v="0"/>
    <s v="Domestic Plan"/>
    <s v="Error"/>
    <s v="Available"/>
    <s v="Numeric"/>
  </r>
  <r>
    <x v="10"/>
    <b v="0"/>
    <x v="0"/>
    <x v="0"/>
    <s v="High Usage"/>
    <x v="2"/>
    <x v="1"/>
    <x v="0"/>
    <s v="International Customer"/>
    <s v="Error"/>
    <s v="Available"/>
    <s v="Numeric"/>
  </r>
  <r>
    <x v="50"/>
    <b v="0"/>
    <x v="0"/>
    <x v="1"/>
    <s v="Normal Usage"/>
    <x v="2"/>
    <x v="0"/>
    <x v="1"/>
    <s v="Domestic Plan"/>
    <s v="Error"/>
    <s v="Available"/>
    <s v="Numeric"/>
  </r>
  <r>
    <x v="26"/>
    <b v="0"/>
    <x v="0"/>
    <x v="1"/>
    <s v="Normal Usage"/>
    <x v="2"/>
    <x v="0"/>
    <x v="1"/>
    <s v="Domestic Plan"/>
    <s v="Error"/>
    <s v="Available"/>
    <s v="Numeric"/>
  </r>
  <r>
    <x v="24"/>
    <b v="0"/>
    <x v="0"/>
    <x v="0"/>
    <s v="Normal Usage"/>
    <x v="0"/>
    <x v="0"/>
    <x v="0"/>
    <s v="Domestic Plan"/>
    <s v="Error"/>
    <s v="Available"/>
    <s v="Numeric"/>
  </r>
  <r>
    <x v="31"/>
    <b v="1"/>
    <x v="1"/>
    <x v="1"/>
    <s v="Normal Usage"/>
    <x v="1"/>
    <x v="0"/>
    <x v="1"/>
    <s v="Domestic Plan"/>
    <s v="Error"/>
    <s v="Available"/>
    <s v="Numeric"/>
  </r>
  <r>
    <x v="7"/>
    <b v="0"/>
    <x v="0"/>
    <x v="2"/>
    <s v="Normal Usage"/>
    <x v="0"/>
    <x v="1"/>
    <x v="0"/>
    <s v="Domestic Plan"/>
    <s v="Error"/>
    <s v="Available"/>
    <s v="Numeric"/>
  </r>
  <r>
    <x v="9"/>
    <b v="0"/>
    <x v="0"/>
    <x v="0"/>
    <s v="Normal Usage"/>
    <x v="0"/>
    <x v="0"/>
    <x v="0"/>
    <s v="Domestic Plan"/>
    <s v="Error"/>
    <s v="Available"/>
    <s v="Numeric"/>
  </r>
  <r>
    <x v="3"/>
    <b v="0"/>
    <x v="0"/>
    <x v="2"/>
    <s v="Normal Usage"/>
    <x v="0"/>
    <x v="1"/>
    <x v="0"/>
    <s v="Domestic Plan"/>
    <s v="Error"/>
    <s v="Available"/>
    <s v="Numeric"/>
  </r>
  <r>
    <x v="38"/>
    <b v="0"/>
    <x v="0"/>
    <x v="0"/>
    <s v="Normal Usage"/>
    <x v="2"/>
    <x v="0"/>
    <x v="0"/>
    <s v="Domestic Plan"/>
    <s v="Error"/>
    <s v="Available"/>
    <s v="Numeric"/>
  </r>
  <r>
    <x v="19"/>
    <b v="0"/>
    <x v="0"/>
    <x v="2"/>
    <s v="Normal Usage"/>
    <x v="0"/>
    <x v="0"/>
    <x v="0"/>
    <s v="Domestic Plan"/>
    <s v="Error"/>
    <s v="Available"/>
    <s v="Numeric"/>
  </r>
  <r>
    <x v="37"/>
    <b v="0"/>
    <x v="0"/>
    <x v="0"/>
    <s v="Normal Usage"/>
    <x v="0"/>
    <x v="0"/>
    <x v="0"/>
    <s v="Domestic Plan"/>
    <s v="Error"/>
    <s v="Available"/>
    <s v="Numeric"/>
  </r>
  <r>
    <x v="4"/>
    <b v="0"/>
    <x v="0"/>
    <x v="0"/>
    <s v="High Usage"/>
    <x v="0"/>
    <x v="0"/>
    <x v="0"/>
    <s v="Domestic Plan"/>
    <s v="Error"/>
    <s v="Available"/>
    <s v="Numeric"/>
  </r>
  <r>
    <x v="6"/>
    <b v="1"/>
    <x v="1"/>
    <x v="0"/>
    <s v="Normal Usage"/>
    <x v="1"/>
    <x v="1"/>
    <x v="0"/>
    <s v="International Customer"/>
    <s v="Error"/>
    <s v="Available"/>
    <s v="Numeric"/>
  </r>
  <r>
    <x v="21"/>
    <b v="0"/>
    <x v="0"/>
    <x v="0"/>
    <s v="Normal Usage"/>
    <x v="0"/>
    <x v="1"/>
    <x v="0"/>
    <s v="International Customer"/>
    <s v="Error"/>
    <s v="Available"/>
    <s v="Numeric"/>
  </r>
  <r>
    <x v="22"/>
    <b v="0"/>
    <x v="0"/>
    <x v="0"/>
    <s v="Normal Usage"/>
    <x v="0"/>
    <x v="1"/>
    <x v="0"/>
    <s v="Domestic Plan"/>
    <s v="Error"/>
    <s v="Available"/>
    <s v="Numeric"/>
  </r>
  <r>
    <x v="11"/>
    <b v="1"/>
    <x v="1"/>
    <x v="0"/>
    <s v="High Usage"/>
    <x v="1"/>
    <x v="0"/>
    <x v="0"/>
    <s v="Domestic Plan"/>
    <s v="Error"/>
    <s v="Available"/>
    <s v="Numeric"/>
  </r>
  <r>
    <x v="8"/>
    <b v="0"/>
    <x v="0"/>
    <x v="0"/>
    <s v="Normal Usage"/>
    <x v="0"/>
    <x v="1"/>
    <x v="0"/>
    <s v="Domestic Plan"/>
    <s v="Error"/>
    <s v="Available"/>
    <s v="Numeric"/>
  </r>
  <r>
    <x v="35"/>
    <b v="0"/>
    <x v="0"/>
    <x v="0"/>
    <s v="Normal Usage"/>
    <x v="0"/>
    <x v="0"/>
    <x v="0"/>
    <s v="Domestic Plan"/>
    <s v="Error"/>
    <s v="Available"/>
    <s v="Numeric"/>
  </r>
  <r>
    <x v="43"/>
    <b v="0"/>
    <x v="0"/>
    <x v="1"/>
    <s v="High Usage"/>
    <x v="1"/>
    <x v="0"/>
    <x v="1"/>
    <s v="Domestic Plan"/>
    <s v="Error"/>
    <s v="Available"/>
    <s v="Numeric"/>
  </r>
  <r>
    <x v="20"/>
    <b v="0"/>
    <x v="0"/>
    <x v="2"/>
    <s v="Normal Usage"/>
    <x v="0"/>
    <x v="1"/>
    <x v="0"/>
    <s v="Domestic Plan"/>
    <s v="Error"/>
    <s v="Available"/>
    <s v="Numeric"/>
  </r>
  <r>
    <x v="15"/>
    <b v="0"/>
    <x v="0"/>
    <x v="0"/>
    <s v="Normal Usage"/>
    <x v="0"/>
    <x v="1"/>
    <x v="0"/>
    <s v="Domestic Plan"/>
    <s v="Error"/>
    <s v="Available"/>
    <s v="Numeric"/>
  </r>
  <r>
    <x v="37"/>
    <b v="0"/>
    <x v="0"/>
    <x v="0"/>
    <s v="Normal Usage"/>
    <x v="0"/>
    <x v="0"/>
    <x v="0"/>
    <s v="Domestic Plan"/>
    <s v="Error"/>
    <s v="Available"/>
    <s v="Numeric"/>
  </r>
  <r>
    <x v="15"/>
    <b v="0"/>
    <x v="0"/>
    <x v="2"/>
    <s v="Normal Usage"/>
    <x v="0"/>
    <x v="0"/>
    <x v="0"/>
    <s v="Domestic Plan"/>
    <s v="Error"/>
    <s v="Available"/>
    <s v="Numeric"/>
  </r>
  <r>
    <x v="14"/>
    <b v="0"/>
    <x v="0"/>
    <x v="1"/>
    <s v="Normal Usage"/>
    <x v="2"/>
    <x v="1"/>
    <x v="1"/>
    <s v="International Customer"/>
    <s v="Error"/>
    <s v="Available"/>
    <s v="Numeric"/>
  </r>
  <r>
    <x v="39"/>
    <b v="0"/>
    <x v="0"/>
    <x v="0"/>
    <s v="Normal Usage"/>
    <x v="0"/>
    <x v="0"/>
    <x v="0"/>
    <s v="Domestic Plan"/>
    <s v="Error"/>
    <s v="Available"/>
    <s v="Numeric"/>
  </r>
  <r>
    <x v="13"/>
    <b v="0"/>
    <x v="0"/>
    <x v="2"/>
    <s v="High Usage"/>
    <x v="0"/>
    <x v="0"/>
    <x v="0"/>
    <s v="Domestic Plan"/>
    <s v="Error"/>
    <s v="Available"/>
    <s v="Numeric"/>
  </r>
  <r>
    <x v="16"/>
    <b v="0"/>
    <x v="0"/>
    <x v="0"/>
    <s v="Normal Usage"/>
    <x v="2"/>
    <x v="0"/>
    <x v="0"/>
    <s v="Domestic Plan"/>
    <s v="Error"/>
    <s v="Available"/>
    <s v="Numeric"/>
  </r>
  <r>
    <x v="41"/>
    <b v="0"/>
    <x v="0"/>
    <x v="0"/>
    <s v="High Usage"/>
    <x v="2"/>
    <x v="0"/>
    <x v="0"/>
    <s v="Domestic Plan"/>
    <s v="Error"/>
    <s v="Available"/>
    <s v="Numeric"/>
  </r>
  <r>
    <x v="15"/>
    <b v="1"/>
    <x v="1"/>
    <x v="1"/>
    <s v="High Usage"/>
    <x v="1"/>
    <x v="0"/>
    <x v="1"/>
    <s v="Domestic Plan"/>
    <s v="Error"/>
    <s v="Available"/>
    <s v="Numeric"/>
  </r>
  <r>
    <x v="25"/>
    <b v="0"/>
    <x v="0"/>
    <x v="1"/>
    <s v="Normal Usage"/>
    <x v="2"/>
    <x v="0"/>
    <x v="1"/>
    <s v="Domestic Plan"/>
    <s v="Error"/>
    <s v="Available"/>
    <s v="Numeric"/>
  </r>
  <r>
    <x v="27"/>
    <b v="0"/>
    <x v="0"/>
    <x v="1"/>
    <s v="Normal Usage"/>
    <x v="1"/>
    <x v="0"/>
    <x v="1"/>
    <s v="Domestic Plan"/>
    <s v="Error"/>
    <s v="Available"/>
    <s v="Numeric"/>
  </r>
  <r>
    <x v="3"/>
    <b v="0"/>
    <x v="0"/>
    <x v="0"/>
    <s v="Normal Usage"/>
    <x v="0"/>
    <x v="0"/>
    <x v="0"/>
    <s v="Domestic Plan"/>
    <s v="Error"/>
    <s v="Available"/>
    <s v="Numeric"/>
  </r>
  <r>
    <x v="1"/>
    <b v="0"/>
    <x v="0"/>
    <x v="1"/>
    <s v="Normal Usage"/>
    <x v="2"/>
    <x v="1"/>
    <x v="1"/>
    <s v="Domestic Plan"/>
    <s v="Error"/>
    <s v="Available"/>
    <s v="Numeric"/>
  </r>
  <r>
    <x v="40"/>
    <b v="0"/>
    <x v="0"/>
    <x v="2"/>
    <s v="High Usage"/>
    <x v="0"/>
    <x v="0"/>
    <x v="0"/>
    <s v="Domestic Plan"/>
    <s v="Error"/>
    <s v="Available"/>
    <s v="Numeric"/>
  </r>
  <r>
    <x v="36"/>
    <b v="0"/>
    <x v="0"/>
    <x v="2"/>
    <s v="Normal Usage"/>
    <x v="0"/>
    <x v="0"/>
    <x v="0"/>
    <s v="Domestic Plan"/>
    <s v="Error"/>
    <s v="Available"/>
    <s v="Numeric"/>
  </r>
  <r>
    <x v="25"/>
    <b v="0"/>
    <x v="0"/>
    <x v="0"/>
    <s v="Normal Usage"/>
    <x v="2"/>
    <x v="0"/>
    <x v="0"/>
    <s v="Domestic Plan"/>
    <s v="Error"/>
    <s v="Available"/>
    <s v="Numeric"/>
  </r>
  <r>
    <x v="42"/>
    <b v="0"/>
    <x v="0"/>
    <x v="2"/>
    <s v="High Usage"/>
    <x v="0"/>
    <x v="0"/>
    <x v="0"/>
    <s v="Domestic Plan"/>
    <s v="Error"/>
    <s v="Available"/>
    <s v="Numeric"/>
  </r>
  <r>
    <x v="12"/>
    <b v="1"/>
    <x v="1"/>
    <x v="1"/>
    <s v="Normal Usage"/>
    <x v="1"/>
    <x v="0"/>
    <x v="1"/>
    <s v="Domestic Plan"/>
    <s v="Error"/>
    <s v="Available"/>
    <s v="Numeric"/>
  </r>
  <r>
    <x v="44"/>
    <b v="0"/>
    <x v="0"/>
    <x v="0"/>
    <s v="Normal Usage"/>
    <x v="0"/>
    <x v="0"/>
    <x v="0"/>
    <s v="Domestic Plan"/>
    <s v="Error"/>
    <s v="Available"/>
    <s v="Numeric"/>
  </r>
  <r>
    <x v="42"/>
    <b v="0"/>
    <x v="0"/>
    <x v="0"/>
    <s v="Normal Usage"/>
    <x v="0"/>
    <x v="1"/>
    <x v="0"/>
    <s v="Domestic Plan"/>
    <s v="Error"/>
    <s v="Available"/>
    <s v="Numeric"/>
  </r>
  <r>
    <x v="1"/>
    <b v="0"/>
    <x v="0"/>
    <x v="1"/>
    <s v="High Usage"/>
    <x v="1"/>
    <x v="0"/>
    <x v="1"/>
    <s v="Domestic Plan"/>
    <s v="Error"/>
    <s v="Available"/>
    <s v="Numeric"/>
  </r>
  <r>
    <x v="24"/>
    <b v="0"/>
    <x v="0"/>
    <x v="1"/>
    <s v="Normal Usage"/>
    <x v="1"/>
    <x v="0"/>
    <x v="1"/>
    <s v="Domestic Plan"/>
    <s v="Error"/>
    <s v="Available"/>
    <s v="Numeric"/>
  </r>
  <r>
    <x v="12"/>
    <b v="0"/>
    <x v="0"/>
    <x v="0"/>
    <s v="Normal Usage"/>
    <x v="2"/>
    <x v="1"/>
    <x v="0"/>
    <s v="Domestic Plan"/>
    <s v="Error"/>
    <s v="Available"/>
    <s v="Numeric"/>
  </r>
  <r>
    <x v="24"/>
    <b v="0"/>
    <x v="0"/>
    <x v="0"/>
    <s v="Normal Usage"/>
    <x v="0"/>
    <x v="0"/>
    <x v="0"/>
    <s v="Domestic Plan"/>
    <s v="Error"/>
    <s v="Available"/>
    <s v="Numeric"/>
  </r>
  <r>
    <x v="41"/>
    <b v="0"/>
    <x v="0"/>
    <x v="0"/>
    <s v="Normal Usage"/>
    <x v="2"/>
    <x v="0"/>
    <x v="0"/>
    <s v="Domestic Plan"/>
    <s v="Error"/>
    <s v="Available"/>
    <s v="Numeric"/>
  </r>
  <r>
    <x v="1"/>
    <b v="0"/>
    <x v="0"/>
    <x v="1"/>
    <s v="Normal Usage"/>
    <x v="2"/>
    <x v="0"/>
    <x v="1"/>
    <s v="Domestic Plan"/>
    <s v="Error"/>
    <s v="Available"/>
    <s v="Numeric"/>
  </r>
  <r>
    <x v="46"/>
    <b v="0"/>
    <x v="0"/>
    <x v="0"/>
    <s v="Normal Usage"/>
    <x v="0"/>
    <x v="0"/>
    <x v="0"/>
    <s v="Domestic Plan"/>
    <s v="Error"/>
    <s v="Available"/>
    <s v="Numeric"/>
  </r>
  <r>
    <x v="23"/>
    <b v="0"/>
    <x v="0"/>
    <x v="2"/>
    <s v="Normal Usage"/>
    <x v="0"/>
    <x v="0"/>
    <x v="0"/>
    <s v="Domestic Plan"/>
    <s v="Error"/>
    <s v="Available"/>
    <s v="Numeric"/>
  </r>
  <r>
    <x v="24"/>
    <b v="0"/>
    <x v="0"/>
    <x v="0"/>
    <s v="Normal Usage"/>
    <x v="0"/>
    <x v="1"/>
    <x v="0"/>
    <s v="Domestic Plan"/>
    <s v="Error"/>
    <s v="Available"/>
    <s v="Numeric"/>
  </r>
  <r>
    <x v="0"/>
    <b v="0"/>
    <x v="0"/>
    <x v="2"/>
    <s v="Normal Usage"/>
    <x v="0"/>
    <x v="0"/>
    <x v="0"/>
    <s v="Domestic Plan"/>
    <s v="Error"/>
    <s v="Available"/>
    <s v="Numeric"/>
  </r>
  <r>
    <x v="14"/>
    <b v="0"/>
    <x v="0"/>
    <x v="0"/>
    <s v="Normal Usage"/>
    <x v="2"/>
    <x v="0"/>
    <x v="0"/>
    <s v="Domestic Plan"/>
    <s v="Error"/>
    <s v="Available"/>
    <s v="Numeric"/>
  </r>
  <r>
    <x v="44"/>
    <b v="0"/>
    <x v="0"/>
    <x v="2"/>
    <s v="High Usage"/>
    <x v="0"/>
    <x v="0"/>
    <x v="0"/>
    <s v="Domestic Plan"/>
    <s v="Error"/>
    <s v="Available"/>
    <s v="Numeric"/>
  </r>
  <r>
    <x v="44"/>
    <b v="0"/>
    <x v="0"/>
    <x v="0"/>
    <s v="Normal Usage"/>
    <x v="0"/>
    <x v="1"/>
    <x v="0"/>
    <s v="Domestic Plan"/>
    <s v="Error"/>
    <s v="Available"/>
    <s v="Numeric"/>
  </r>
  <r>
    <x v="49"/>
    <b v="0"/>
    <x v="0"/>
    <x v="0"/>
    <s v="Normal Usage"/>
    <x v="0"/>
    <x v="0"/>
    <x v="0"/>
    <s v="Domestic Plan"/>
    <s v="Error"/>
    <s v="Available"/>
    <s v="Numeric"/>
  </r>
  <r>
    <x v="19"/>
    <b v="0"/>
    <x v="0"/>
    <x v="2"/>
    <s v="Normal Usage"/>
    <x v="0"/>
    <x v="1"/>
    <x v="0"/>
    <s v="Domestic Plan"/>
    <s v="Error"/>
    <s v="Available"/>
    <s v="Numeric"/>
  </r>
  <r>
    <x v="18"/>
    <b v="0"/>
    <x v="0"/>
    <x v="0"/>
    <s v="Normal Usage"/>
    <x v="0"/>
    <x v="0"/>
    <x v="0"/>
    <s v="Domestic Plan"/>
    <s v="Error"/>
    <s v="Available"/>
    <s v="Numeric"/>
  </r>
  <r>
    <x v="45"/>
    <b v="0"/>
    <x v="0"/>
    <x v="0"/>
    <s v="High Usage"/>
    <x v="0"/>
    <x v="1"/>
    <x v="0"/>
    <s v="Domestic Plan"/>
    <s v="Error"/>
    <s v="Available"/>
    <s v="Numeric"/>
  </r>
  <r>
    <x v="7"/>
    <b v="0"/>
    <x v="0"/>
    <x v="0"/>
    <s v="Normal Usage"/>
    <x v="0"/>
    <x v="0"/>
    <x v="0"/>
    <s v="Domestic Plan"/>
    <s v="Error"/>
    <s v="Available"/>
    <s v="Numeric"/>
  </r>
  <r>
    <x v="39"/>
    <b v="0"/>
    <x v="0"/>
    <x v="2"/>
    <s v="High Usage"/>
    <x v="0"/>
    <x v="1"/>
    <x v="0"/>
    <s v="Domestic Plan"/>
    <s v="Error"/>
    <s v="Available"/>
    <s v="Numeric"/>
  </r>
  <r>
    <x v="14"/>
    <b v="0"/>
    <x v="0"/>
    <x v="0"/>
    <s v="High Usage"/>
    <x v="2"/>
    <x v="0"/>
    <x v="0"/>
    <s v="Domestic Plan"/>
    <s v="Error"/>
    <s v="Available"/>
    <s v="Numeric"/>
  </r>
  <r>
    <x v="3"/>
    <b v="0"/>
    <x v="0"/>
    <x v="0"/>
    <s v="Normal Usage"/>
    <x v="0"/>
    <x v="0"/>
    <x v="0"/>
    <s v="Domestic Plan"/>
    <s v="Error"/>
    <s v="Available"/>
    <s v="Numeric"/>
  </r>
  <r>
    <x v="31"/>
    <b v="0"/>
    <x v="0"/>
    <x v="0"/>
    <s v="Normal Usage"/>
    <x v="2"/>
    <x v="0"/>
    <x v="0"/>
    <s v="Domestic Plan"/>
    <s v="Error"/>
    <s v="Available"/>
    <s v="Numeric"/>
  </r>
  <r>
    <x v="2"/>
    <b v="0"/>
    <x v="0"/>
    <x v="2"/>
    <s v="Normal Usage"/>
    <x v="0"/>
    <x v="0"/>
    <x v="0"/>
    <s v="Domestic Plan"/>
    <s v="Error"/>
    <s v="Available"/>
    <s v="Numeric"/>
  </r>
  <r>
    <x v="25"/>
    <b v="0"/>
    <x v="0"/>
    <x v="1"/>
    <s v="Normal Usage"/>
    <x v="1"/>
    <x v="0"/>
    <x v="1"/>
    <s v="Domestic Plan"/>
    <s v="Error"/>
    <s v="Available"/>
    <s v="Numeric"/>
  </r>
  <r>
    <x v="41"/>
    <b v="0"/>
    <x v="0"/>
    <x v="0"/>
    <s v="Normal Usage"/>
    <x v="0"/>
    <x v="0"/>
    <x v="0"/>
    <s v="Domestic Plan"/>
    <s v="Error"/>
    <s v="Available"/>
    <s v="Numeric"/>
  </r>
  <r>
    <x v="13"/>
    <b v="0"/>
    <x v="0"/>
    <x v="0"/>
    <s v="Normal Usage"/>
    <x v="0"/>
    <x v="0"/>
    <x v="0"/>
    <s v="Domestic Plan"/>
    <s v="Error"/>
    <s v="Available"/>
    <s v="Numeric"/>
  </r>
  <r>
    <x v="34"/>
    <b v="0"/>
    <x v="0"/>
    <x v="0"/>
    <s v="Normal Usage"/>
    <x v="0"/>
    <x v="1"/>
    <x v="0"/>
    <s v="Domestic Plan"/>
    <s v="Error"/>
    <s v="Available"/>
    <s v="Numeric"/>
  </r>
  <r>
    <x v="9"/>
    <b v="0"/>
    <x v="0"/>
    <x v="0"/>
    <s v="High Usage"/>
    <x v="0"/>
    <x v="0"/>
    <x v="0"/>
    <s v="Domestic Plan"/>
    <s v="Error"/>
    <s v="Available"/>
    <s v="Numeric"/>
  </r>
  <r>
    <x v="33"/>
    <b v="0"/>
    <x v="0"/>
    <x v="2"/>
    <s v="Normal Usage"/>
    <x v="0"/>
    <x v="0"/>
    <x v="0"/>
    <s v="Domestic Plan"/>
    <s v="Error"/>
    <s v="Available"/>
    <s v="Numeric"/>
  </r>
  <r>
    <x v="16"/>
    <b v="0"/>
    <x v="0"/>
    <x v="1"/>
    <s v="Normal Usage"/>
    <x v="2"/>
    <x v="1"/>
    <x v="1"/>
    <s v="Domestic Plan"/>
    <s v="Error"/>
    <s v="Available"/>
    <s v="Numeric"/>
  </r>
  <r>
    <x v="30"/>
    <b v="0"/>
    <x v="0"/>
    <x v="0"/>
    <s v="Normal Usage"/>
    <x v="0"/>
    <x v="0"/>
    <x v="0"/>
    <s v="Domestic Plan"/>
    <s v="Error"/>
    <s v="Available"/>
    <s v="Numeric"/>
  </r>
  <r>
    <x v="30"/>
    <b v="0"/>
    <x v="0"/>
    <x v="0"/>
    <s v="Normal Usage"/>
    <x v="0"/>
    <x v="1"/>
    <x v="0"/>
    <s v="Domestic Plan"/>
    <s v="Error"/>
    <s v="Available"/>
    <s v="Numeric"/>
  </r>
  <r>
    <x v="28"/>
    <b v="0"/>
    <x v="0"/>
    <x v="0"/>
    <s v="High Usage"/>
    <x v="2"/>
    <x v="0"/>
    <x v="0"/>
    <s v="Domestic Plan"/>
    <s v="Error"/>
    <s v="Available"/>
    <s v="Numeric"/>
  </r>
  <r>
    <x v="33"/>
    <b v="0"/>
    <x v="0"/>
    <x v="1"/>
    <s v="Normal Usage"/>
    <x v="2"/>
    <x v="1"/>
    <x v="1"/>
    <s v="Domestic Plan"/>
    <s v="Error"/>
    <s v="Available"/>
    <s v="Numeric"/>
  </r>
  <r>
    <x v="18"/>
    <b v="1"/>
    <x v="1"/>
    <x v="0"/>
    <s v="Normal Usage"/>
    <x v="1"/>
    <x v="0"/>
    <x v="0"/>
    <s v="Domestic Plan"/>
    <s v="Error"/>
    <s v="Available"/>
    <s v="Numeric"/>
  </r>
  <r>
    <x v="43"/>
    <b v="1"/>
    <x v="1"/>
    <x v="0"/>
    <s v="High Usage"/>
    <x v="1"/>
    <x v="0"/>
    <x v="0"/>
    <s v="Domestic Plan"/>
    <s v="Error"/>
    <s v="Available"/>
    <s v="Numeric"/>
  </r>
  <r>
    <x v="2"/>
    <b v="0"/>
    <x v="0"/>
    <x v="0"/>
    <s v="Normal Usage"/>
    <x v="0"/>
    <x v="1"/>
    <x v="0"/>
    <s v="Domestic Plan"/>
    <s v="Error"/>
    <s v="Available"/>
    <s v="Numeric"/>
  </r>
  <r>
    <x v="9"/>
    <b v="0"/>
    <x v="0"/>
    <x v="0"/>
    <s v="Normal Usage"/>
    <x v="2"/>
    <x v="0"/>
    <x v="0"/>
    <s v="Domestic Plan"/>
    <s v="Error"/>
    <s v="Available"/>
    <s v="Numeric"/>
  </r>
  <r>
    <x v="5"/>
    <b v="0"/>
    <x v="0"/>
    <x v="1"/>
    <s v="Normal Usage"/>
    <x v="1"/>
    <x v="0"/>
    <x v="1"/>
    <s v="Domestic Plan"/>
    <s v="Error"/>
    <s v="Available"/>
    <s v="Numeric"/>
  </r>
  <r>
    <x v="16"/>
    <b v="0"/>
    <x v="0"/>
    <x v="0"/>
    <s v="Normal Usage"/>
    <x v="0"/>
    <x v="1"/>
    <x v="0"/>
    <s v="Domestic Plan"/>
    <s v="Error"/>
    <s v="Available"/>
    <s v="Numeric"/>
  </r>
  <r>
    <x v="30"/>
    <b v="0"/>
    <x v="0"/>
    <x v="2"/>
    <s v="Normal Usage"/>
    <x v="0"/>
    <x v="0"/>
    <x v="0"/>
    <s v="Domestic Plan"/>
    <s v="Error"/>
    <s v="Available"/>
    <s v="Numeric"/>
  </r>
  <r>
    <x v="17"/>
    <b v="0"/>
    <x v="0"/>
    <x v="2"/>
    <s v="Normal Usage"/>
    <x v="0"/>
    <x v="0"/>
    <x v="0"/>
    <s v="Domestic Plan"/>
    <s v="Error"/>
    <s v="Available"/>
    <s v="Numeric"/>
  </r>
  <r>
    <x v="1"/>
    <b v="0"/>
    <x v="0"/>
    <x v="0"/>
    <s v="Normal Usage"/>
    <x v="0"/>
    <x v="0"/>
    <x v="0"/>
    <s v="Domestic Plan"/>
    <s v="Error"/>
    <s v="Available"/>
    <s v="Numeric"/>
  </r>
  <r>
    <x v="17"/>
    <b v="1"/>
    <x v="1"/>
    <x v="2"/>
    <s v="High Usage"/>
    <x v="1"/>
    <x v="0"/>
    <x v="0"/>
    <s v="Domestic Plan"/>
    <s v="Error"/>
    <s v="Available"/>
    <s v="Numeric"/>
  </r>
  <r>
    <x v="9"/>
    <b v="0"/>
    <x v="0"/>
    <x v="0"/>
    <s v="Normal Usage"/>
    <x v="2"/>
    <x v="1"/>
    <x v="0"/>
    <s v="Domestic Plan"/>
    <s v="Error"/>
    <s v="Available"/>
    <s v="Numeric"/>
  </r>
  <r>
    <x v="22"/>
    <b v="0"/>
    <x v="0"/>
    <x v="0"/>
    <s v="Normal Usage"/>
    <x v="0"/>
    <x v="1"/>
    <x v="0"/>
    <s v="Domestic Plan"/>
    <s v="Error"/>
    <s v="Available"/>
    <s v="Numeric"/>
  </r>
  <r>
    <x v="11"/>
    <b v="0"/>
    <x v="0"/>
    <x v="1"/>
    <s v="Normal Usage"/>
    <x v="2"/>
    <x v="0"/>
    <x v="1"/>
    <s v="Domestic Plan"/>
    <s v="Error"/>
    <s v="Available"/>
    <s v="Numeric"/>
  </r>
  <r>
    <x v="44"/>
    <b v="0"/>
    <x v="0"/>
    <x v="0"/>
    <s v="Normal Usage"/>
    <x v="0"/>
    <x v="0"/>
    <x v="0"/>
    <s v="Domestic Plan"/>
    <s v="Error"/>
    <s v="Available"/>
    <s v="Numeric"/>
  </r>
  <r>
    <x v="34"/>
    <b v="0"/>
    <x v="0"/>
    <x v="0"/>
    <s v="High Usage"/>
    <x v="2"/>
    <x v="1"/>
    <x v="0"/>
    <s v="International Customer"/>
    <s v="Error"/>
    <s v="Available"/>
    <s v="Numer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571FB-5F04-44BE-BAD0-598374B8D96B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I59:J111" firstHeaderRow="1" firstDataRow="1" firstDataCol="1"/>
  <pivotFields count="20">
    <pivotField axis="axisRow" showAll="0">
      <items count="52">
        <item x="5"/>
        <item x="22"/>
        <item x="47"/>
        <item x="16"/>
        <item x="17"/>
        <item x="15"/>
        <item x="34"/>
        <item x="39"/>
        <item x="36"/>
        <item x="29"/>
        <item x="50"/>
        <item x="4"/>
        <item x="49"/>
        <item x="7"/>
        <item x="41"/>
        <item x="1"/>
        <item x="30"/>
        <item x="14"/>
        <item x="0"/>
        <item x="13"/>
        <item x="43"/>
        <item x="40"/>
        <item x="6"/>
        <item x="10"/>
        <item x="21"/>
        <item x="27"/>
        <item x="12"/>
        <item x="31"/>
        <item x="46"/>
        <item x="19"/>
        <item x="23"/>
        <item x="42"/>
        <item x="24"/>
        <item x="38"/>
        <item x="2"/>
        <item x="20"/>
        <item x="33"/>
        <item x="25"/>
        <item x="45"/>
        <item x="35"/>
        <item x="3"/>
        <item x="32"/>
        <item x="48"/>
        <item x="26"/>
        <item x="37"/>
        <item x="8"/>
        <item x="11"/>
        <item x="18"/>
        <item x="9"/>
        <item x="44"/>
        <item x="28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Total day charge" fld="8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E3466-76A9-4600-97EA-8F148B5B7DED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4:U56" firstHeaderRow="0" firstDataRow="1" firstDataCol="1"/>
  <pivotFields count="20">
    <pivotField axis="axisRow" showAll="0">
      <items count="52">
        <item x="5"/>
        <item x="22"/>
        <item x="47"/>
        <item x="16"/>
        <item x="17"/>
        <item x="15"/>
        <item x="34"/>
        <item x="39"/>
        <item x="36"/>
        <item x="29"/>
        <item x="50"/>
        <item x="4"/>
        <item x="49"/>
        <item x="7"/>
        <item x="41"/>
        <item x="1"/>
        <item x="30"/>
        <item x="14"/>
        <item x="0"/>
        <item x="13"/>
        <item x="43"/>
        <item x="40"/>
        <item x="6"/>
        <item x="10"/>
        <item x="21"/>
        <item x="27"/>
        <item x="12"/>
        <item x="31"/>
        <item x="46"/>
        <item x="19"/>
        <item x="23"/>
        <item x="42"/>
        <item x="24"/>
        <item x="38"/>
        <item x="2"/>
        <item x="20"/>
        <item x="33"/>
        <item x="25"/>
        <item x="45"/>
        <item x="35"/>
        <item x="3"/>
        <item x="32"/>
        <item x="48"/>
        <item x="26"/>
        <item x="37"/>
        <item x="8"/>
        <item x="11"/>
        <item x="18"/>
        <item x="9"/>
        <item x="44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3">
        <item x="0"/>
        <item x="1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Total day calls" fld="7" baseField="0" baseItem="0"/>
    <dataField name="Sum of Total day charge" fld="8" baseField="0" baseItem="0"/>
    <dataField name="Sum of Total eve minutes" fld="9" baseField="0" baseItem="0"/>
    <dataField name="Sum of Total eve calls" fld="10" baseField="0" baseItem="0"/>
    <dataField name="Sum of Total eve charge" fld="11" baseField="0" baseItem="0"/>
    <dataField name="Sum of Total night minutes" fld="12" baseField="0" baseItem="0"/>
    <dataField name="Sum of Total night calls" fld="13" baseField="0" baseItem="0"/>
    <dataField name="Sum of Total night charge" fld="14" baseField="0" baseItem="0"/>
    <dataField name="Sum of Total intl minutes" fld="15" baseField="0" baseItem="0"/>
    <dataField name="Sum of Total intl calls" fld="16" baseField="0" baseItem="0"/>
    <dataField name="Sum of Total intl charge" fld="17" baseField="0" baseItem="0"/>
    <dataField name="Sum of Customer service call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11C73-F0F0-4A8B-8369-08DF06480173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8:E28" firstHeaderRow="1" firstDataRow="1" firstDataCol="1"/>
  <pivotFields count="12">
    <pivotField showAll="0">
      <items count="52">
        <item x="5"/>
        <item x="22"/>
        <item x="47"/>
        <item x="16"/>
        <item x="17"/>
        <item x="15"/>
        <item x="34"/>
        <item x="39"/>
        <item x="36"/>
        <item x="29"/>
        <item x="50"/>
        <item x="4"/>
        <item x="49"/>
        <item x="7"/>
        <item x="41"/>
        <item x="1"/>
        <item x="30"/>
        <item x="14"/>
        <item x="0"/>
        <item x="13"/>
        <item x="43"/>
        <item x="40"/>
        <item x="6"/>
        <item x="10"/>
        <item x="21"/>
        <item x="27"/>
        <item x="12"/>
        <item x="31"/>
        <item x="46"/>
        <item x="19"/>
        <item x="23"/>
        <item x="42"/>
        <item x="24"/>
        <item x="38"/>
        <item x="2"/>
        <item x="20"/>
        <item x="33"/>
        <item x="25"/>
        <item x="45"/>
        <item x="35"/>
        <item x="3"/>
        <item x="32"/>
        <item x="48"/>
        <item x="26"/>
        <item x="37"/>
        <item x="8"/>
        <item x="11"/>
        <item x="18"/>
        <item x="9"/>
        <item x="44"/>
        <item x="2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3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895D4-98D6-46A3-9B74-156E486D499E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16" firstHeaderRow="1" firstDataRow="1" firstDataCol="1"/>
  <pivotFields count="20">
    <pivotField showAll="0">
      <items count="52">
        <item x="5"/>
        <item x="22"/>
        <item x="47"/>
        <item x="16"/>
        <item x="17"/>
        <item x="15"/>
        <item x="34"/>
        <item x="39"/>
        <item x="36"/>
        <item x="29"/>
        <item x="50"/>
        <item x="4"/>
        <item x="49"/>
        <item x="7"/>
        <item x="41"/>
        <item x="1"/>
        <item x="30"/>
        <item x="14"/>
        <item x="0"/>
        <item x="13"/>
        <item x="43"/>
        <item x="40"/>
        <item x="6"/>
        <item x="10"/>
        <item x="21"/>
        <item x="27"/>
        <item x="12"/>
        <item x="31"/>
        <item x="46"/>
        <item x="19"/>
        <item x="23"/>
        <item x="42"/>
        <item x="24"/>
        <item x="38"/>
        <item x="2"/>
        <item x="20"/>
        <item x="33"/>
        <item x="25"/>
        <item x="45"/>
        <item x="35"/>
        <item x="3"/>
        <item x="32"/>
        <item x="48"/>
        <item x="26"/>
        <item x="37"/>
        <item x="8"/>
        <item x="11"/>
        <item x="18"/>
        <item x="9"/>
        <item x="44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">
        <item x="3"/>
        <item x="0"/>
        <item x="2"/>
        <item x="4"/>
        <item x="1"/>
        <item x="5"/>
        <item x="6"/>
        <item x="8"/>
        <item x="7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of Customer service call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5CE18-2743-4F9B-AAC7-0DC52CCE5EDD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4:F11" firstHeaderRow="1" firstDataRow="1" firstDataCol="1"/>
  <pivotFields count="20"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3"/>
    <field x="19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Area code" fld="2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848AB-E913-49F7-9B4E-CB07A724CC47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:C100" firstHeaderRow="1" firstDataRow="1" firstDataCol="1"/>
  <pivotFields count="20">
    <pivotField axis="axisRow" showAll="0">
      <items count="52">
        <item x="5"/>
        <item x="22"/>
        <item x="47"/>
        <item x="16"/>
        <item x="17"/>
        <item x="15"/>
        <item x="34"/>
        <item x="39"/>
        <item x="36"/>
        <item x="29"/>
        <item x="50"/>
        <item x="4"/>
        <item x="49"/>
        <item x="7"/>
        <item x="41"/>
        <item x="1"/>
        <item x="30"/>
        <item x="14"/>
        <item x="0"/>
        <item x="13"/>
        <item x="43"/>
        <item x="40"/>
        <item x="6"/>
        <item x="10"/>
        <item x="21"/>
        <item x="27"/>
        <item x="12"/>
        <item x="31"/>
        <item x="46"/>
        <item x="19"/>
        <item x="23"/>
        <item x="42"/>
        <item x="24"/>
        <item x="38"/>
        <item x="2"/>
        <item x="20"/>
        <item x="33"/>
        <item x="25"/>
        <item x="45"/>
        <item x="35"/>
        <item x="3"/>
        <item x="32"/>
        <item x="48"/>
        <item x="26"/>
        <item x="37"/>
        <item x="8"/>
        <item x="11"/>
        <item x="18"/>
        <item x="9"/>
        <item x="44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19"/>
    <field x="0"/>
  </rowFields>
  <rowItems count="9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1"/>
    </i>
    <i r="1"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t="grand">
      <x/>
    </i>
  </rowItems>
  <colItems count="1">
    <i/>
  </colItems>
  <dataFields count="1">
    <dataField name="Sum of Customer service call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D1C4E-8902-4776-953C-837ADB696931}" name="Table1" displayName="Table1" ref="A1:T668" totalsRowShown="0">
  <autoFilter ref="A1:T668" xr:uid="{86BD1C4E-8902-4776-953C-837ADB696931}"/>
  <tableColumns count="20">
    <tableColumn id="1" xr3:uid="{558B2DD1-2B0A-48D2-AD8D-CB774405CB1F}" name="State"/>
    <tableColumn id="2" xr3:uid="{30BE4116-DFA8-4E4E-A343-C1B8D54C6B73}" name="Account length"/>
    <tableColumn id="3" xr3:uid="{469FCEBC-C634-4094-96CC-3DE0C315F6D5}" name="Area code"/>
    <tableColumn id="4" xr3:uid="{74AF4586-9D03-415A-8D73-E84F61D0C06D}" name="International plan"/>
    <tableColumn id="5" xr3:uid="{813F9916-74F6-4E6D-828D-6BDDB0A54B2C}" name="Voice mail plan"/>
    <tableColumn id="6" xr3:uid="{47877B0F-FD3F-460E-B186-DB9093003A92}" name="Number vmail messages"/>
    <tableColumn id="7" xr3:uid="{260B09EA-95E3-4ADA-9E62-5B0276F79220}" name="Total day minutes"/>
    <tableColumn id="8" xr3:uid="{9E97539F-82BF-4545-BF32-66D8B419858B}" name="Total day calls"/>
    <tableColumn id="9" xr3:uid="{D1A0A6A9-EFA7-4B2C-8964-F912EE5D1263}" name="Total day charge"/>
    <tableColumn id="10" xr3:uid="{FFDAACB5-97A3-4C3C-8EF1-EA96C572A6C8}" name="Total eve minutes"/>
    <tableColumn id="11" xr3:uid="{A984A704-899E-4E4D-9B68-F965CAD83786}" name="Total eve calls"/>
    <tableColumn id="12" xr3:uid="{C4512423-ED66-4EE8-B174-CAE318646AC7}" name="Total eve charge"/>
    <tableColumn id="13" xr3:uid="{FA1F2BF2-5867-4E89-AF6C-8EF11E3DD2B7}" name="Total night minutes"/>
    <tableColumn id="14" xr3:uid="{D28508A1-51E4-4883-A5E5-E928C117C7C5}" name="Total night calls"/>
    <tableColumn id="15" xr3:uid="{C24BCFCE-7567-42DE-9AD9-8240CD4BBEF1}" name="Total night charge"/>
    <tableColumn id="16" xr3:uid="{C4351E8F-51F4-4E11-8646-7268AAF04734}" name="Total intl minutes"/>
    <tableColumn id="17" xr3:uid="{83BF6D77-7F2D-41DC-B7DE-21BBC860A42E}" name="Total intl calls"/>
    <tableColumn id="18" xr3:uid="{DA377FE9-A5C2-4AD2-8F09-7E78E142FFCA}" name="Total intl charge"/>
    <tableColumn id="19" xr3:uid="{C0565180-5E33-4B2D-B73B-8E6EE477B81A}" name="Customer service calls"/>
    <tableColumn id="20" xr3:uid="{0D9E22BF-BFB7-406C-A3C0-1FF48721843F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42F1C1-D0F1-4E84-9ABC-2DF6FBD2937A}" name="Table13" displayName="Table13" ref="A1:T669" totalsRowCount="1">
  <autoFilter ref="A1:T668" xr:uid="{B942F1C1-D0F1-4E84-9ABC-2DF6FBD293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F43CC323-7088-48B6-AC7D-81112DF158E9}" name="State" totalsRowLabel="Total"/>
    <tableColumn id="2" xr3:uid="{F8F275E6-8A9B-43A6-97AB-852912C769EE}" name="Account length" totalsRowFunction="max"/>
    <tableColumn id="3" xr3:uid="{4778D39A-A577-4EDD-9ECF-774410F0D93B}" name="Area code"/>
    <tableColumn id="4" xr3:uid="{ED928760-4B6B-49D6-B220-593B3615C481}" name="International plan"/>
    <tableColumn id="5" xr3:uid="{E8F972CF-0AD7-4D0D-8F1C-12214C189DD1}" name="Voice mail plan"/>
    <tableColumn id="6" xr3:uid="{BEF76650-6797-4A40-94C2-942D4C595FB4}" name="Number vmail messages" totalsRowFunction="max"/>
    <tableColumn id="7" xr3:uid="{BE5F25BD-CA70-479B-9E42-4DB769866334}" name="Total day minutes" totalsRowFunction="max"/>
    <tableColumn id="8" xr3:uid="{B4E720D5-F63B-4AB6-8668-3442D54EAC75}" name="Total day calls" totalsRowFunction="max"/>
    <tableColumn id="9" xr3:uid="{41F54B8E-D25F-4E8C-9A41-F94967DC19D0}" name="Total day charge" totalsRowFunction="average"/>
    <tableColumn id="10" xr3:uid="{111CEDF3-1A93-44B3-9FCA-E93F093C5A13}" name="Total eve minutes" totalsRowFunction="average"/>
    <tableColumn id="11" xr3:uid="{333F1F52-594E-470A-BFBF-D036AFF8EC20}" name="Total eve calls" totalsRowFunction="average"/>
    <tableColumn id="12" xr3:uid="{E62FF982-59EC-4615-B326-A3B2BF242A5B}" name="Total eve charge" totalsRowFunction="average"/>
    <tableColumn id="13" xr3:uid="{554432F7-F170-49FD-8BBE-2571C0FA43F0}" name="Total night minutes" totalsRowFunction="average"/>
    <tableColumn id="14" xr3:uid="{A5AD70C9-BC42-4C18-8167-C94F17CF673E}" name="Total night calls" totalsRowFunction="average"/>
    <tableColumn id="15" xr3:uid="{B273CEF7-53A6-428F-8345-3A2307ADDC6D}" name="Total night charge" totalsRowFunction="average"/>
    <tableColumn id="16" xr3:uid="{6DE809AF-0A83-4EC5-A554-B5E1539C7484}" name="Total intl minutes" totalsRowFunction="average"/>
    <tableColumn id="17" xr3:uid="{919B6623-3566-4B72-B81C-DA3601422B8C}" name="Total intl calls" totalsRowFunction="average"/>
    <tableColumn id="18" xr3:uid="{87691905-7E23-48C8-A2E2-524EDD2AB963}" name="Total intl charge" totalsRowFunction="average"/>
    <tableColumn id="19" xr3:uid="{54CD37AC-A853-411A-A9E5-CD36DB2D9D29}" name="Customer service calls"/>
    <tableColumn id="20" xr3:uid="{B1CB07F3-57E5-4BA2-803B-25BB8BC1353D}" name="Churn" totalsRowFunction="coun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EB02D2-14C5-4234-8798-13AB1869ECBA}" name="Table3" displayName="Table3" ref="A1:L669" totalsRowCount="1" headerRowDxfId="25" headerRowBorderDxfId="39" tableBorderDxfId="40" totalsRowBorderDxfId="38">
  <autoFilter ref="A1:L668" xr:uid="{17EB02D2-14C5-4234-8798-13AB1869EC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195EE179-1CD8-4D44-9AFA-63D5B48D2790}" name="Customer State" totalsRowLabel="Total" dataDxfId="37" totalsRowDxfId="24">
      <calculatedColumnFormula>Raw_Data!A2</calculatedColumnFormula>
    </tableColumn>
    <tableColumn id="2" xr3:uid="{87F67D7B-E240-4FCC-AB34-44DEBBFCC751}" name="Churn" dataDxfId="36" totalsRowDxfId="23">
      <calculatedColumnFormula>Raw_Data!T2</calculatedColumnFormula>
    </tableColumn>
    <tableColumn id="3" xr3:uid="{052DF8F9-9114-461E-A8F0-E74C48D45F5D}" name="Churn Status" dataDxfId="35" totalsRowDxfId="22">
      <calculatedColumnFormula>IF(B2=TRUE,"Churned","Retained")</calculatedColumnFormula>
    </tableColumn>
    <tableColumn id="4" xr3:uid="{247A5AAB-0E94-49EC-967E-8FDC141695C7}" name="Customer Type" dataDxfId="34" totalsRowDxfId="21">
      <calculatedColumnFormula>IF(Raw_Data!S2=0,"Low Contact",IF(Raw_Data!S2&lt;=2,"Normal Contact","High Contact"))</calculatedColumnFormula>
    </tableColumn>
    <tableColumn id="5" xr3:uid="{FC266920-960F-4803-BD61-73AB1B321FA1}" name="High Day Usage" dataDxfId="33" totalsRowDxfId="20">
      <calculatedColumnFormula>IF(AND(Raw_Data!G2&gt;200,Raw_Data!H2&gt;100),"High Usage","Normal Usage")</calculatedColumnFormula>
    </tableColumn>
    <tableColumn id="6" xr3:uid="{56625195-63F3-428D-9870-25B8C9B6D9C2}" name="Risk Level" dataDxfId="32" totalsRowDxfId="19">
      <calculatedColumnFormula array="1">_xlfn.IFS(B2=TRUE,"High Risk",AND(Raw_Data!S2&gt;=3,Raw_Data!G2&gt;200),"High Risk",Raw_Data!S2&gt;=2,"Medium Risk",TRUE,"Low Risk")</calculatedColumnFormula>
    </tableColumn>
    <tableColumn id="7" xr3:uid="{0938C9D8-B6FC-4F07-9F21-404097B644F0}" name="Plan Status" dataDxfId="31" totalsRowDxfId="18">
      <calculatedColumnFormula>IF(OR(Raw_Data!D2="Yes",Raw_Data!E2="Yes"),"Has Plan","No Special Plan")</calculatedColumnFormula>
    </tableColumn>
    <tableColumn id="8" xr3:uid="{532B9290-F0B3-45C6-BE3B-4FF372AD5F3A}" name="Service Issue" dataDxfId="30" totalsRowDxfId="17">
      <calculatedColumnFormula>IF(NOT(Raw_Data!S2&gt;=3),"Normal Service Contact","Frequent Service Contact")</calculatedColumnFormula>
    </tableColumn>
    <tableColumn id="9" xr3:uid="{F8914A3E-6B06-4014-B7FA-54D6A68AE9D1}" name="SWITCH Result" dataDxfId="29" totalsRowDxfId="16">
      <calculatedColumnFormula array="1">_xlfn.SWITCH(Raw_Data!D2,"Yes","International Customer","No","Domestic Plan","Unknown")</calculatedColumnFormula>
    </tableColumn>
    <tableColumn id="10" xr3:uid="{93CA9321-AB35-498C-BAEE-B36FC1DB6CEB}" name="ISERROR" dataDxfId="28" totalsRowDxfId="15">
      <calculatedColumnFormula>IF(ISERROR(Raw_Data!G2/0),"Error","Valid")</calculatedColumnFormula>
    </tableColumn>
    <tableColumn id="11" xr3:uid="{607EA88C-E474-45E8-B3E0-96EE7F30884D}" name="ISBLANK" dataDxfId="27" totalsRowDxfId="14">
      <calculatedColumnFormula>IF(ISBLANK(Raw_Data!A2),"Missing","Available")</calculatedColumnFormula>
    </tableColumn>
    <tableColumn id="12" xr3:uid="{D3F2159A-FDE3-42E7-93EE-86557DE4B950}" name="ISNUMBER" totalsRowFunction="count" dataDxfId="26" totalsRowDxfId="13">
      <calculatedColumnFormula>IF(ISNUMBER(Raw_Data!G2),"Numeric","Not Numeric")</calculatedColumnFormula>
    </tableColumn>
  </tableColumns>
  <tableStyleInfo name="TableStyleMedium2" showFirstColumn="1" showLastColumn="1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2542DF-6C87-4D62-8FE0-A8DC9A5013BA}" name="Table4" displayName="Table4" ref="A3:I10" totalsRowShown="0" headerRowDxfId="0" headerRowBorderDxfId="11" tableBorderDxfId="12" totalsRowBorderDxfId="10">
  <autoFilter ref="A3:I10" xr:uid="{872542DF-6C87-4D62-8FE0-A8DC9A5013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DD1C940-A78A-49D5-B9BB-C381F685DF65}" name="Metric" dataDxfId="9"/>
    <tableColumn id="2" xr3:uid="{BB2C5767-0C1C-4FAF-9701-43090C39DE5D}" name="Account Lenth" dataDxfId="8"/>
    <tableColumn id="3" xr3:uid="{287CB4B9-F345-4FD1-9542-B7CB6B384A7C}" name="Day Minutes" dataDxfId="7"/>
    <tableColumn id="4" xr3:uid="{56128881-EE3A-4CF2-9619-527EE6A884B5}" name="Day Calls" dataDxfId="6"/>
    <tableColumn id="5" xr3:uid="{59B59A62-24C5-4CE1-A416-0F49B5BAD427}" name="Day Charge" dataDxfId="5"/>
    <tableColumn id="6" xr3:uid="{C256916F-7880-4B5E-8042-7C56BBDE480F}" name="Eve Minutes" dataDxfId="4"/>
    <tableColumn id="7" xr3:uid="{62FB4E17-CA48-4D6C-A964-5688C1F6DF75}" name="Night Minutes" dataDxfId="3"/>
    <tableColumn id="8" xr3:uid="{6E8EFFA6-23DC-4222-97F2-5DA1D7C6E286}" name="Intl minutes" dataDxfId="2"/>
    <tableColumn id="9" xr3:uid="{28A07D46-44C1-4C01-AFF1-A433148BB75B}" name="Servie Call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2481-C481-4686-8DA9-FC9487D766B4}">
  <dimension ref="A1:T668"/>
  <sheetViews>
    <sheetView topLeftCell="P1" workbookViewId="0"/>
  </sheetViews>
  <sheetFormatPr defaultRowHeight="15" x14ac:dyDescent="0.25"/>
  <cols>
    <col min="2" max="2" width="16.42578125" customWidth="1"/>
    <col min="3" max="3" width="12" customWidth="1"/>
    <col min="4" max="4" width="19" customWidth="1"/>
    <col min="5" max="5" width="16.7109375" customWidth="1"/>
    <col min="6" max="6" width="24.7109375" customWidth="1"/>
    <col min="7" max="7" width="18.85546875" customWidth="1"/>
    <col min="8" max="8" width="15.42578125" customWidth="1"/>
    <col min="9" max="9" width="17.42578125" customWidth="1"/>
    <col min="10" max="10" width="19" customWidth="1"/>
    <col min="11" max="11" width="15.5703125" customWidth="1"/>
    <col min="12" max="12" width="17.5703125" customWidth="1"/>
    <col min="13" max="13" width="20.28515625" customWidth="1"/>
    <col min="14" max="14" width="16.85546875" customWidth="1"/>
    <col min="15" max="15" width="18.85546875" customWidth="1"/>
    <col min="16" max="16" width="18.7109375" customWidth="1"/>
    <col min="17" max="17" width="15.28515625" customWidth="1"/>
    <col min="18" max="18" width="17.28515625" customWidth="1"/>
    <col min="19" max="19" width="22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</row>
    <row r="3" spans="1:20" x14ac:dyDescent="0.25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</row>
    <row r="4" spans="1:20" x14ac:dyDescent="0.25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</row>
    <row r="5" spans="1:20" x14ac:dyDescent="0.25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</row>
    <row r="6" spans="1:20" x14ac:dyDescent="0.25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</row>
    <row r="7" spans="1:20" x14ac:dyDescent="0.25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</row>
    <row r="8" spans="1:20" x14ac:dyDescent="0.25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</row>
    <row r="9" spans="1:20" x14ac:dyDescent="0.25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</row>
    <row r="10" spans="1:20" x14ac:dyDescent="0.25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</row>
    <row r="11" spans="1:20" x14ac:dyDescent="0.25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</row>
    <row r="12" spans="1:20" x14ac:dyDescent="0.25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</row>
    <row r="13" spans="1:20" x14ac:dyDescent="0.25">
      <c r="A13" t="s">
        <v>25</v>
      </c>
      <c r="B13">
        <v>85</v>
      </c>
      <c r="C13">
        <v>415</v>
      </c>
      <c r="D13" t="s">
        <v>21</v>
      </c>
      <c r="E13" t="s">
        <v>21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</row>
    <row r="14" spans="1:20" x14ac:dyDescent="0.25">
      <c r="A14" t="s">
        <v>32</v>
      </c>
      <c r="B14">
        <v>46</v>
      </c>
      <c r="C14">
        <v>415</v>
      </c>
      <c r="D14" t="s">
        <v>21</v>
      </c>
      <c r="E14" t="s">
        <v>21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</row>
    <row r="15" spans="1:20" x14ac:dyDescent="0.25">
      <c r="A15" t="s">
        <v>33</v>
      </c>
      <c r="B15">
        <v>128</v>
      </c>
      <c r="C15">
        <v>510</v>
      </c>
      <c r="D15" t="s">
        <v>21</v>
      </c>
      <c r="E15" t="s">
        <v>27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</row>
    <row r="16" spans="1:20" x14ac:dyDescent="0.25">
      <c r="A16" t="s">
        <v>20</v>
      </c>
      <c r="B16">
        <v>155</v>
      </c>
      <c r="C16">
        <v>415</v>
      </c>
      <c r="D16" t="s">
        <v>21</v>
      </c>
      <c r="E16" t="s">
        <v>21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</row>
    <row r="17" spans="1:20" x14ac:dyDescent="0.25">
      <c r="A17" t="s">
        <v>34</v>
      </c>
      <c r="B17">
        <v>73</v>
      </c>
      <c r="C17">
        <v>415</v>
      </c>
      <c r="D17" t="s">
        <v>21</v>
      </c>
      <c r="E17" t="s">
        <v>21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</row>
    <row r="18" spans="1:20" x14ac:dyDescent="0.25">
      <c r="A18" t="s">
        <v>29</v>
      </c>
      <c r="B18">
        <v>77</v>
      </c>
      <c r="C18">
        <v>415</v>
      </c>
      <c r="D18" t="s">
        <v>21</v>
      </c>
      <c r="E18" t="s">
        <v>21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</row>
    <row r="19" spans="1:20" x14ac:dyDescent="0.25">
      <c r="A19" t="s">
        <v>35</v>
      </c>
      <c r="B19">
        <v>108</v>
      </c>
      <c r="C19">
        <v>415</v>
      </c>
      <c r="D19" t="s">
        <v>21</v>
      </c>
      <c r="E19" t="s">
        <v>21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</row>
    <row r="20" spans="1:20" x14ac:dyDescent="0.25">
      <c r="A20" t="s">
        <v>36</v>
      </c>
      <c r="B20">
        <v>95</v>
      </c>
      <c r="C20">
        <v>408</v>
      </c>
      <c r="D20" t="s">
        <v>21</v>
      </c>
      <c r="E20" t="s">
        <v>21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</row>
    <row r="21" spans="1:20" x14ac:dyDescent="0.25">
      <c r="A21" t="s">
        <v>28</v>
      </c>
      <c r="B21">
        <v>36</v>
      </c>
      <c r="C21">
        <v>510</v>
      </c>
      <c r="D21" t="s">
        <v>21</v>
      </c>
      <c r="E21" t="s">
        <v>27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</row>
    <row r="22" spans="1:20" x14ac:dyDescent="0.25">
      <c r="A22" t="s">
        <v>37</v>
      </c>
      <c r="B22">
        <v>141</v>
      </c>
      <c r="C22">
        <v>415</v>
      </c>
      <c r="D22" t="s">
        <v>21</v>
      </c>
      <c r="E22" t="s">
        <v>27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</row>
    <row r="23" spans="1:20" x14ac:dyDescent="0.25">
      <c r="A23" t="s">
        <v>38</v>
      </c>
      <c r="B23">
        <v>63</v>
      </c>
      <c r="C23">
        <v>415</v>
      </c>
      <c r="D23" t="s">
        <v>21</v>
      </c>
      <c r="E23" t="s">
        <v>21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</row>
    <row r="24" spans="1:20" x14ac:dyDescent="0.25">
      <c r="A24" t="s">
        <v>29</v>
      </c>
      <c r="B24">
        <v>97</v>
      </c>
      <c r="C24">
        <v>408</v>
      </c>
      <c r="D24" t="s">
        <v>21</v>
      </c>
      <c r="E24" t="s">
        <v>21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</row>
    <row r="25" spans="1:20" x14ac:dyDescent="0.25">
      <c r="A25" t="s">
        <v>39</v>
      </c>
      <c r="B25">
        <v>75</v>
      </c>
      <c r="C25">
        <v>408</v>
      </c>
      <c r="D25" t="s">
        <v>21</v>
      </c>
      <c r="E25" t="s">
        <v>21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</row>
    <row r="26" spans="1:20" x14ac:dyDescent="0.25">
      <c r="A26" t="s">
        <v>40</v>
      </c>
      <c r="B26">
        <v>127</v>
      </c>
      <c r="C26">
        <v>408</v>
      </c>
      <c r="D26" t="s">
        <v>21</v>
      </c>
      <c r="E26" t="s">
        <v>21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</row>
    <row r="27" spans="1:20" x14ac:dyDescent="0.25">
      <c r="A27" t="s">
        <v>20</v>
      </c>
      <c r="B27">
        <v>121</v>
      </c>
      <c r="C27">
        <v>408</v>
      </c>
      <c r="D27" t="s">
        <v>21</v>
      </c>
      <c r="E27" t="s">
        <v>21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</row>
    <row r="28" spans="1:20" x14ac:dyDescent="0.25">
      <c r="A28" t="s">
        <v>41</v>
      </c>
      <c r="B28">
        <v>117</v>
      </c>
      <c r="C28">
        <v>415</v>
      </c>
      <c r="D28" t="s">
        <v>21</v>
      </c>
      <c r="E28" t="s">
        <v>21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</row>
    <row r="29" spans="1:20" x14ac:dyDescent="0.25">
      <c r="A29" t="s">
        <v>42</v>
      </c>
      <c r="B29">
        <v>65</v>
      </c>
      <c r="C29">
        <v>408</v>
      </c>
      <c r="D29" t="s">
        <v>21</v>
      </c>
      <c r="E29" t="s">
        <v>21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</row>
    <row r="30" spans="1:20" x14ac:dyDescent="0.25">
      <c r="A30" t="s">
        <v>43</v>
      </c>
      <c r="B30">
        <v>6</v>
      </c>
      <c r="C30">
        <v>510</v>
      </c>
      <c r="D30" t="s">
        <v>21</v>
      </c>
      <c r="E30" t="s">
        <v>21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</row>
    <row r="31" spans="1:20" x14ac:dyDescent="0.25">
      <c r="A31" t="s">
        <v>44</v>
      </c>
      <c r="B31">
        <v>32</v>
      </c>
      <c r="C31">
        <v>510</v>
      </c>
      <c r="D31" t="s">
        <v>21</v>
      </c>
      <c r="E31" t="s">
        <v>21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</row>
    <row r="32" spans="1:20" x14ac:dyDescent="0.25">
      <c r="A32" t="s">
        <v>45</v>
      </c>
      <c r="B32">
        <v>64</v>
      </c>
      <c r="C32">
        <v>408</v>
      </c>
      <c r="D32" t="s">
        <v>21</v>
      </c>
      <c r="E32" t="s">
        <v>27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</row>
    <row r="33" spans="1:20" x14ac:dyDescent="0.25">
      <c r="A33" t="s">
        <v>46</v>
      </c>
      <c r="B33">
        <v>25</v>
      </c>
      <c r="C33">
        <v>415</v>
      </c>
      <c r="D33" t="s">
        <v>21</v>
      </c>
      <c r="E33" t="s">
        <v>21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</row>
    <row r="34" spans="1:20" x14ac:dyDescent="0.25">
      <c r="A34" t="s">
        <v>47</v>
      </c>
      <c r="B34">
        <v>65</v>
      </c>
      <c r="C34">
        <v>415</v>
      </c>
      <c r="D34" t="s">
        <v>21</v>
      </c>
      <c r="E34" t="s">
        <v>21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</row>
    <row r="35" spans="1:20" x14ac:dyDescent="0.25">
      <c r="A35" t="s">
        <v>28</v>
      </c>
      <c r="B35">
        <v>127</v>
      </c>
      <c r="C35">
        <v>415</v>
      </c>
      <c r="D35" t="s">
        <v>21</v>
      </c>
      <c r="E35" t="s">
        <v>21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</row>
    <row r="36" spans="1:20" x14ac:dyDescent="0.25">
      <c r="A36" t="s">
        <v>38</v>
      </c>
      <c r="B36">
        <v>93</v>
      </c>
      <c r="C36">
        <v>415</v>
      </c>
      <c r="D36" t="s">
        <v>21</v>
      </c>
      <c r="E36" t="s">
        <v>21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</row>
    <row r="37" spans="1:20" x14ac:dyDescent="0.25">
      <c r="A37" t="s">
        <v>48</v>
      </c>
      <c r="B37">
        <v>208</v>
      </c>
      <c r="C37">
        <v>510</v>
      </c>
      <c r="D37" t="s">
        <v>21</v>
      </c>
      <c r="E37" t="s">
        <v>21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</row>
    <row r="38" spans="1:20" x14ac:dyDescent="0.25">
      <c r="A38" t="s">
        <v>22</v>
      </c>
      <c r="B38">
        <v>122</v>
      </c>
      <c r="C38">
        <v>415</v>
      </c>
      <c r="D38" t="s">
        <v>21</v>
      </c>
      <c r="E38" t="s">
        <v>21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</row>
    <row r="39" spans="1:20" x14ac:dyDescent="0.25">
      <c r="A39" t="s">
        <v>20</v>
      </c>
      <c r="B39">
        <v>99</v>
      </c>
      <c r="C39">
        <v>415</v>
      </c>
      <c r="D39" t="s">
        <v>21</v>
      </c>
      <c r="E39" t="s">
        <v>21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</row>
    <row r="40" spans="1:20" x14ac:dyDescent="0.25">
      <c r="A40" t="s">
        <v>49</v>
      </c>
      <c r="B40">
        <v>65</v>
      </c>
      <c r="C40">
        <v>415</v>
      </c>
      <c r="D40" t="s">
        <v>21</v>
      </c>
      <c r="E40" t="s">
        <v>21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</row>
    <row r="41" spans="1:20" x14ac:dyDescent="0.25">
      <c r="A41" t="s">
        <v>22</v>
      </c>
      <c r="B41">
        <v>65</v>
      </c>
      <c r="C41">
        <v>415</v>
      </c>
      <c r="D41" t="s">
        <v>21</v>
      </c>
      <c r="E41" t="s">
        <v>21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</row>
    <row r="42" spans="1:20" x14ac:dyDescent="0.25">
      <c r="A42" t="s">
        <v>36</v>
      </c>
      <c r="B42">
        <v>45</v>
      </c>
      <c r="C42">
        <v>415</v>
      </c>
      <c r="D42" t="s">
        <v>21</v>
      </c>
      <c r="E42" t="s">
        <v>27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</row>
    <row r="43" spans="1:20" x14ac:dyDescent="0.25">
      <c r="A43" t="s">
        <v>32</v>
      </c>
      <c r="B43">
        <v>139</v>
      </c>
      <c r="C43">
        <v>510</v>
      </c>
      <c r="D43" t="s">
        <v>21</v>
      </c>
      <c r="E43" t="s">
        <v>21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</row>
    <row r="44" spans="1:20" x14ac:dyDescent="0.25">
      <c r="A44" t="s">
        <v>50</v>
      </c>
      <c r="B44">
        <v>215</v>
      </c>
      <c r="C44">
        <v>510</v>
      </c>
      <c r="D44" t="s">
        <v>21</v>
      </c>
      <c r="E44" t="s">
        <v>21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</row>
    <row r="45" spans="1:20" x14ac:dyDescent="0.25">
      <c r="A45" t="s">
        <v>38</v>
      </c>
      <c r="B45">
        <v>94</v>
      </c>
      <c r="C45">
        <v>408</v>
      </c>
      <c r="D45" t="s">
        <v>21</v>
      </c>
      <c r="E45" t="s">
        <v>21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</row>
    <row r="46" spans="1:20" x14ac:dyDescent="0.25">
      <c r="A46" t="s">
        <v>46</v>
      </c>
      <c r="B46">
        <v>119</v>
      </c>
      <c r="C46">
        <v>510</v>
      </c>
      <c r="D46" t="s">
        <v>21</v>
      </c>
      <c r="E46" t="s">
        <v>27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</row>
    <row r="47" spans="1:20" x14ac:dyDescent="0.25">
      <c r="A47" t="s">
        <v>28</v>
      </c>
      <c r="B47">
        <v>86</v>
      </c>
      <c r="C47">
        <v>510</v>
      </c>
      <c r="D47" t="s">
        <v>21</v>
      </c>
      <c r="E47" t="s">
        <v>27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</row>
    <row r="48" spans="1:20" x14ac:dyDescent="0.25">
      <c r="A48" t="s">
        <v>51</v>
      </c>
      <c r="B48">
        <v>106</v>
      </c>
      <c r="C48">
        <v>408</v>
      </c>
      <c r="D48" t="s">
        <v>21</v>
      </c>
      <c r="E48" t="s">
        <v>27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</row>
    <row r="49" spans="1:20" x14ac:dyDescent="0.25">
      <c r="A49" t="s">
        <v>52</v>
      </c>
      <c r="B49">
        <v>92</v>
      </c>
      <c r="C49">
        <v>408</v>
      </c>
      <c r="D49" t="s">
        <v>27</v>
      </c>
      <c r="E49" t="s">
        <v>21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</row>
    <row r="50" spans="1:20" x14ac:dyDescent="0.25">
      <c r="A50" t="s">
        <v>24</v>
      </c>
      <c r="B50">
        <v>78</v>
      </c>
      <c r="C50">
        <v>510</v>
      </c>
      <c r="D50" t="s">
        <v>21</v>
      </c>
      <c r="E50" t="s">
        <v>21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</row>
    <row r="51" spans="1:20" x14ac:dyDescent="0.25">
      <c r="A51" t="s">
        <v>53</v>
      </c>
      <c r="B51">
        <v>155</v>
      </c>
      <c r="C51">
        <v>408</v>
      </c>
      <c r="D51" t="s">
        <v>21</v>
      </c>
      <c r="E51" t="s">
        <v>21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</row>
    <row r="52" spans="1:20" x14ac:dyDescent="0.25">
      <c r="A52" t="s">
        <v>43</v>
      </c>
      <c r="B52">
        <v>64</v>
      </c>
      <c r="C52">
        <v>510</v>
      </c>
      <c r="D52" t="s">
        <v>21</v>
      </c>
      <c r="E52" t="s">
        <v>27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</row>
    <row r="53" spans="1:20" x14ac:dyDescent="0.25">
      <c r="A53" t="s">
        <v>40</v>
      </c>
      <c r="B53">
        <v>83</v>
      </c>
      <c r="C53">
        <v>415</v>
      </c>
      <c r="D53" t="s">
        <v>21</v>
      </c>
      <c r="E53" t="s">
        <v>21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</row>
    <row r="54" spans="1:20" x14ac:dyDescent="0.25">
      <c r="A54" t="s">
        <v>54</v>
      </c>
      <c r="B54">
        <v>144</v>
      </c>
      <c r="C54">
        <v>408</v>
      </c>
      <c r="D54" t="s">
        <v>21</v>
      </c>
      <c r="E54" t="s">
        <v>27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</row>
    <row r="55" spans="1:20" x14ac:dyDescent="0.25">
      <c r="A55" t="s">
        <v>34</v>
      </c>
      <c r="B55">
        <v>143</v>
      </c>
      <c r="C55">
        <v>415</v>
      </c>
      <c r="D55" t="s">
        <v>21</v>
      </c>
      <c r="E55" t="s">
        <v>21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</row>
    <row r="56" spans="1:20" x14ac:dyDescent="0.25">
      <c r="A56" t="s">
        <v>32</v>
      </c>
      <c r="B56">
        <v>81</v>
      </c>
      <c r="C56">
        <v>415</v>
      </c>
      <c r="D56" t="s">
        <v>21</v>
      </c>
      <c r="E56" t="s">
        <v>21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</row>
    <row r="57" spans="1:20" x14ac:dyDescent="0.25">
      <c r="A57" t="s">
        <v>54</v>
      </c>
      <c r="B57">
        <v>145</v>
      </c>
      <c r="C57">
        <v>408</v>
      </c>
      <c r="D57" t="s">
        <v>21</v>
      </c>
      <c r="E57" t="s">
        <v>27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</row>
    <row r="58" spans="1:20" x14ac:dyDescent="0.25">
      <c r="A58" t="s">
        <v>55</v>
      </c>
      <c r="B58">
        <v>89</v>
      </c>
      <c r="C58">
        <v>510</v>
      </c>
      <c r="D58" t="s">
        <v>21</v>
      </c>
      <c r="E58" t="s">
        <v>21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</row>
    <row r="59" spans="1:20" x14ac:dyDescent="0.25">
      <c r="A59" t="s">
        <v>56</v>
      </c>
      <c r="B59">
        <v>199</v>
      </c>
      <c r="C59">
        <v>415</v>
      </c>
      <c r="D59" t="s">
        <v>21</v>
      </c>
      <c r="E59" t="s">
        <v>27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</row>
    <row r="60" spans="1:20" x14ac:dyDescent="0.25">
      <c r="A60" t="s">
        <v>56</v>
      </c>
      <c r="B60">
        <v>96</v>
      </c>
      <c r="C60">
        <v>415</v>
      </c>
      <c r="D60" t="s">
        <v>21</v>
      </c>
      <c r="E60" t="s">
        <v>27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</row>
    <row r="61" spans="1:20" x14ac:dyDescent="0.25">
      <c r="A61" t="s">
        <v>32</v>
      </c>
      <c r="B61">
        <v>94</v>
      </c>
      <c r="C61">
        <v>415</v>
      </c>
      <c r="D61" t="s">
        <v>21</v>
      </c>
      <c r="E61" t="s">
        <v>21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</row>
    <row r="62" spans="1:20" x14ac:dyDescent="0.25">
      <c r="A62" t="s">
        <v>51</v>
      </c>
      <c r="B62">
        <v>127</v>
      </c>
      <c r="C62">
        <v>415</v>
      </c>
      <c r="D62" t="s">
        <v>21</v>
      </c>
      <c r="E62" t="s">
        <v>21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</row>
    <row r="63" spans="1:20" x14ac:dyDescent="0.25">
      <c r="A63" t="s">
        <v>57</v>
      </c>
      <c r="B63">
        <v>121</v>
      </c>
      <c r="C63">
        <v>408</v>
      </c>
      <c r="D63" t="s">
        <v>21</v>
      </c>
      <c r="E63" t="s">
        <v>21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</row>
    <row r="64" spans="1:20" x14ac:dyDescent="0.25">
      <c r="A64" t="s">
        <v>22</v>
      </c>
      <c r="B64">
        <v>122</v>
      </c>
      <c r="C64">
        <v>408</v>
      </c>
      <c r="D64" t="s">
        <v>21</v>
      </c>
      <c r="E64" t="s">
        <v>21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</row>
    <row r="65" spans="1:20" x14ac:dyDescent="0.25">
      <c r="A65" t="s">
        <v>44</v>
      </c>
      <c r="B65">
        <v>121</v>
      </c>
      <c r="C65">
        <v>408</v>
      </c>
      <c r="D65" t="s">
        <v>21</v>
      </c>
      <c r="E65" t="s">
        <v>27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</row>
    <row r="66" spans="1:20" x14ac:dyDescent="0.25">
      <c r="A66" t="s">
        <v>47</v>
      </c>
      <c r="B66">
        <v>77</v>
      </c>
      <c r="C66">
        <v>510</v>
      </c>
      <c r="D66" t="s">
        <v>21</v>
      </c>
      <c r="E66" t="s">
        <v>21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</row>
    <row r="67" spans="1:20" x14ac:dyDescent="0.25">
      <c r="A67" t="s">
        <v>49</v>
      </c>
      <c r="B67">
        <v>64</v>
      </c>
      <c r="C67">
        <v>408</v>
      </c>
      <c r="D67" t="s">
        <v>27</v>
      </c>
      <c r="E67" t="s">
        <v>21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</row>
    <row r="68" spans="1:20" x14ac:dyDescent="0.25">
      <c r="A68" t="s">
        <v>39</v>
      </c>
      <c r="B68">
        <v>124</v>
      </c>
      <c r="C68">
        <v>408</v>
      </c>
      <c r="D68" t="s">
        <v>27</v>
      </c>
      <c r="E68" t="s">
        <v>21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</row>
    <row r="69" spans="1:20" x14ac:dyDescent="0.25">
      <c r="A69" t="s">
        <v>58</v>
      </c>
      <c r="B69">
        <v>148</v>
      </c>
      <c r="C69">
        <v>415</v>
      </c>
      <c r="D69" t="s">
        <v>21</v>
      </c>
      <c r="E69" t="s">
        <v>21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</row>
    <row r="70" spans="1:20" x14ac:dyDescent="0.25">
      <c r="A70" t="s">
        <v>49</v>
      </c>
      <c r="B70">
        <v>77</v>
      </c>
      <c r="C70">
        <v>408</v>
      </c>
      <c r="D70" t="s">
        <v>21</v>
      </c>
      <c r="E70" t="s">
        <v>21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</row>
    <row r="71" spans="1:20" x14ac:dyDescent="0.25">
      <c r="A71" t="s">
        <v>53</v>
      </c>
      <c r="B71">
        <v>135</v>
      </c>
      <c r="C71">
        <v>415</v>
      </c>
      <c r="D71" t="s">
        <v>21</v>
      </c>
      <c r="E71" t="s">
        <v>21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</row>
    <row r="72" spans="1:20" x14ac:dyDescent="0.25">
      <c r="A72" t="s">
        <v>54</v>
      </c>
      <c r="B72">
        <v>87</v>
      </c>
      <c r="C72">
        <v>415</v>
      </c>
      <c r="D72" t="s">
        <v>21</v>
      </c>
      <c r="E72" t="s">
        <v>27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</row>
    <row r="73" spans="1:20" x14ac:dyDescent="0.25">
      <c r="A73" t="s">
        <v>45</v>
      </c>
      <c r="B73">
        <v>54</v>
      </c>
      <c r="C73">
        <v>510</v>
      </c>
      <c r="D73" t="s">
        <v>21</v>
      </c>
      <c r="E73" t="s">
        <v>21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</row>
    <row r="74" spans="1:20" x14ac:dyDescent="0.25">
      <c r="A74" t="s">
        <v>35</v>
      </c>
      <c r="B74">
        <v>35</v>
      </c>
      <c r="C74">
        <v>415</v>
      </c>
      <c r="D74" t="s">
        <v>21</v>
      </c>
      <c r="E74" t="s">
        <v>21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</row>
    <row r="75" spans="1:20" x14ac:dyDescent="0.25">
      <c r="A75" t="s">
        <v>48</v>
      </c>
      <c r="B75">
        <v>84</v>
      </c>
      <c r="C75">
        <v>408</v>
      </c>
      <c r="D75" t="s">
        <v>21</v>
      </c>
      <c r="E75" t="s">
        <v>21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</row>
    <row r="76" spans="1:20" x14ac:dyDescent="0.25">
      <c r="A76" t="s">
        <v>47</v>
      </c>
      <c r="B76">
        <v>94</v>
      </c>
      <c r="C76">
        <v>415</v>
      </c>
      <c r="D76" t="s">
        <v>21</v>
      </c>
      <c r="E76" t="s">
        <v>21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</row>
    <row r="77" spans="1:20" x14ac:dyDescent="0.25">
      <c r="A77" t="s">
        <v>59</v>
      </c>
      <c r="B77">
        <v>96</v>
      </c>
      <c r="C77">
        <v>408</v>
      </c>
      <c r="D77" t="s">
        <v>21</v>
      </c>
      <c r="E77" t="s">
        <v>27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</row>
    <row r="78" spans="1:20" x14ac:dyDescent="0.25">
      <c r="A78" t="s">
        <v>60</v>
      </c>
      <c r="B78">
        <v>64</v>
      </c>
      <c r="C78">
        <v>415</v>
      </c>
      <c r="D78" t="s">
        <v>21</v>
      </c>
      <c r="E78" t="s">
        <v>21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</row>
    <row r="79" spans="1:20" x14ac:dyDescent="0.25">
      <c r="A79" t="s">
        <v>41</v>
      </c>
      <c r="B79">
        <v>85</v>
      </c>
      <c r="C79">
        <v>415</v>
      </c>
      <c r="D79" t="s">
        <v>21</v>
      </c>
      <c r="E79" t="s">
        <v>21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</row>
    <row r="80" spans="1:20" x14ac:dyDescent="0.25">
      <c r="A80" t="s">
        <v>38</v>
      </c>
      <c r="B80">
        <v>117</v>
      </c>
      <c r="C80">
        <v>408</v>
      </c>
      <c r="D80" t="s">
        <v>21</v>
      </c>
      <c r="E80" t="s">
        <v>21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</row>
    <row r="81" spans="1:20" x14ac:dyDescent="0.25">
      <c r="A81" t="s">
        <v>61</v>
      </c>
      <c r="B81">
        <v>112</v>
      </c>
      <c r="C81">
        <v>415</v>
      </c>
      <c r="D81" t="s">
        <v>21</v>
      </c>
      <c r="E81" t="s">
        <v>27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</row>
    <row r="82" spans="1:20" x14ac:dyDescent="0.25">
      <c r="A82" t="s">
        <v>35</v>
      </c>
      <c r="B82">
        <v>129</v>
      </c>
      <c r="C82">
        <v>510</v>
      </c>
      <c r="D82" t="s">
        <v>27</v>
      </c>
      <c r="E82" t="s">
        <v>21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</row>
    <row r="83" spans="1:20" x14ac:dyDescent="0.25">
      <c r="A83" t="s">
        <v>38</v>
      </c>
      <c r="B83">
        <v>140</v>
      </c>
      <c r="C83">
        <v>408</v>
      </c>
      <c r="D83" t="s">
        <v>21</v>
      </c>
      <c r="E83" t="s">
        <v>21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</row>
    <row r="84" spans="1:20" x14ac:dyDescent="0.25">
      <c r="A84" t="s">
        <v>28</v>
      </c>
      <c r="B84">
        <v>81</v>
      </c>
      <c r="C84">
        <v>415</v>
      </c>
      <c r="D84" t="s">
        <v>21</v>
      </c>
      <c r="E84" t="s">
        <v>21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</row>
    <row r="85" spans="1:20" x14ac:dyDescent="0.25">
      <c r="A85" t="s">
        <v>48</v>
      </c>
      <c r="B85">
        <v>70</v>
      </c>
      <c r="C85">
        <v>510</v>
      </c>
      <c r="D85" t="s">
        <v>21</v>
      </c>
      <c r="E85" t="s">
        <v>21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</row>
    <row r="86" spans="1:20" x14ac:dyDescent="0.25">
      <c r="A86" t="s">
        <v>29</v>
      </c>
      <c r="B86">
        <v>79</v>
      </c>
      <c r="C86">
        <v>510</v>
      </c>
      <c r="D86" t="s">
        <v>21</v>
      </c>
      <c r="E86" t="s">
        <v>27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</row>
    <row r="87" spans="1:20" x14ac:dyDescent="0.25">
      <c r="A87" t="s">
        <v>44</v>
      </c>
      <c r="B87">
        <v>85</v>
      </c>
      <c r="C87">
        <v>408</v>
      </c>
      <c r="D87" t="s">
        <v>21</v>
      </c>
      <c r="E87" t="s">
        <v>21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</row>
    <row r="88" spans="1:20" x14ac:dyDescent="0.25">
      <c r="A88" t="s">
        <v>54</v>
      </c>
      <c r="B88">
        <v>91</v>
      </c>
      <c r="C88">
        <v>510</v>
      </c>
      <c r="D88" t="s">
        <v>21</v>
      </c>
      <c r="E88" t="s">
        <v>21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</row>
    <row r="89" spans="1:20" x14ac:dyDescent="0.25">
      <c r="A89" t="s">
        <v>20</v>
      </c>
      <c r="B89">
        <v>149</v>
      </c>
      <c r="C89">
        <v>415</v>
      </c>
      <c r="D89" t="s">
        <v>21</v>
      </c>
      <c r="E89" t="s">
        <v>27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</row>
    <row r="90" spans="1:20" x14ac:dyDescent="0.25">
      <c r="A90" t="s">
        <v>38</v>
      </c>
      <c r="B90">
        <v>60</v>
      </c>
      <c r="C90">
        <v>415</v>
      </c>
      <c r="D90" t="s">
        <v>21</v>
      </c>
      <c r="E90" t="s">
        <v>21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</row>
    <row r="91" spans="1:20" x14ac:dyDescent="0.25">
      <c r="A91" t="s">
        <v>57</v>
      </c>
      <c r="B91">
        <v>115</v>
      </c>
      <c r="C91">
        <v>408</v>
      </c>
      <c r="D91" t="s">
        <v>21</v>
      </c>
      <c r="E91" t="s">
        <v>21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</row>
    <row r="92" spans="1:20" x14ac:dyDescent="0.25">
      <c r="A92" t="s">
        <v>42</v>
      </c>
      <c r="B92">
        <v>144</v>
      </c>
      <c r="C92">
        <v>415</v>
      </c>
      <c r="D92" t="s">
        <v>21</v>
      </c>
      <c r="E92" t="s">
        <v>27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</row>
    <row r="93" spans="1:20" x14ac:dyDescent="0.25">
      <c r="A93" t="s">
        <v>38</v>
      </c>
      <c r="B93">
        <v>86</v>
      </c>
      <c r="C93">
        <v>415</v>
      </c>
      <c r="D93" t="s">
        <v>21</v>
      </c>
      <c r="E93" t="s">
        <v>27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</row>
    <row r="94" spans="1:20" x14ac:dyDescent="0.25">
      <c r="A94" t="s">
        <v>28</v>
      </c>
      <c r="B94">
        <v>139</v>
      </c>
      <c r="C94">
        <v>415</v>
      </c>
      <c r="D94" t="s">
        <v>21</v>
      </c>
      <c r="E94" t="s">
        <v>27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</row>
    <row r="95" spans="1:20" x14ac:dyDescent="0.25">
      <c r="A95" t="s">
        <v>60</v>
      </c>
      <c r="B95">
        <v>124</v>
      </c>
      <c r="C95">
        <v>408</v>
      </c>
      <c r="D95" t="s">
        <v>21</v>
      </c>
      <c r="E95" t="s">
        <v>21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</row>
    <row r="96" spans="1:20" x14ac:dyDescent="0.25">
      <c r="A96" t="s">
        <v>35</v>
      </c>
      <c r="B96">
        <v>102</v>
      </c>
      <c r="C96">
        <v>510</v>
      </c>
      <c r="D96" t="s">
        <v>27</v>
      </c>
      <c r="E96" t="s">
        <v>21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</row>
    <row r="97" spans="1:20" x14ac:dyDescent="0.25">
      <c r="A97" t="s">
        <v>22</v>
      </c>
      <c r="B97">
        <v>78</v>
      </c>
      <c r="C97">
        <v>415</v>
      </c>
      <c r="D97" t="s">
        <v>21</v>
      </c>
      <c r="E97" t="s">
        <v>21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</row>
    <row r="98" spans="1:20" x14ac:dyDescent="0.25">
      <c r="A98" t="s">
        <v>44</v>
      </c>
      <c r="B98">
        <v>55</v>
      </c>
      <c r="C98">
        <v>415</v>
      </c>
      <c r="D98" t="s">
        <v>27</v>
      </c>
      <c r="E98" t="s">
        <v>21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</row>
    <row r="99" spans="1:20" x14ac:dyDescent="0.25">
      <c r="A99" t="s">
        <v>57</v>
      </c>
      <c r="B99">
        <v>129</v>
      </c>
      <c r="C99">
        <v>415</v>
      </c>
      <c r="D99" t="s">
        <v>21</v>
      </c>
      <c r="E99" t="s">
        <v>27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</row>
    <row r="100" spans="1:20" x14ac:dyDescent="0.25">
      <c r="A100" t="s">
        <v>62</v>
      </c>
      <c r="B100">
        <v>75</v>
      </c>
      <c r="C100">
        <v>408</v>
      </c>
      <c r="D100" t="s">
        <v>27</v>
      </c>
      <c r="E100" t="s">
        <v>21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</row>
    <row r="101" spans="1:20" x14ac:dyDescent="0.25">
      <c r="A101" t="s">
        <v>54</v>
      </c>
      <c r="B101">
        <v>126</v>
      </c>
      <c r="C101">
        <v>415</v>
      </c>
      <c r="D101" t="s">
        <v>21</v>
      </c>
      <c r="E101" t="s">
        <v>27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</row>
    <row r="102" spans="1:20" x14ac:dyDescent="0.25">
      <c r="A102" t="s">
        <v>43</v>
      </c>
      <c r="B102">
        <v>92</v>
      </c>
      <c r="C102">
        <v>415</v>
      </c>
      <c r="D102" t="s">
        <v>21</v>
      </c>
      <c r="E102" t="s">
        <v>21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</row>
    <row r="103" spans="1:20" x14ac:dyDescent="0.25">
      <c r="A103" t="s">
        <v>55</v>
      </c>
      <c r="B103">
        <v>52</v>
      </c>
      <c r="C103">
        <v>408</v>
      </c>
      <c r="D103" t="s">
        <v>21</v>
      </c>
      <c r="E103" t="s">
        <v>21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</row>
    <row r="104" spans="1:20" x14ac:dyDescent="0.25">
      <c r="A104" t="s">
        <v>63</v>
      </c>
      <c r="B104">
        <v>87</v>
      </c>
      <c r="C104">
        <v>510</v>
      </c>
      <c r="D104" t="s">
        <v>21</v>
      </c>
      <c r="E104" t="s">
        <v>21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</row>
    <row r="105" spans="1:20" x14ac:dyDescent="0.25">
      <c r="A105" t="s">
        <v>64</v>
      </c>
      <c r="B105">
        <v>95</v>
      </c>
      <c r="C105">
        <v>415</v>
      </c>
      <c r="D105" t="s">
        <v>21</v>
      </c>
      <c r="E105" t="s">
        <v>27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</row>
    <row r="106" spans="1:20" x14ac:dyDescent="0.25">
      <c r="A106" t="s">
        <v>20</v>
      </c>
      <c r="B106">
        <v>67</v>
      </c>
      <c r="C106">
        <v>510</v>
      </c>
      <c r="D106" t="s">
        <v>21</v>
      </c>
      <c r="E106" t="s">
        <v>21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</row>
    <row r="107" spans="1:20" x14ac:dyDescent="0.25">
      <c r="A107" t="s">
        <v>47</v>
      </c>
      <c r="B107">
        <v>165</v>
      </c>
      <c r="C107">
        <v>415</v>
      </c>
      <c r="D107" t="s">
        <v>21</v>
      </c>
      <c r="E107" t="s">
        <v>21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</row>
    <row r="108" spans="1:20" x14ac:dyDescent="0.25">
      <c r="A108" t="s">
        <v>57</v>
      </c>
      <c r="B108">
        <v>150</v>
      </c>
      <c r="C108">
        <v>415</v>
      </c>
      <c r="D108" t="s">
        <v>21</v>
      </c>
      <c r="E108" t="s">
        <v>27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</row>
    <row r="109" spans="1:20" x14ac:dyDescent="0.25">
      <c r="A109" t="s">
        <v>53</v>
      </c>
      <c r="B109">
        <v>26</v>
      </c>
      <c r="C109">
        <v>415</v>
      </c>
      <c r="D109" t="s">
        <v>21</v>
      </c>
      <c r="E109" t="s">
        <v>21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</row>
    <row r="110" spans="1:20" x14ac:dyDescent="0.25">
      <c r="A110" t="s">
        <v>65</v>
      </c>
      <c r="B110">
        <v>79</v>
      </c>
      <c r="C110">
        <v>510</v>
      </c>
      <c r="D110" t="s">
        <v>21</v>
      </c>
      <c r="E110" t="s">
        <v>27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</row>
    <row r="111" spans="1:20" x14ac:dyDescent="0.25">
      <c r="A111" t="s">
        <v>31</v>
      </c>
      <c r="B111">
        <v>69</v>
      </c>
      <c r="C111">
        <v>510</v>
      </c>
      <c r="D111" t="s">
        <v>27</v>
      </c>
      <c r="E111" t="s">
        <v>21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</row>
    <row r="112" spans="1:20" x14ac:dyDescent="0.25">
      <c r="A112" t="s">
        <v>33</v>
      </c>
      <c r="B112">
        <v>95</v>
      </c>
      <c r="C112">
        <v>510</v>
      </c>
      <c r="D112" t="s">
        <v>27</v>
      </c>
      <c r="E112" t="s">
        <v>27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</row>
    <row r="113" spans="1:20" x14ac:dyDescent="0.25">
      <c r="A113" t="s">
        <v>23</v>
      </c>
      <c r="B113">
        <v>157</v>
      </c>
      <c r="C113">
        <v>415</v>
      </c>
      <c r="D113" t="s">
        <v>21</v>
      </c>
      <c r="E113" t="s">
        <v>21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</row>
    <row r="114" spans="1:20" x14ac:dyDescent="0.25">
      <c r="A114" t="s">
        <v>33</v>
      </c>
      <c r="B114">
        <v>80</v>
      </c>
      <c r="C114">
        <v>415</v>
      </c>
      <c r="D114" t="s">
        <v>21</v>
      </c>
      <c r="E114" t="s">
        <v>21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</row>
    <row r="115" spans="1:20" x14ac:dyDescent="0.25">
      <c r="A115" t="s">
        <v>38</v>
      </c>
      <c r="B115">
        <v>75</v>
      </c>
      <c r="C115">
        <v>510</v>
      </c>
      <c r="D115" t="s">
        <v>21</v>
      </c>
      <c r="E115" t="s">
        <v>27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</row>
    <row r="116" spans="1:20" x14ac:dyDescent="0.25">
      <c r="A116" t="s">
        <v>66</v>
      </c>
      <c r="B116">
        <v>44</v>
      </c>
      <c r="C116">
        <v>510</v>
      </c>
      <c r="D116" t="s">
        <v>21</v>
      </c>
      <c r="E116" t="s">
        <v>21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</row>
    <row r="117" spans="1:20" x14ac:dyDescent="0.25">
      <c r="A117" t="s">
        <v>55</v>
      </c>
      <c r="B117">
        <v>101</v>
      </c>
      <c r="C117">
        <v>408</v>
      </c>
      <c r="D117" t="s">
        <v>21</v>
      </c>
      <c r="E117" t="s">
        <v>21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</row>
    <row r="118" spans="1:20" x14ac:dyDescent="0.25">
      <c r="A118" t="s">
        <v>31</v>
      </c>
      <c r="B118">
        <v>117</v>
      </c>
      <c r="C118">
        <v>408</v>
      </c>
      <c r="D118" t="s">
        <v>21</v>
      </c>
      <c r="E118" t="s">
        <v>27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</row>
    <row r="119" spans="1:20" x14ac:dyDescent="0.25">
      <c r="A119" t="s">
        <v>67</v>
      </c>
      <c r="B119">
        <v>82</v>
      </c>
      <c r="C119">
        <v>408</v>
      </c>
      <c r="D119" t="s">
        <v>21</v>
      </c>
      <c r="E119" t="s">
        <v>21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</row>
    <row r="120" spans="1:20" x14ac:dyDescent="0.25">
      <c r="A120" t="s">
        <v>23</v>
      </c>
      <c r="B120">
        <v>39</v>
      </c>
      <c r="C120">
        <v>408</v>
      </c>
      <c r="D120" t="s">
        <v>21</v>
      </c>
      <c r="E120" t="s">
        <v>21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</row>
    <row r="121" spans="1:20" x14ac:dyDescent="0.25">
      <c r="A121" t="s">
        <v>46</v>
      </c>
      <c r="B121">
        <v>30</v>
      </c>
      <c r="C121">
        <v>415</v>
      </c>
      <c r="D121" t="s">
        <v>21</v>
      </c>
      <c r="E121" t="s">
        <v>21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</row>
    <row r="122" spans="1:20" x14ac:dyDescent="0.25">
      <c r="A122" t="s">
        <v>53</v>
      </c>
      <c r="B122">
        <v>63</v>
      </c>
      <c r="C122">
        <v>415</v>
      </c>
      <c r="D122" t="s">
        <v>21</v>
      </c>
      <c r="E122" t="s">
        <v>27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</row>
    <row r="123" spans="1:20" x14ac:dyDescent="0.25">
      <c r="A123" t="s">
        <v>50</v>
      </c>
      <c r="B123">
        <v>111</v>
      </c>
      <c r="C123">
        <v>415</v>
      </c>
      <c r="D123" t="s">
        <v>21</v>
      </c>
      <c r="E123" t="s">
        <v>21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</row>
    <row r="124" spans="1:20" x14ac:dyDescent="0.25">
      <c r="A124" t="s">
        <v>67</v>
      </c>
      <c r="B124">
        <v>91</v>
      </c>
      <c r="C124">
        <v>510</v>
      </c>
      <c r="D124" t="s">
        <v>21</v>
      </c>
      <c r="E124" t="s">
        <v>21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</row>
    <row r="125" spans="1:20" x14ac:dyDescent="0.25">
      <c r="A125" t="s">
        <v>60</v>
      </c>
      <c r="B125">
        <v>105</v>
      </c>
      <c r="C125">
        <v>415</v>
      </c>
      <c r="D125" t="s">
        <v>27</v>
      </c>
      <c r="E125" t="s">
        <v>27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</row>
    <row r="126" spans="1:20" x14ac:dyDescent="0.25">
      <c r="A126" t="s">
        <v>40</v>
      </c>
      <c r="B126">
        <v>166</v>
      </c>
      <c r="C126">
        <v>408</v>
      </c>
      <c r="D126" t="s">
        <v>27</v>
      </c>
      <c r="E126" t="s">
        <v>27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</row>
    <row r="127" spans="1:20" x14ac:dyDescent="0.25">
      <c r="A127" t="s">
        <v>51</v>
      </c>
      <c r="B127">
        <v>79</v>
      </c>
      <c r="C127">
        <v>510</v>
      </c>
      <c r="D127" t="s">
        <v>21</v>
      </c>
      <c r="E127" t="s">
        <v>21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</row>
    <row r="128" spans="1:20" x14ac:dyDescent="0.25">
      <c r="A128" t="s">
        <v>62</v>
      </c>
      <c r="B128">
        <v>105</v>
      </c>
      <c r="C128">
        <v>408</v>
      </c>
      <c r="D128" t="s">
        <v>21</v>
      </c>
      <c r="E128" t="s">
        <v>27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</row>
    <row r="129" spans="1:20" x14ac:dyDescent="0.25">
      <c r="A129" t="s">
        <v>20</v>
      </c>
      <c r="B129">
        <v>172</v>
      </c>
      <c r="C129">
        <v>415</v>
      </c>
      <c r="D129" t="s">
        <v>21</v>
      </c>
      <c r="E129" t="s">
        <v>21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</row>
    <row r="130" spans="1:20" x14ac:dyDescent="0.25">
      <c r="A130" t="s">
        <v>52</v>
      </c>
      <c r="B130">
        <v>121</v>
      </c>
      <c r="C130">
        <v>408</v>
      </c>
      <c r="D130" t="s">
        <v>21</v>
      </c>
      <c r="E130" t="s">
        <v>21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</row>
    <row r="131" spans="1:20" x14ac:dyDescent="0.25">
      <c r="A131" t="s">
        <v>68</v>
      </c>
      <c r="B131">
        <v>88</v>
      </c>
      <c r="C131">
        <v>415</v>
      </c>
      <c r="D131" t="s">
        <v>21</v>
      </c>
      <c r="E131" t="s">
        <v>21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</row>
    <row r="132" spans="1:20" x14ac:dyDescent="0.25">
      <c r="A132" t="s">
        <v>66</v>
      </c>
      <c r="B132">
        <v>153</v>
      </c>
      <c r="C132">
        <v>408</v>
      </c>
      <c r="D132" t="s">
        <v>21</v>
      </c>
      <c r="E132" t="s">
        <v>27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</row>
    <row r="133" spans="1:20" x14ac:dyDescent="0.25">
      <c r="A133" t="s">
        <v>69</v>
      </c>
      <c r="B133">
        <v>54</v>
      </c>
      <c r="C133">
        <v>415</v>
      </c>
      <c r="D133" t="s">
        <v>21</v>
      </c>
      <c r="E133" t="s">
        <v>27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</row>
    <row r="134" spans="1:20" x14ac:dyDescent="0.25">
      <c r="A134" t="s">
        <v>39</v>
      </c>
      <c r="B134">
        <v>79</v>
      </c>
      <c r="C134">
        <v>510</v>
      </c>
      <c r="D134" t="s">
        <v>21</v>
      </c>
      <c r="E134" t="s">
        <v>21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</row>
    <row r="135" spans="1:20" x14ac:dyDescent="0.25">
      <c r="A135" t="s">
        <v>32</v>
      </c>
      <c r="B135">
        <v>55</v>
      </c>
      <c r="C135">
        <v>415</v>
      </c>
      <c r="D135" t="s">
        <v>21</v>
      </c>
      <c r="E135" t="s">
        <v>21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</row>
    <row r="136" spans="1:20" x14ac:dyDescent="0.25">
      <c r="A136" t="s">
        <v>34</v>
      </c>
      <c r="B136">
        <v>109</v>
      </c>
      <c r="C136">
        <v>408</v>
      </c>
      <c r="D136" t="s">
        <v>21</v>
      </c>
      <c r="E136" t="s">
        <v>21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</row>
    <row r="137" spans="1:20" x14ac:dyDescent="0.25">
      <c r="A137" t="s">
        <v>54</v>
      </c>
      <c r="B137">
        <v>65</v>
      </c>
      <c r="C137">
        <v>408</v>
      </c>
      <c r="D137" t="s">
        <v>21</v>
      </c>
      <c r="E137" t="s">
        <v>27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</row>
    <row r="138" spans="1:20" x14ac:dyDescent="0.25">
      <c r="A138" t="s">
        <v>34</v>
      </c>
      <c r="B138">
        <v>27</v>
      </c>
      <c r="C138">
        <v>510</v>
      </c>
      <c r="D138" t="s">
        <v>21</v>
      </c>
      <c r="E138" t="s">
        <v>21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</row>
    <row r="139" spans="1:20" x14ac:dyDescent="0.25">
      <c r="A139" t="s">
        <v>66</v>
      </c>
      <c r="B139">
        <v>32</v>
      </c>
      <c r="C139">
        <v>408</v>
      </c>
      <c r="D139" t="s">
        <v>21</v>
      </c>
      <c r="E139" t="s">
        <v>27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</row>
    <row r="140" spans="1:20" x14ac:dyDescent="0.25">
      <c r="A140" t="s">
        <v>56</v>
      </c>
      <c r="B140">
        <v>3</v>
      </c>
      <c r="C140">
        <v>415</v>
      </c>
      <c r="D140" t="s">
        <v>21</v>
      </c>
      <c r="E140" t="s">
        <v>27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</row>
    <row r="141" spans="1:20" x14ac:dyDescent="0.25">
      <c r="A141" t="s">
        <v>58</v>
      </c>
      <c r="B141">
        <v>119</v>
      </c>
      <c r="C141">
        <v>415</v>
      </c>
      <c r="D141" t="s">
        <v>21</v>
      </c>
      <c r="E141" t="s">
        <v>21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</row>
    <row r="142" spans="1:20" x14ac:dyDescent="0.25">
      <c r="A142" t="s">
        <v>20</v>
      </c>
      <c r="B142">
        <v>43</v>
      </c>
      <c r="C142">
        <v>415</v>
      </c>
      <c r="D142" t="s">
        <v>21</v>
      </c>
      <c r="E142" t="s">
        <v>21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</row>
    <row r="143" spans="1:20" x14ac:dyDescent="0.25">
      <c r="A143" t="s">
        <v>52</v>
      </c>
      <c r="B143">
        <v>116</v>
      </c>
      <c r="C143">
        <v>510</v>
      </c>
      <c r="D143" t="s">
        <v>21</v>
      </c>
      <c r="E143" t="s">
        <v>21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</row>
    <row r="144" spans="1:20" x14ac:dyDescent="0.25">
      <c r="A144" t="s">
        <v>66</v>
      </c>
      <c r="B144">
        <v>107</v>
      </c>
      <c r="C144">
        <v>415</v>
      </c>
      <c r="D144" t="s">
        <v>21</v>
      </c>
      <c r="E144" t="s">
        <v>21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</row>
    <row r="145" spans="1:20" x14ac:dyDescent="0.25">
      <c r="A145" t="s">
        <v>68</v>
      </c>
      <c r="B145">
        <v>123</v>
      </c>
      <c r="C145">
        <v>408</v>
      </c>
      <c r="D145" t="s">
        <v>21</v>
      </c>
      <c r="E145" t="s">
        <v>21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</row>
    <row r="146" spans="1:20" x14ac:dyDescent="0.25">
      <c r="A146" t="s">
        <v>26</v>
      </c>
      <c r="B146">
        <v>110</v>
      </c>
      <c r="C146">
        <v>408</v>
      </c>
      <c r="D146" t="s">
        <v>21</v>
      </c>
      <c r="E146" t="s">
        <v>21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</row>
    <row r="147" spans="1:20" x14ac:dyDescent="0.25">
      <c r="A147" t="s">
        <v>62</v>
      </c>
      <c r="B147">
        <v>176</v>
      </c>
      <c r="C147">
        <v>415</v>
      </c>
      <c r="D147" t="s">
        <v>21</v>
      </c>
      <c r="E147" t="s">
        <v>21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</row>
    <row r="148" spans="1:20" x14ac:dyDescent="0.25">
      <c r="A148" t="s">
        <v>32</v>
      </c>
      <c r="B148">
        <v>13</v>
      </c>
      <c r="C148">
        <v>510</v>
      </c>
      <c r="D148" t="s">
        <v>21</v>
      </c>
      <c r="E148" t="s">
        <v>27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</row>
    <row r="149" spans="1:20" x14ac:dyDescent="0.25">
      <c r="A149" t="s">
        <v>52</v>
      </c>
      <c r="B149">
        <v>88</v>
      </c>
      <c r="C149">
        <v>415</v>
      </c>
      <c r="D149" t="s">
        <v>21</v>
      </c>
      <c r="E149" t="s">
        <v>21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</row>
    <row r="150" spans="1:20" x14ac:dyDescent="0.25">
      <c r="A150" t="s">
        <v>64</v>
      </c>
      <c r="B150">
        <v>92</v>
      </c>
      <c r="C150">
        <v>510</v>
      </c>
      <c r="D150" t="s">
        <v>21</v>
      </c>
      <c r="E150" t="s">
        <v>27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</row>
    <row r="151" spans="1:20" x14ac:dyDescent="0.25">
      <c r="A151" t="s">
        <v>31</v>
      </c>
      <c r="B151">
        <v>165</v>
      </c>
      <c r="C151">
        <v>510</v>
      </c>
      <c r="D151" t="s">
        <v>21</v>
      </c>
      <c r="E151" t="s">
        <v>21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</row>
    <row r="152" spans="1:20" x14ac:dyDescent="0.25">
      <c r="A152" t="s">
        <v>69</v>
      </c>
      <c r="B152">
        <v>156</v>
      </c>
      <c r="C152">
        <v>415</v>
      </c>
      <c r="D152" t="s">
        <v>21</v>
      </c>
      <c r="E152" t="s">
        <v>21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</row>
    <row r="153" spans="1:20" x14ac:dyDescent="0.25">
      <c r="A153" t="s">
        <v>40</v>
      </c>
      <c r="B153">
        <v>63</v>
      </c>
      <c r="C153">
        <v>408</v>
      </c>
      <c r="D153" t="s">
        <v>21</v>
      </c>
      <c r="E153" t="s">
        <v>21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</row>
    <row r="154" spans="1:20" x14ac:dyDescent="0.25">
      <c r="A154" t="s">
        <v>29</v>
      </c>
      <c r="B154">
        <v>83</v>
      </c>
      <c r="C154">
        <v>415</v>
      </c>
      <c r="D154" t="s">
        <v>27</v>
      </c>
      <c r="E154" t="s">
        <v>27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</row>
    <row r="155" spans="1:20" x14ac:dyDescent="0.25">
      <c r="A155" t="s">
        <v>30</v>
      </c>
      <c r="B155">
        <v>158</v>
      </c>
      <c r="C155">
        <v>415</v>
      </c>
      <c r="D155" t="s">
        <v>21</v>
      </c>
      <c r="E155" t="s">
        <v>21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</row>
    <row r="156" spans="1:20" x14ac:dyDescent="0.25">
      <c r="A156" t="s">
        <v>66</v>
      </c>
      <c r="B156">
        <v>115</v>
      </c>
      <c r="C156">
        <v>510</v>
      </c>
      <c r="D156" t="s">
        <v>27</v>
      </c>
      <c r="E156" t="s">
        <v>21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</row>
    <row r="157" spans="1:20" x14ac:dyDescent="0.25">
      <c r="A157" t="s">
        <v>59</v>
      </c>
      <c r="B157">
        <v>103</v>
      </c>
      <c r="C157">
        <v>510</v>
      </c>
      <c r="D157" t="s">
        <v>21</v>
      </c>
      <c r="E157" t="s">
        <v>27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</row>
    <row r="158" spans="1:20" x14ac:dyDescent="0.25">
      <c r="A158" t="s">
        <v>64</v>
      </c>
      <c r="B158">
        <v>64</v>
      </c>
      <c r="C158">
        <v>415</v>
      </c>
      <c r="D158" t="s">
        <v>21</v>
      </c>
      <c r="E158" t="s">
        <v>21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</row>
    <row r="159" spans="1:20" x14ac:dyDescent="0.25">
      <c r="A159" t="s">
        <v>49</v>
      </c>
      <c r="B159">
        <v>86</v>
      </c>
      <c r="C159">
        <v>510</v>
      </c>
      <c r="D159" t="s">
        <v>21</v>
      </c>
      <c r="E159" t="s">
        <v>27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</row>
    <row r="160" spans="1:20" x14ac:dyDescent="0.25">
      <c r="A160" t="s">
        <v>62</v>
      </c>
      <c r="B160">
        <v>151</v>
      </c>
      <c r="C160">
        <v>415</v>
      </c>
      <c r="D160" t="s">
        <v>21</v>
      </c>
      <c r="E160" t="s">
        <v>27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</row>
    <row r="161" spans="1:20" x14ac:dyDescent="0.25">
      <c r="A161" t="s">
        <v>46</v>
      </c>
      <c r="B161">
        <v>87</v>
      </c>
      <c r="C161">
        <v>510</v>
      </c>
      <c r="D161" t="s">
        <v>27</v>
      </c>
      <c r="E161" t="s">
        <v>21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</row>
    <row r="162" spans="1:20" x14ac:dyDescent="0.25">
      <c r="A162" t="s">
        <v>48</v>
      </c>
      <c r="B162">
        <v>90</v>
      </c>
      <c r="C162">
        <v>415</v>
      </c>
      <c r="D162" t="s">
        <v>21</v>
      </c>
      <c r="E162" t="s">
        <v>21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</row>
    <row r="163" spans="1:20" x14ac:dyDescent="0.25">
      <c r="A163" t="s">
        <v>20</v>
      </c>
      <c r="B163">
        <v>108</v>
      </c>
      <c r="C163">
        <v>510</v>
      </c>
      <c r="D163" t="s">
        <v>21</v>
      </c>
      <c r="E163" t="s">
        <v>27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</row>
    <row r="164" spans="1:20" x14ac:dyDescent="0.25">
      <c r="A164" t="s">
        <v>70</v>
      </c>
      <c r="B164">
        <v>33</v>
      </c>
      <c r="C164">
        <v>415</v>
      </c>
      <c r="D164" t="s">
        <v>21</v>
      </c>
      <c r="E164" t="s">
        <v>27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</row>
    <row r="165" spans="1:20" x14ac:dyDescent="0.25">
      <c r="A165" t="s">
        <v>31</v>
      </c>
      <c r="B165">
        <v>149</v>
      </c>
      <c r="C165">
        <v>415</v>
      </c>
      <c r="D165" t="s">
        <v>27</v>
      </c>
      <c r="E165" t="s">
        <v>27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</row>
    <row r="166" spans="1:20" x14ac:dyDescent="0.25">
      <c r="A166" t="s">
        <v>34</v>
      </c>
      <c r="B166">
        <v>106</v>
      </c>
      <c r="C166">
        <v>510</v>
      </c>
      <c r="D166" t="s">
        <v>21</v>
      </c>
      <c r="E166" t="s">
        <v>21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</row>
    <row r="167" spans="1:20" x14ac:dyDescent="0.25">
      <c r="A167" t="s">
        <v>68</v>
      </c>
      <c r="B167">
        <v>167</v>
      </c>
      <c r="C167">
        <v>408</v>
      </c>
      <c r="D167" t="s">
        <v>27</v>
      </c>
      <c r="E167" t="s">
        <v>21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</row>
    <row r="168" spans="1:20" x14ac:dyDescent="0.25">
      <c r="A168" t="s">
        <v>31</v>
      </c>
      <c r="B168">
        <v>35</v>
      </c>
      <c r="C168">
        <v>510</v>
      </c>
      <c r="D168" t="s">
        <v>21</v>
      </c>
      <c r="E168" t="s">
        <v>27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</row>
    <row r="169" spans="1:20" x14ac:dyDescent="0.25">
      <c r="A169" t="s">
        <v>43</v>
      </c>
      <c r="B169">
        <v>107</v>
      </c>
      <c r="C169">
        <v>415</v>
      </c>
      <c r="D169" t="s">
        <v>21</v>
      </c>
      <c r="E169" t="s">
        <v>27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</row>
    <row r="170" spans="1:20" x14ac:dyDescent="0.25">
      <c r="A170" t="s">
        <v>38</v>
      </c>
      <c r="B170">
        <v>92</v>
      </c>
      <c r="C170">
        <v>415</v>
      </c>
      <c r="D170" t="s">
        <v>27</v>
      </c>
      <c r="E170" t="s">
        <v>27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</row>
    <row r="171" spans="1:20" x14ac:dyDescent="0.25">
      <c r="A171" t="s">
        <v>33</v>
      </c>
      <c r="B171">
        <v>38</v>
      </c>
      <c r="C171">
        <v>415</v>
      </c>
      <c r="D171" t="s">
        <v>21</v>
      </c>
      <c r="E171" t="s">
        <v>21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</row>
    <row r="172" spans="1:20" x14ac:dyDescent="0.25">
      <c r="A172" t="s">
        <v>30</v>
      </c>
      <c r="B172">
        <v>68</v>
      </c>
      <c r="C172">
        <v>408</v>
      </c>
      <c r="D172" t="s">
        <v>27</v>
      </c>
      <c r="E172" t="s">
        <v>21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</row>
    <row r="173" spans="1:20" x14ac:dyDescent="0.25">
      <c r="A173" t="s">
        <v>41</v>
      </c>
      <c r="B173">
        <v>123</v>
      </c>
      <c r="C173">
        <v>510</v>
      </c>
      <c r="D173" t="s">
        <v>21</v>
      </c>
      <c r="E173" t="s">
        <v>21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</row>
    <row r="174" spans="1:20" x14ac:dyDescent="0.25">
      <c r="A174" t="s">
        <v>40</v>
      </c>
      <c r="B174">
        <v>75</v>
      </c>
      <c r="C174">
        <v>510</v>
      </c>
      <c r="D174" t="s">
        <v>21</v>
      </c>
      <c r="E174" t="s">
        <v>27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</row>
    <row r="175" spans="1:20" x14ac:dyDescent="0.25">
      <c r="A175" t="s">
        <v>46</v>
      </c>
      <c r="B175">
        <v>153</v>
      </c>
      <c r="C175">
        <v>408</v>
      </c>
      <c r="D175" t="s">
        <v>21</v>
      </c>
      <c r="E175" t="s">
        <v>21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</row>
    <row r="176" spans="1:20" x14ac:dyDescent="0.25">
      <c r="A176" t="s">
        <v>51</v>
      </c>
      <c r="B176">
        <v>143</v>
      </c>
      <c r="C176">
        <v>415</v>
      </c>
      <c r="D176" t="s">
        <v>21</v>
      </c>
      <c r="E176" t="s">
        <v>21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</row>
    <row r="177" spans="1:20" x14ac:dyDescent="0.25">
      <c r="A177" t="s">
        <v>24</v>
      </c>
      <c r="B177">
        <v>87</v>
      </c>
      <c r="C177">
        <v>408</v>
      </c>
      <c r="D177" t="s">
        <v>21</v>
      </c>
      <c r="E177" t="s">
        <v>21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</row>
    <row r="178" spans="1:20" x14ac:dyDescent="0.25">
      <c r="A178" t="s">
        <v>22</v>
      </c>
      <c r="B178">
        <v>100</v>
      </c>
      <c r="C178">
        <v>510</v>
      </c>
      <c r="D178" t="s">
        <v>21</v>
      </c>
      <c r="E178" t="s">
        <v>21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</row>
    <row r="179" spans="1:20" x14ac:dyDescent="0.25">
      <c r="A179" t="s">
        <v>51</v>
      </c>
      <c r="B179">
        <v>144</v>
      </c>
      <c r="C179">
        <v>415</v>
      </c>
      <c r="D179" t="s">
        <v>21</v>
      </c>
      <c r="E179" t="s">
        <v>27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</row>
    <row r="180" spans="1:20" x14ac:dyDescent="0.25">
      <c r="A180" t="s">
        <v>68</v>
      </c>
      <c r="B180">
        <v>70</v>
      </c>
      <c r="C180">
        <v>415</v>
      </c>
      <c r="D180" t="s">
        <v>21</v>
      </c>
      <c r="E180" t="s">
        <v>27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</row>
    <row r="181" spans="1:20" x14ac:dyDescent="0.25">
      <c r="A181" t="s">
        <v>35</v>
      </c>
      <c r="B181">
        <v>136</v>
      </c>
      <c r="C181">
        <v>408</v>
      </c>
      <c r="D181" t="s">
        <v>27</v>
      </c>
      <c r="E181" t="s">
        <v>21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</row>
    <row r="182" spans="1:20" x14ac:dyDescent="0.25">
      <c r="A182" t="s">
        <v>43</v>
      </c>
      <c r="B182">
        <v>120</v>
      </c>
      <c r="C182">
        <v>415</v>
      </c>
      <c r="D182" t="s">
        <v>21</v>
      </c>
      <c r="E182" t="s">
        <v>27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</row>
    <row r="183" spans="1:20" x14ac:dyDescent="0.25">
      <c r="A183" t="s">
        <v>50</v>
      </c>
      <c r="B183">
        <v>104</v>
      </c>
      <c r="C183">
        <v>408</v>
      </c>
      <c r="D183" t="s">
        <v>21</v>
      </c>
      <c r="E183" t="s">
        <v>21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</row>
    <row r="184" spans="1:20" x14ac:dyDescent="0.25">
      <c r="A184" t="s">
        <v>39</v>
      </c>
      <c r="B184">
        <v>75</v>
      </c>
      <c r="C184">
        <v>510</v>
      </c>
      <c r="D184" t="s">
        <v>21</v>
      </c>
      <c r="E184" t="s">
        <v>27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</row>
    <row r="185" spans="1:20" x14ac:dyDescent="0.25">
      <c r="A185" t="s">
        <v>41</v>
      </c>
      <c r="B185">
        <v>127</v>
      </c>
      <c r="C185">
        <v>510</v>
      </c>
      <c r="D185" t="s">
        <v>27</v>
      </c>
      <c r="E185" t="s">
        <v>21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</row>
    <row r="186" spans="1:20" x14ac:dyDescent="0.25">
      <c r="A186" t="s">
        <v>29</v>
      </c>
      <c r="B186">
        <v>122</v>
      </c>
      <c r="C186">
        <v>510</v>
      </c>
      <c r="D186" t="s">
        <v>21</v>
      </c>
      <c r="E186" t="s">
        <v>27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</row>
    <row r="187" spans="1:20" x14ac:dyDescent="0.25">
      <c r="A187" t="s">
        <v>33</v>
      </c>
      <c r="B187">
        <v>124</v>
      </c>
      <c r="C187">
        <v>415</v>
      </c>
      <c r="D187" t="s">
        <v>21</v>
      </c>
      <c r="E187" t="s">
        <v>21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</row>
    <row r="188" spans="1:20" x14ac:dyDescent="0.25">
      <c r="A188" t="s">
        <v>43</v>
      </c>
      <c r="B188">
        <v>167</v>
      </c>
      <c r="C188">
        <v>415</v>
      </c>
      <c r="D188" t="s">
        <v>27</v>
      </c>
      <c r="E188" t="s">
        <v>21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</row>
    <row r="189" spans="1:20" x14ac:dyDescent="0.25">
      <c r="A189" t="s">
        <v>30</v>
      </c>
      <c r="B189">
        <v>89</v>
      </c>
      <c r="C189">
        <v>415</v>
      </c>
      <c r="D189" t="s">
        <v>21</v>
      </c>
      <c r="E189" t="s">
        <v>27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</row>
    <row r="190" spans="1:20" x14ac:dyDescent="0.25">
      <c r="A190" t="s">
        <v>33</v>
      </c>
      <c r="B190">
        <v>73</v>
      </c>
      <c r="C190">
        <v>408</v>
      </c>
      <c r="D190" t="s">
        <v>21</v>
      </c>
      <c r="E190" t="s">
        <v>21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</row>
    <row r="191" spans="1:20" x14ac:dyDescent="0.25">
      <c r="A191" t="s">
        <v>49</v>
      </c>
      <c r="B191">
        <v>1</v>
      </c>
      <c r="C191">
        <v>415</v>
      </c>
      <c r="D191" t="s">
        <v>21</v>
      </c>
      <c r="E191" t="s">
        <v>21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</row>
    <row r="192" spans="1:20" x14ac:dyDescent="0.25">
      <c r="A192" t="s">
        <v>36</v>
      </c>
      <c r="B192">
        <v>60</v>
      </c>
      <c r="C192">
        <v>408</v>
      </c>
      <c r="D192" t="s">
        <v>21</v>
      </c>
      <c r="E192" t="s">
        <v>21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</row>
    <row r="193" spans="1:20" x14ac:dyDescent="0.25">
      <c r="A193" t="s">
        <v>66</v>
      </c>
      <c r="B193">
        <v>77</v>
      </c>
      <c r="C193">
        <v>510</v>
      </c>
      <c r="D193" t="s">
        <v>21</v>
      </c>
      <c r="E193" t="s">
        <v>21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</row>
    <row r="194" spans="1:20" x14ac:dyDescent="0.25">
      <c r="A194" t="s">
        <v>61</v>
      </c>
      <c r="B194">
        <v>76</v>
      </c>
      <c r="C194">
        <v>415</v>
      </c>
      <c r="D194" t="s">
        <v>21</v>
      </c>
      <c r="E194" t="s">
        <v>21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</row>
    <row r="195" spans="1:20" x14ac:dyDescent="0.25">
      <c r="A195" t="s">
        <v>71</v>
      </c>
      <c r="B195">
        <v>63</v>
      </c>
      <c r="C195">
        <v>510</v>
      </c>
      <c r="D195" t="s">
        <v>21</v>
      </c>
      <c r="E195" t="s">
        <v>21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</row>
    <row r="196" spans="1:20" x14ac:dyDescent="0.25">
      <c r="A196" t="s">
        <v>32</v>
      </c>
      <c r="B196">
        <v>150</v>
      </c>
      <c r="C196">
        <v>415</v>
      </c>
      <c r="D196" t="s">
        <v>21</v>
      </c>
      <c r="E196" t="s">
        <v>27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</row>
    <row r="197" spans="1:20" x14ac:dyDescent="0.25">
      <c r="A197" t="s">
        <v>33</v>
      </c>
      <c r="B197">
        <v>101</v>
      </c>
      <c r="C197">
        <v>415</v>
      </c>
      <c r="D197" t="s">
        <v>21</v>
      </c>
      <c r="E197" t="s">
        <v>21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</row>
    <row r="198" spans="1:20" x14ac:dyDescent="0.25">
      <c r="A198" t="s">
        <v>26</v>
      </c>
      <c r="B198">
        <v>132</v>
      </c>
      <c r="C198">
        <v>415</v>
      </c>
      <c r="D198" t="s">
        <v>21</v>
      </c>
      <c r="E198" t="s">
        <v>27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</row>
    <row r="199" spans="1:20" x14ac:dyDescent="0.25">
      <c r="A199" t="s">
        <v>39</v>
      </c>
      <c r="B199">
        <v>158</v>
      </c>
      <c r="C199">
        <v>510</v>
      </c>
      <c r="D199" t="s">
        <v>21</v>
      </c>
      <c r="E199" t="s">
        <v>21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</row>
    <row r="200" spans="1:20" x14ac:dyDescent="0.25">
      <c r="A200" t="s">
        <v>49</v>
      </c>
      <c r="B200">
        <v>114</v>
      </c>
      <c r="C200">
        <v>415</v>
      </c>
      <c r="D200" t="s">
        <v>21</v>
      </c>
      <c r="E200" t="s">
        <v>27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</row>
    <row r="201" spans="1:20" x14ac:dyDescent="0.25">
      <c r="A201" t="s">
        <v>69</v>
      </c>
      <c r="B201">
        <v>77</v>
      </c>
      <c r="C201">
        <v>415</v>
      </c>
      <c r="D201" t="s">
        <v>21</v>
      </c>
      <c r="E201" t="s">
        <v>27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</row>
    <row r="202" spans="1:20" x14ac:dyDescent="0.25">
      <c r="A202" t="s">
        <v>64</v>
      </c>
      <c r="B202">
        <v>107</v>
      </c>
      <c r="C202">
        <v>415</v>
      </c>
      <c r="D202" t="s">
        <v>21</v>
      </c>
      <c r="E202" t="s">
        <v>21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</row>
    <row r="203" spans="1:20" x14ac:dyDescent="0.25">
      <c r="A203" t="s">
        <v>64</v>
      </c>
      <c r="B203">
        <v>48</v>
      </c>
      <c r="C203">
        <v>510</v>
      </c>
      <c r="D203" t="s">
        <v>21</v>
      </c>
      <c r="E203" t="s">
        <v>27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</row>
    <row r="204" spans="1:20" x14ac:dyDescent="0.25">
      <c r="A204" t="s">
        <v>70</v>
      </c>
      <c r="B204">
        <v>59</v>
      </c>
      <c r="C204">
        <v>415</v>
      </c>
      <c r="D204" t="s">
        <v>21</v>
      </c>
      <c r="E204" t="s">
        <v>21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</row>
    <row r="205" spans="1:20" x14ac:dyDescent="0.25">
      <c r="A205" t="s">
        <v>58</v>
      </c>
      <c r="B205">
        <v>129</v>
      </c>
      <c r="C205">
        <v>510</v>
      </c>
      <c r="D205" t="s">
        <v>21</v>
      </c>
      <c r="E205" t="s">
        <v>21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</row>
    <row r="206" spans="1:20" x14ac:dyDescent="0.25">
      <c r="A206" t="s">
        <v>48</v>
      </c>
      <c r="B206">
        <v>50</v>
      </c>
      <c r="C206">
        <v>510</v>
      </c>
      <c r="D206" t="s">
        <v>21</v>
      </c>
      <c r="E206" t="s">
        <v>21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</row>
    <row r="207" spans="1:20" x14ac:dyDescent="0.25">
      <c r="A207" t="s">
        <v>28</v>
      </c>
      <c r="B207">
        <v>50</v>
      </c>
      <c r="C207">
        <v>415</v>
      </c>
      <c r="D207" t="s">
        <v>21</v>
      </c>
      <c r="E207" t="s">
        <v>27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</row>
    <row r="208" spans="1:20" x14ac:dyDescent="0.25">
      <c r="A208" t="s">
        <v>49</v>
      </c>
      <c r="B208">
        <v>116</v>
      </c>
      <c r="C208">
        <v>415</v>
      </c>
      <c r="D208" t="s">
        <v>21</v>
      </c>
      <c r="E208" t="s">
        <v>21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</row>
    <row r="209" spans="1:20" x14ac:dyDescent="0.25">
      <c r="A209" t="s">
        <v>55</v>
      </c>
      <c r="B209">
        <v>52</v>
      </c>
      <c r="C209">
        <v>510</v>
      </c>
      <c r="D209" t="s">
        <v>21</v>
      </c>
      <c r="E209" t="s">
        <v>27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</row>
    <row r="210" spans="1:20" x14ac:dyDescent="0.25">
      <c r="A210" t="s">
        <v>68</v>
      </c>
      <c r="B210">
        <v>12</v>
      </c>
      <c r="C210">
        <v>510</v>
      </c>
      <c r="D210" t="s">
        <v>27</v>
      </c>
      <c r="E210" t="s">
        <v>21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</row>
    <row r="211" spans="1:20" x14ac:dyDescent="0.25">
      <c r="A211" t="s">
        <v>68</v>
      </c>
      <c r="B211">
        <v>105</v>
      </c>
      <c r="C211">
        <v>510</v>
      </c>
      <c r="D211" t="s">
        <v>21</v>
      </c>
      <c r="E211" t="s">
        <v>21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</row>
    <row r="212" spans="1:20" x14ac:dyDescent="0.25">
      <c r="A212" t="s">
        <v>23</v>
      </c>
      <c r="B212">
        <v>104</v>
      </c>
      <c r="C212">
        <v>415</v>
      </c>
      <c r="D212" t="s">
        <v>21</v>
      </c>
      <c r="E212" t="s">
        <v>21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</row>
    <row r="213" spans="1:20" x14ac:dyDescent="0.25">
      <c r="A213" t="s">
        <v>66</v>
      </c>
      <c r="B213">
        <v>13</v>
      </c>
      <c r="C213">
        <v>415</v>
      </c>
      <c r="D213" t="s">
        <v>21</v>
      </c>
      <c r="E213" t="s">
        <v>21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</row>
    <row r="214" spans="1:20" x14ac:dyDescent="0.25">
      <c r="A214" t="s">
        <v>66</v>
      </c>
      <c r="B214">
        <v>67</v>
      </c>
      <c r="C214">
        <v>408</v>
      </c>
      <c r="D214" t="s">
        <v>21</v>
      </c>
      <c r="E214" t="s">
        <v>21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</row>
    <row r="215" spans="1:20" x14ac:dyDescent="0.25">
      <c r="A215" t="s">
        <v>61</v>
      </c>
      <c r="B215">
        <v>148</v>
      </c>
      <c r="C215">
        <v>415</v>
      </c>
      <c r="D215" t="s">
        <v>21</v>
      </c>
      <c r="E215" t="s">
        <v>27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</row>
    <row r="216" spans="1:20" x14ac:dyDescent="0.25">
      <c r="A216" t="s">
        <v>32</v>
      </c>
      <c r="B216">
        <v>116</v>
      </c>
      <c r="C216">
        <v>510</v>
      </c>
      <c r="D216" t="s">
        <v>21</v>
      </c>
      <c r="E216" t="s">
        <v>21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</row>
    <row r="217" spans="1:20" x14ac:dyDescent="0.25">
      <c r="A217" t="s">
        <v>58</v>
      </c>
      <c r="B217">
        <v>131</v>
      </c>
      <c r="C217">
        <v>408</v>
      </c>
      <c r="D217" t="s">
        <v>21</v>
      </c>
      <c r="E217" t="s">
        <v>21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</row>
    <row r="218" spans="1:20" x14ac:dyDescent="0.25">
      <c r="A218" t="s">
        <v>33</v>
      </c>
      <c r="B218">
        <v>119</v>
      </c>
      <c r="C218">
        <v>510</v>
      </c>
      <c r="D218" t="s">
        <v>21</v>
      </c>
      <c r="E218" t="s">
        <v>21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</row>
    <row r="219" spans="1:20" x14ac:dyDescent="0.25">
      <c r="A219" t="s">
        <v>23</v>
      </c>
      <c r="B219">
        <v>94</v>
      </c>
      <c r="C219">
        <v>510</v>
      </c>
      <c r="D219" t="s">
        <v>27</v>
      </c>
      <c r="E219" t="s">
        <v>21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</row>
    <row r="220" spans="1:20" x14ac:dyDescent="0.25">
      <c r="A220" t="s">
        <v>48</v>
      </c>
      <c r="B220">
        <v>217</v>
      </c>
      <c r="C220">
        <v>408</v>
      </c>
      <c r="D220" t="s">
        <v>21</v>
      </c>
      <c r="E220" t="s">
        <v>21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</row>
    <row r="221" spans="1:20" x14ac:dyDescent="0.25">
      <c r="A221" t="s">
        <v>47</v>
      </c>
      <c r="B221">
        <v>161</v>
      </c>
      <c r="C221">
        <v>415</v>
      </c>
      <c r="D221" t="s">
        <v>21</v>
      </c>
      <c r="E221" t="s">
        <v>21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</row>
    <row r="222" spans="1:20" x14ac:dyDescent="0.25">
      <c r="A222" t="s">
        <v>52</v>
      </c>
      <c r="B222">
        <v>67</v>
      </c>
      <c r="C222">
        <v>408</v>
      </c>
      <c r="D222" t="s">
        <v>21</v>
      </c>
      <c r="E222" t="s">
        <v>21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</row>
    <row r="223" spans="1:20" x14ac:dyDescent="0.25">
      <c r="A223" t="s">
        <v>68</v>
      </c>
      <c r="B223">
        <v>132</v>
      </c>
      <c r="C223">
        <v>415</v>
      </c>
      <c r="D223" t="s">
        <v>21</v>
      </c>
      <c r="E223" t="s">
        <v>27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</row>
    <row r="224" spans="1:20" x14ac:dyDescent="0.25">
      <c r="A224" t="s">
        <v>67</v>
      </c>
      <c r="B224">
        <v>134</v>
      </c>
      <c r="C224">
        <v>408</v>
      </c>
      <c r="D224" t="s">
        <v>21</v>
      </c>
      <c r="E224" t="s">
        <v>21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</row>
    <row r="225" spans="1:20" x14ac:dyDescent="0.25">
      <c r="A225" t="s">
        <v>23</v>
      </c>
      <c r="B225">
        <v>44</v>
      </c>
      <c r="C225">
        <v>510</v>
      </c>
      <c r="D225" t="s">
        <v>21</v>
      </c>
      <c r="E225" t="s">
        <v>21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</row>
    <row r="226" spans="1:20" x14ac:dyDescent="0.25">
      <c r="A226" t="s">
        <v>50</v>
      </c>
      <c r="B226">
        <v>53</v>
      </c>
      <c r="C226">
        <v>415</v>
      </c>
      <c r="D226" t="s">
        <v>21</v>
      </c>
      <c r="E226" t="s">
        <v>27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</row>
    <row r="227" spans="1:20" x14ac:dyDescent="0.25">
      <c r="A227" t="s">
        <v>23</v>
      </c>
      <c r="B227">
        <v>108</v>
      </c>
      <c r="C227">
        <v>415</v>
      </c>
      <c r="D227" t="s">
        <v>21</v>
      </c>
      <c r="E227" t="s">
        <v>21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</row>
    <row r="228" spans="1:20" x14ac:dyDescent="0.25">
      <c r="A228" t="s">
        <v>62</v>
      </c>
      <c r="B228">
        <v>80</v>
      </c>
      <c r="C228">
        <v>408</v>
      </c>
      <c r="D228" t="s">
        <v>21</v>
      </c>
      <c r="E228" t="s">
        <v>21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</row>
    <row r="229" spans="1:20" x14ac:dyDescent="0.25">
      <c r="A229" t="s">
        <v>54</v>
      </c>
      <c r="B229">
        <v>88</v>
      </c>
      <c r="C229">
        <v>415</v>
      </c>
      <c r="D229" t="s">
        <v>21</v>
      </c>
      <c r="E229" t="s">
        <v>21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</row>
    <row r="230" spans="1:20" x14ac:dyDescent="0.25">
      <c r="A230" t="s">
        <v>59</v>
      </c>
      <c r="B230">
        <v>82</v>
      </c>
      <c r="C230">
        <v>510</v>
      </c>
      <c r="D230" t="s">
        <v>27</v>
      </c>
      <c r="E230" t="s">
        <v>21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</row>
    <row r="231" spans="1:20" x14ac:dyDescent="0.25">
      <c r="A231" t="s">
        <v>26</v>
      </c>
      <c r="B231">
        <v>115</v>
      </c>
      <c r="C231">
        <v>415</v>
      </c>
      <c r="D231" t="s">
        <v>21</v>
      </c>
      <c r="E231" t="s">
        <v>21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</row>
    <row r="232" spans="1:20" x14ac:dyDescent="0.25">
      <c r="A232" t="s">
        <v>57</v>
      </c>
      <c r="B232">
        <v>93</v>
      </c>
      <c r="C232">
        <v>415</v>
      </c>
      <c r="D232" t="s">
        <v>21</v>
      </c>
      <c r="E232" t="s">
        <v>21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</row>
    <row r="233" spans="1:20" x14ac:dyDescent="0.25">
      <c r="A233" t="s">
        <v>44</v>
      </c>
      <c r="B233">
        <v>72</v>
      </c>
      <c r="C233">
        <v>415</v>
      </c>
      <c r="D233" t="s">
        <v>21</v>
      </c>
      <c r="E233" t="s">
        <v>21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</row>
    <row r="234" spans="1:20" x14ac:dyDescent="0.25">
      <c r="A234" t="s">
        <v>58</v>
      </c>
      <c r="B234">
        <v>98</v>
      </c>
      <c r="C234">
        <v>415</v>
      </c>
      <c r="D234" t="s">
        <v>21</v>
      </c>
      <c r="E234" t="s">
        <v>27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</row>
    <row r="235" spans="1:20" x14ac:dyDescent="0.25">
      <c r="A235" t="s">
        <v>29</v>
      </c>
      <c r="B235">
        <v>118</v>
      </c>
      <c r="C235">
        <v>415</v>
      </c>
      <c r="D235" t="s">
        <v>21</v>
      </c>
      <c r="E235" t="s">
        <v>21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</row>
    <row r="236" spans="1:20" x14ac:dyDescent="0.25">
      <c r="A236" t="s">
        <v>43</v>
      </c>
      <c r="B236">
        <v>55</v>
      </c>
      <c r="C236">
        <v>510</v>
      </c>
      <c r="D236" t="s">
        <v>21</v>
      </c>
      <c r="E236" t="s">
        <v>21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</row>
    <row r="237" spans="1:20" x14ac:dyDescent="0.25">
      <c r="A237" t="s">
        <v>63</v>
      </c>
      <c r="B237">
        <v>130</v>
      </c>
      <c r="C237">
        <v>415</v>
      </c>
      <c r="D237" t="s">
        <v>21</v>
      </c>
      <c r="E237" t="s">
        <v>21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</row>
    <row r="238" spans="1:20" x14ac:dyDescent="0.25">
      <c r="A238" t="s">
        <v>51</v>
      </c>
      <c r="B238">
        <v>136</v>
      </c>
      <c r="C238">
        <v>408</v>
      </c>
      <c r="D238" t="s">
        <v>27</v>
      </c>
      <c r="E238" t="s">
        <v>21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</row>
    <row r="239" spans="1:20" x14ac:dyDescent="0.25">
      <c r="A239" t="s">
        <v>36</v>
      </c>
      <c r="B239">
        <v>107</v>
      </c>
      <c r="C239">
        <v>415</v>
      </c>
      <c r="D239" t="s">
        <v>21</v>
      </c>
      <c r="E239" t="s">
        <v>21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</row>
    <row r="240" spans="1:20" x14ac:dyDescent="0.25">
      <c r="A240" t="s">
        <v>28</v>
      </c>
      <c r="B240">
        <v>91</v>
      </c>
      <c r="C240">
        <v>415</v>
      </c>
      <c r="D240" t="s">
        <v>21</v>
      </c>
      <c r="E240" t="s">
        <v>21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</row>
    <row r="241" spans="1:20" x14ac:dyDescent="0.25">
      <c r="A241" t="s">
        <v>23</v>
      </c>
      <c r="B241">
        <v>167</v>
      </c>
      <c r="C241">
        <v>415</v>
      </c>
      <c r="D241" t="s">
        <v>21</v>
      </c>
      <c r="E241" t="s">
        <v>21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</row>
    <row r="242" spans="1:20" x14ac:dyDescent="0.25">
      <c r="A242" t="s">
        <v>52</v>
      </c>
      <c r="B242">
        <v>159</v>
      </c>
      <c r="C242">
        <v>415</v>
      </c>
      <c r="D242" t="s">
        <v>21</v>
      </c>
      <c r="E242" t="s">
        <v>27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</row>
    <row r="243" spans="1:20" x14ac:dyDescent="0.25">
      <c r="A243" t="s">
        <v>67</v>
      </c>
      <c r="B243">
        <v>122</v>
      </c>
      <c r="C243">
        <v>415</v>
      </c>
      <c r="D243" t="s">
        <v>21</v>
      </c>
      <c r="E243" t="s">
        <v>21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</row>
    <row r="244" spans="1:20" x14ac:dyDescent="0.25">
      <c r="A244" t="s">
        <v>28</v>
      </c>
      <c r="B244">
        <v>105</v>
      </c>
      <c r="C244">
        <v>415</v>
      </c>
      <c r="D244" t="s">
        <v>21</v>
      </c>
      <c r="E244" t="s">
        <v>27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</row>
    <row r="245" spans="1:20" x14ac:dyDescent="0.25">
      <c r="A245" t="s">
        <v>45</v>
      </c>
      <c r="B245">
        <v>155</v>
      </c>
      <c r="C245">
        <v>408</v>
      </c>
      <c r="D245" t="s">
        <v>21</v>
      </c>
      <c r="E245" t="s">
        <v>21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</row>
    <row r="246" spans="1:20" x14ac:dyDescent="0.25">
      <c r="A246" t="s">
        <v>40</v>
      </c>
      <c r="B246">
        <v>161</v>
      </c>
      <c r="C246">
        <v>415</v>
      </c>
      <c r="D246" t="s">
        <v>21</v>
      </c>
      <c r="E246" t="s">
        <v>21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</row>
    <row r="247" spans="1:20" x14ac:dyDescent="0.25">
      <c r="A247" t="s">
        <v>23</v>
      </c>
      <c r="B247">
        <v>122</v>
      </c>
      <c r="C247">
        <v>415</v>
      </c>
      <c r="D247" t="s">
        <v>21</v>
      </c>
      <c r="E247" t="s">
        <v>21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</row>
    <row r="248" spans="1:20" x14ac:dyDescent="0.25">
      <c r="A248" t="s">
        <v>65</v>
      </c>
      <c r="B248">
        <v>37</v>
      </c>
      <c r="C248">
        <v>415</v>
      </c>
      <c r="D248" t="s">
        <v>27</v>
      </c>
      <c r="E248" t="s">
        <v>21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</row>
    <row r="249" spans="1:20" x14ac:dyDescent="0.25">
      <c r="A249" t="s">
        <v>52</v>
      </c>
      <c r="B249">
        <v>128</v>
      </c>
      <c r="C249">
        <v>415</v>
      </c>
      <c r="D249" t="s">
        <v>21</v>
      </c>
      <c r="E249" t="s">
        <v>21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</row>
    <row r="250" spans="1:20" x14ac:dyDescent="0.25">
      <c r="A250" t="s">
        <v>58</v>
      </c>
      <c r="B250">
        <v>89</v>
      </c>
      <c r="C250">
        <v>510</v>
      </c>
      <c r="D250" t="s">
        <v>27</v>
      </c>
      <c r="E250" t="s">
        <v>21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</row>
    <row r="251" spans="1:20" x14ac:dyDescent="0.25">
      <c r="A251" t="s">
        <v>22</v>
      </c>
      <c r="B251">
        <v>108</v>
      </c>
      <c r="C251">
        <v>415</v>
      </c>
      <c r="D251" t="s">
        <v>21</v>
      </c>
      <c r="E251" t="s">
        <v>21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</row>
    <row r="252" spans="1:20" x14ac:dyDescent="0.25">
      <c r="A252" t="s">
        <v>33</v>
      </c>
      <c r="B252">
        <v>109</v>
      </c>
      <c r="C252">
        <v>408</v>
      </c>
      <c r="D252" t="s">
        <v>21</v>
      </c>
      <c r="E252" t="s">
        <v>21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</row>
    <row r="253" spans="1:20" x14ac:dyDescent="0.25">
      <c r="A253" t="s">
        <v>40</v>
      </c>
      <c r="B253">
        <v>29</v>
      </c>
      <c r="C253">
        <v>415</v>
      </c>
      <c r="D253" t="s">
        <v>21</v>
      </c>
      <c r="E253" t="s">
        <v>21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</row>
    <row r="254" spans="1:20" x14ac:dyDescent="0.25">
      <c r="A254" t="s">
        <v>46</v>
      </c>
      <c r="B254">
        <v>119</v>
      </c>
      <c r="C254">
        <v>415</v>
      </c>
      <c r="D254" t="s">
        <v>27</v>
      </c>
      <c r="E254" t="s">
        <v>27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</row>
    <row r="255" spans="1:20" x14ac:dyDescent="0.25">
      <c r="A255" t="s">
        <v>43</v>
      </c>
      <c r="B255">
        <v>86</v>
      </c>
      <c r="C255">
        <v>415</v>
      </c>
      <c r="D255" t="s">
        <v>21</v>
      </c>
      <c r="E255" t="s">
        <v>21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</row>
    <row r="256" spans="1:20" x14ac:dyDescent="0.25">
      <c r="A256" t="s">
        <v>71</v>
      </c>
      <c r="B256">
        <v>92</v>
      </c>
      <c r="C256">
        <v>510</v>
      </c>
      <c r="D256" t="s">
        <v>21</v>
      </c>
      <c r="E256" t="s">
        <v>27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</row>
    <row r="257" spans="1:20" x14ac:dyDescent="0.25">
      <c r="A257" t="s">
        <v>40</v>
      </c>
      <c r="B257">
        <v>13</v>
      </c>
      <c r="C257">
        <v>510</v>
      </c>
      <c r="D257" t="s">
        <v>21</v>
      </c>
      <c r="E257" t="s">
        <v>27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</row>
    <row r="258" spans="1:20" x14ac:dyDescent="0.25">
      <c r="A258" t="s">
        <v>56</v>
      </c>
      <c r="B258">
        <v>144</v>
      </c>
      <c r="C258">
        <v>510</v>
      </c>
      <c r="D258" t="s">
        <v>27</v>
      </c>
      <c r="E258" t="s">
        <v>27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</row>
    <row r="259" spans="1:20" x14ac:dyDescent="0.25">
      <c r="A259" t="s">
        <v>45</v>
      </c>
      <c r="B259">
        <v>139</v>
      </c>
      <c r="C259">
        <v>510</v>
      </c>
      <c r="D259" t="s">
        <v>21</v>
      </c>
      <c r="E259" t="s">
        <v>21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</row>
    <row r="260" spans="1:20" x14ac:dyDescent="0.25">
      <c r="A260" t="s">
        <v>20</v>
      </c>
      <c r="B260">
        <v>95</v>
      </c>
      <c r="C260">
        <v>415</v>
      </c>
      <c r="D260" t="s">
        <v>21</v>
      </c>
      <c r="E260" t="s">
        <v>21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</row>
    <row r="261" spans="1:20" x14ac:dyDescent="0.25">
      <c r="A261" t="s">
        <v>62</v>
      </c>
      <c r="B261">
        <v>80</v>
      </c>
      <c r="C261">
        <v>408</v>
      </c>
      <c r="D261" t="s">
        <v>21</v>
      </c>
      <c r="E261" t="s">
        <v>27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</row>
    <row r="262" spans="1:20" x14ac:dyDescent="0.25">
      <c r="A262" t="s">
        <v>34</v>
      </c>
      <c r="B262">
        <v>113</v>
      </c>
      <c r="C262">
        <v>415</v>
      </c>
      <c r="D262" t="s">
        <v>21</v>
      </c>
      <c r="E262" t="s">
        <v>21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</row>
    <row r="263" spans="1:20" x14ac:dyDescent="0.25">
      <c r="A263" t="s">
        <v>29</v>
      </c>
      <c r="B263">
        <v>88</v>
      </c>
      <c r="C263">
        <v>415</v>
      </c>
      <c r="D263" t="s">
        <v>21</v>
      </c>
      <c r="E263" t="s">
        <v>27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</row>
    <row r="264" spans="1:20" x14ac:dyDescent="0.25">
      <c r="A264" t="s">
        <v>59</v>
      </c>
      <c r="B264">
        <v>74</v>
      </c>
      <c r="C264">
        <v>415</v>
      </c>
      <c r="D264" t="s">
        <v>21</v>
      </c>
      <c r="E264" t="s">
        <v>21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</row>
    <row r="265" spans="1:20" x14ac:dyDescent="0.25">
      <c r="A265" t="s">
        <v>63</v>
      </c>
      <c r="B265">
        <v>48</v>
      </c>
      <c r="C265">
        <v>510</v>
      </c>
      <c r="D265" t="s">
        <v>21</v>
      </c>
      <c r="E265" t="s">
        <v>21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</row>
    <row r="266" spans="1:20" x14ac:dyDescent="0.25">
      <c r="A266" t="s">
        <v>38</v>
      </c>
      <c r="B266">
        <v>163</v>
      </c>
      <c r="C266">
        <v>510</v>
      </c>
      <c r="D266" t="s">
        <v>21</v>
      </c>
      <c r="E266" t="s">
        <v>21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</row>
    <row r="267" spans="1:20" x14ac:dyDescent="0.25">
      <c r="A267" t="s">
        <v>29</v>
      </c>
      <c r="B267">
        <v>56</v>
      </c>
      <c r="C267">
        <v>510</v>
      </c>
      <c r="D267" t="s">
        <v>21</v>
      </c>
      <c r="E267" t="s">
        <v>21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</row>
    <row r="268" spans="1:20" x14ac:dyDescent="0.25">
      <c r="A268" t="s">
        <v>48</v>
      </c>
      <c r="B268">
        <v>64</v>
      </c>
      <c r="C268">
        <v>415</v>
      </c>
      <c r="D268" t="s">
        <v>21</v>
      </c>
      <c r="E268" t="s">
        <v>21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</row>
    <row r="269" spans="1:20" x14ac:dyDescent="0.25">
      <c r="A269" t="s">
        <v>34</v>
      </c>
      <c r="B269">
        <v>116</v>
      </c>
      <c r="C269">
        <v>415</v>
      </c>
      <c r="D269" t="s">
        <v>21</v>
      </c>
      <c r="E269" t="s">
        <v>27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</row>
    <row r="270" spans="1:20" x14ac:dyDescent="0.25">
      <c r="A270" t="s">
        <v>67</v>
      </c>
      <c r="B270">
        <v>101</v>
      </c>
      <c r="C270">
        <v>415</v>
      </c>
      <c r="D270" t="s">
        <v>27</v>
      </c>
      <c r="E270" t="s">
        <v>21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</row>
    <row r="271" spans="1:20" x14ac:dyDescent="0.25">
      <c r="A271" t="s">
        <v>57</v>
      </c>
      <c r="B271">
        <v>85</v>
      </c>
      <c r="C271">
        <v>415</v>
      </c>
      <c r="D271" t="s">
        <v>27</v>
      </c>
      <c r="E271" t="s">
        <v>21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</row>
    <row r="272" spans="1:20" x14ac:dyDescent="0.25">
      <c r="A272" t="s">
        <v>45</v>
      </c>
      <c r="B272">
        <v>90</v>
      </c>
      <c r="C272">
        <v>415</v>
      </c>
      <c r="D272" t="s">
        <v>21</v>
      </c>
      <c r="E272" t="s">
        <v>21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</row>
    <row r="273" spans="1:20" x14ac:dyDescent="0.25">
      <c r="A273" t="s">
        <v>59</v>
      </c>
      <c r="B273">
        <v>73</v>
      </c>
      <c r="C273">
        <v>415</v>
      </c>
      <c r="D273" t="s">
        <v>21</v>
      </c>
      <c r="E273" t="s">
        <v>21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</row>
    <row r="274" spans="1:20" x14ac:dyDescent="0.25">
      <c r="A274" t="s">
        <v>45</v>
      </c>
      <c r="B274">
        <v>55</v>
      </c>
      <c r="C274">
        <v>408</v>
      </c>
      <c r="D274" t="s">
        <v>21</v>
      </c>
      <c r="E274" t="s">
        <v>27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</row>
    <row r="275" spans="1:20" x14ac:dyDescent="0.25">
      <c r="A275" t="s">
        <v>26</v>
      </c>
      <c r="B275">
        <v>76</v>
      </c>
      <c r="C275">
        <v>415</v>
      </c>
      <c r="D275" t="s">
        <v>21</v>
      </c>
      <c r="E275" t="s">
        <v>27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</row>
    <row r="276" spans="1:20" x14ac:dyDescent="0.25">
      <c r="A276" t="s">
        <v>38</v>
      </c>
      <c r="B276">
        <v>157</v>
      </c>
      <c r="C276">
        <v>415</v>
      </c>
      <c r="D276" t="s">
        <v>21</v>
      </c>
      <c r="E276" t="s">
        <v>21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</row>
    <row r="277" spans="1:20" x14ac:dyDescent="0.25">
      <c r="A277" t="s">
        <v>64</v>
      </c>
      <c r="B277">
        <v>131</v>
      </c>
      <c r="C277">
        <v>415</v>
      </c>
      <c r="D277" t="s">
        <v>21</v>
      </c>
      <c r="E277" t="s">
        <v>21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</row>
    <row r="278" spans="1:20" x14ac:dyDescent="0.25">
      <c r="A278" t="s">
        <v>28</v>
      </c>
      <c r="B278">
        <v>51</v>
      </c>
      <c r="C278">
        <v>415</v>
      </c>
      <c r="D278" t="s">
        <v>21</v>
      </c>
      <c r="E278" t="s">
        <v>21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</row>
    <row r="279" spans="1:20" x14ac:dyDescent="0.25">
      <c r="A279" t="s">
        <v>29</v>
      </c>
      <c r="B279">
        <v>166</v>
      </c>
      <c r="C279">
        <v>415</v>
      </c>
      <c r="D279" t="s">
        <v>21</v>
      </c>
      <c r="E279" t="s">
        <v>21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</row>
    <row r="280" spans="1:20" x14ac:dyDescent="0.25">
      <c r="A280" t="s">
        <v>47</v>
      </c>
      <c r="B280">
        <v>66</v>
      </c>
      <c r="C280">
        <v>408</v>
      </c>
      <c r="D280" t="s">
        <v>21</v>
      </c>
      <c r="E280" t="s">
        <v>21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</row>
    <row r="281" spans="1:20" x14ac:dyDescent="0.25">
      <c r="A281" t="s">
        <v>59</v>
      </c>
      <c r="B281">
        <v>49</v>
      </c>
      <c r="C281">
        <v>415</v>
      </c>
      <c r="D281" t="s">
        <v>21</v>
      </c>
      <c r="E281" t="s">
        <v>21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</row>
    <row r="282" spans="1:20" x14ac:dyDescent="0.25">
      <c r="A282" t="s">
        <v>20</v>
      </c>
      <c r="B282">
        <v>89</v>
      </c>
      <c r="C282">
        <v>415</v>
      </c>
      <c r="D282" t="s">
        <v>21</v>
      </c>
      <c r="E282" t="s">
        <v>21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</row>
    <row r="283" spans="1:20" x14ac:dyDescent="0.25">
      <c r="A283" t="s">
        <v>31</v>
      </c>
      <c r="B283">
        <v>90</v>
      </c>
      <c r="C283">
        <v>415</v>
      </c>
      <c r="D283" t="s">
        <v>21</v>
      </c>
      <c r="E283" t="s">
        <v>21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</row>
    <row r="284" spans="1:20" x14ac:dyDescent="0.25">
      <c r="A284" t="s">
        <v>29</v>
      </c>
      <c r="B284">
        <v>193</v>
      </c>
      <c r="C284">
        <v>415</v>
      </c>
      <c r="D284" t="s">
        <v>21</v>
      </c>
      <c r="E284" t="s">
        <v>21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</row>
    <row r="285" spans="1:20" x14ac:dyDescent="0.25">
      <c r="A285" t="s">
        <v>70</v>
      </c>
      <c r="B285">
        <v>114</v>
      </c>
      <c r="C285">
        <v>510</v>
      </c>
      <c r="D285" t="s">
        <v>21</v>
      </c>
      <c r="E285" t="s">
        <v>21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</row>
    <row r="286" spans="1:20" x14ac:dyDescent="0.25">
      <c r="A286" t="s">
        <v>60</v>
      </c>
      <c r="B286">
        <v>7</v>
      </c>
      <c r="C286">
        <v>408</v>
      </c>
      <c r="D286" t="s">
        <v>21</v>
      </c>
      <c r="E286" t="s">
        <v>27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</row>
    <row r="287" spans="1:20" x14ac:dyDescent="0.25">
      <c r="A287" t="s">
        <v>50</v>
      </c>
      <c r="B287">
        <v>71</v>
      </c>
      <c r="C287">
        <v>415</v>
      </c>
      <c r="D287" t="s">
        <v>21</v>
      </c>
      <c r="E287" t="s">
        <v>21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</row>
    <row r="288" spans="1:20" x14ac:dyDescent="0.25">
      <c r="A288" t="s">
        <v>63</v>
      </c>
      <c r="B288">
        <v>31</v>
      </c>
      <c r="C288">
        <v>415</v>
      </c>
      <c r="D288" t="s">
        <v>21</v>
      </c>
      <c r="E288" t="s">
        <v>27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</row>
    <row r="289" spans="1:20" x14ac:dyDescent="0.25">
      <c r="A289" t="s">
        <v>35</v>
      </c>
      <c r="B289">
        <v>111</v>
      </c>
      <c r="C289">
        <v>415</v>
      </c>
      <c r="D289" t="s">
        <v>21</v>
      </c>
      <c r="E289" t="s">
        <v>21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</row>
    <row r="290" spans="1:20" x14ac:dyDescent="0.25">
      <c r="A290" t="s">
        <v>38</v>
      </c>
      <c r="B290">
        <v>97</v>
      </c>
      <c r="C290">
        <v>408</v>
      </c>
      <c r="D290" t="s">
        <v>21</v>
      </c>
      <c r="E290" t="s">
        <v>21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</row>
    <row r="291" spans="1:20" x14ac:dyDescent="0.25">
      <c r="A291" t="s">
        <v>68</v>
      </c>
      <c r="B291">
        <v>51</v>
      </c>
      <c r="C291">
        <v>510</v>
      </c>
      <c r="D291" t="s">
        <v>21</v>
      </c>
      <c r="E291" t="s">
        <v>21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</row>
    <row r="292" spans="1:20" x14ac:dyDescent="0.25">
      <c r="A292" t="s">
        <v>54</v>
      </c>
      <c r="B292">
        <v>86</v>
      </c>
      <c r="C292">
        <v>415</v>
      </c>
      <c r="D292" t="s">
        <v>21</v>
      </c>
      <c r="E292" t="s">
        <v>21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</row>
    <row r="293" spans="1:20" x14ac:dyDescent="0.25">
      <c r="A293" t="s">
        <v>68</v>
      </c>
      <c r="B293">
        <v>190</v>
      </c>
      <c r="C293">
        <v>415</v>
      </c>
      <c r="D293" t="s">
        <v>21</v>
      </c>
      <c r="E293" t="s">
        <v>21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</row>
    <row r="294" spans="1:20" x14ac:dyDescent="0.25">
      <c r="A294" t="s">
        <v>56</v>
      </c>
      <c r="B294">
        <v>80</v>
      </c>
      <c r="C294">
        <v>408</v>
      </c>
      <c r="D294" t="s">
        <v>21</v>
      </c>
      <c r="E294" t="s">
        <v>21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</row>
    <row r="295" spans="1:20" x14ac:dyDescent="0.25">
      <c r="A295" t="s">
        <v>43</v>
      </c>
      <c r="B295">
        <v>36</v>
      </c>
      <c r="C295">
        <v>415</v>
      </c>
      <c r="D295" t="s">
        <v>21</v>
      </c>
      <c r="E295" t="s">
        <v>21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</row>
    <row r="296" spans="1:20" x14ac:dyDescent="0.25">
      <c r="A296" t="s">
        <v>64</v>
      </c>
      <c r="B296">
        <v>45</v>
      </c>
      <c r="C296">
        <v>510</v>
      </c>
      <c r="D296" t="s">
        <v>21</v>
      </c>
      <c r="E296" t="s">
        <v>21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</row>
    <row r="297" spans="1:20" x14ac:dyDescent="0.25">
      <c r="A297" t="s">
        <v>53</v>
      </c>
      <c r="B297">
        <v>170</v>
      </c>
      <c r="C297">
        <v>415</v>
      </c>
      <c r="D297" t="s">
        <v>21</v>
      </c>
      <c r="E297" t="s">
        <v>21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</row>
    <row r="298" spans="1:20" x14ac:dyDescent="0.25">
      <c r="A298" t="s">
        <v>59</v>
      </c>
      <c r="B298">
        <v>103</v>
      </c>
      <c r="C298">
        <v>415</v>
      </c>
      <c r="D298" t="s">
        <v>21</v>
      </c>
      <c r="E298" t="s">
        <v>21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</row>
    <row r="299" spans="1:20" x14ac:dyDescent="0.25">
      <c r="A299" t="s">
        <v>31</v>
      </c>
      <c r="B299">
        <v>112</v>
      </c>
      <c r="C299">
        <v>408</v>
      </c>
      <c r="D299" t="s">
        <v>21</v>
      </c>
      <c r="E299" t="s">
        <v>21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</row>
    <row r="300" spans="1:20" x14ac:dyDescent="0.25">
      <c r="A300" t="s">
        <v>34</v>
      </c>
      <c r="B300">
        <v>125</v>
      </c>
      <c r="C300">
        <v>510</v>
      </c>
      <c r="D300" t="s">
        <v>21</v>
      </c>
      <c r="E300" t="s">
        <v>21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</row>
    <row r="301" spans="1:20" x14ac:dyDescent="0.25">
      <c r="A301" t="s">
        <v>49</v>
      </c>
      <c r="B301">
        <v>73</v>
      </c>
      <c r="C301">
        <v>415</v>
      </c>
      <c r="D301" t="s">
        <v>21</v>
      </c>
      <c r="E301" t="s">
        <v>27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</row>
    <row r="302" spans="1:20" x14ac:dyDescent="0.25">
      <c r="A302" t="s">
        <v>46</v>
      </c>
      <c r="B302">
        <v>232</v>
      </c>
      <c r="C302">
        <v>408</v>
      </c>
      <c r="D302" t="s">
        <v>21</v>
      </c>
      <c r="E302" t="s">
        <v>21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</row>
    <row r="303" spans="1:20" x14ac:dyDescent="0.25">
      <c r="A303" t="s">
        <v>54</v>
      </c>
      <c r="B303">
        <v>95</v>
      </c>
      <c r="C303">
        <v>408</v>
      </c>
      <c r="D303" t="s">
        <v>21</v>
      </c>
      <c r="E303" t="s">
        <v>27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</row>
    <row r="304" spans="1:20" x14ac:dyDescent="0.25">
      <c r="A304" t="s">
        <v>30</v>
      </c>
      <c r="B304">
        <v>182</v>
      </c>
      <c r="C304">
        <v>415</v>
      </c>
      <c r="D304" t="s">
        <v>21</v>
      </c>
      <c r="E304" t="s">
        <v>21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</row>
    <row r="305" spans="1:20" x14ac:dyDescent="0.25">
      <c r="A305" t="s">
        <v>46</v>
      </c>
      <c r="B305">
        <v>55</v>
      </c>
      <c r="C305">
        <v>510</v>
      </c>
      <c r="D305" t="s">
        <v>21</v>
      </c>
      <c r="E305" t="s">
        <v>21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</row>
    <row r="306" spans="1:20" x14ac:dyDescent="0.25">
      <c r="A306" t="s">
        <v>30</v>
      </c>
      <c r="B306">
        <v>86</v>
      </c>
      <c r="C306">
        <v>415</v>
      </c>
      <c r="D306" t="s">
        <v>21</v>
      </c>
      <c r="E306" t="s">
        <v>27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</row>
    <row r="307" spans="1:20" x14ac:dyDescent="0.25">
      <c r="A307" t="s">
        <v>64</v>
      </c>
      <c r="B307">
        <v>127</v>
      </c>
      <c r="C307">
        <v>510</v>
      </c>
      <c r="D307" t="s">
        <v>21</v>
      </c>
      <c r="E307" t="s">
        <v>21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</row>
    <row r="308" spans="1:20" x14ac:dyDescent="0.25">
      <c r="A308" t="s">
        <v>70</v>
      </c>
      <c r="B308">
        <v>63</v>
      </c>
      <c r="C308">
        <v>415</v>
      </c>
      <c r="D308" t="s">
        <v>21</v>
      </c>
      <c r="E308" t="s">
        <v>21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</row>
    <row r="309" spans="1:20" x14ac:dyDescent="0.25">
      <c r="A309" t="s">
        <v>28</v>
      </c>
      <c r="B309">
        <v>79</v>
      </c>
      <c r="C309">
        <v>510</v>
      </c>
      <c r="D309" t="s">
        <v>21</v>
      </c>
      <c r="E309" t="s">
        <v>21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</row>
    <row r="310" spans="1:20" x14ac:dyDescent="0.25">
      <c r="A310" t="s">
        <v>20</v>
      </c>
      <c r="B310">
        <v>111</v>
      </c>
      <c r="C310">
        <v>415</v>
      </c>
      <c r="D310" t="s">
        <v>21</v>
      </c>
      <c r="E310" t="s">
        <v>27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</row>
    <row r="311" spans="1:20" x14ac:dyDescent="0.25">
      <c r="A311" t="s">
        <v>45</v>
      </c>
      <c r="B311">
        <v>121</v>
      </c>
      <c r="C311">
        <v>510</v>
      </c>
      <c r="D311" t="s">
        <v>21</v>
      </c>
      <c r="E311" t="s">
        <v>27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</row>
    <row r="312" spans="1:20" x14ac:dyDescent="0.25">
      <c r="A312" t="s">
        <v>57</v>
      </c>
      <c r="B312">
        <v>112</v>
      </c>
      <c r="C312">
        <v>415</v>
      </c>
      <c r="D312" t="s">
        <v>21</v>
      </c>
      <c r="E312" t="s">
        <v>21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</row>
    <row r="313" spans="1:20" x14ac:dyDescent="0.25">
      <c r="A313" t="s">
        <v>20</v>
      </c>
      <c r="B313">
        <v>81</v>
      </c>
      <c r="C313">
        <v>415</v>
      </c>
      <c r="D313" t="s">
        <v>21</v>
      </c>
      <c r="E313" t="s">
        <v>27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</row>
    <row r="314" spans="1:20" x14ac:dyDescent="0.25">
      <c r="A314" t="s">
        <v>38</v>
      </c>
      <c r="B314">
        <v>72</v>
      </c>
      <c r="C314">
        <v>510</v>
      </c>
      <c r="D314" t="s">
        <v>21</v>
      </c>
      <c r="E314" t="s">
        <v>21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</row>
    <row r="315" spans="1:20" x14ac:dyDescent="0.25">
      <c r="A315" t="s">
        <v>24</v>
      </c>
      <c r="B315">
        <v>64</v>
      </c>
      <c r="C315">
        <v>510</v>
      </c>
      <c r="D315" t="s">
        <v>21</v>
      </c>
      <c r="E315" t="s">
        <v>27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</row>
    <row r="316" spans="1:20" x14ac:dyDescent="0.25">
      <c r="A316" t="s">
        <v>65</v>
      </c>
      <c r="B316">
        <v>163</v>
      </c>
      <c r="C316">
        <v>408</v>
      </c>
      <c r="D316" t="s">
        <v>21</v>
      </c>
      <c r="E316" t="s">
        <v>21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</row>
    <row r="317" spans="1:20" x14ac:dyDescent="0.25">
      <c r="A317" t="s">
        <v>40</v>
      </c>
      <c r="B317">
        <v>104</v>
      </c>
      <c r="C317">
        <v>415</v>
      </c>
      <c r="D317" t="s">
        <v>21</v>
      </c>
      <c r="E317" t="s">
        <v>21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</row>
    <row r="318" spans="1:20" x14ac:dyDescent="0.25">
      <c r="A318" t="s">
        <v>39</v>
      </c>
      <c r="B318">
        <v>93</v>
      </c>
      <c r="C318">
        <v>510</v>
      </c>
      <c r="D318" t="s">
        <v>21</v>
      </c>
      <c r="E318" t="s">
        <v>27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</row>
    <row r="319" spans="1:20" x14ac:dyDescent="0.25">
      <c r="A319" t="s">
        <v>64</v>
      </c>
      <c r="B319">
        <v>197</v>
      </c>
      <c r="C319">
        <v>510</v>
      </c>
      <c r="D319" t="s">
        <v>21</v>
      </c>
      <c r="E319" t="s">
        <v>21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</row>
    <row r="320" spans="1:20" x14ac:dyDescent="0.25">
      <c r="A320" t="s">
        <v>69</v>
      </c>
      <c r="B320">
        <v>57</v>
      </c>
      <c r="C320">
        <v>510</v>
      </c>
      <c r="D320" t="s">
        <v>21</v>
      </c>
      <c r="E320" t="s">
        <v>21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</row>
    <row r="321" spans="1:20" x14ac:dyDescent="0.25">
      <c r="A321" t="s">
        <v>56</v>
      </c>
      <c r="B321">
        <v>107</v>
      </c>
      <c r="C321">
        <v>408</v>
      </c>
      <c r="D321" t="s">
        <v>21</v>
      </c>
      <c r="E321" t="s">
        <v>21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</row>
    <row r="322" spans="1:20" x14ac:dyDescent="0.25">
      <c r="A322" t="s">
        <v>54</v>
      </c>
      <c r="B322">
        <v>75</v>
      </c>
      <c r="C322">
        <v>408</v>
      </c>
      <c r="D322" t="s">
        <v>21</v>
      </c>
      <c r="E322" t="s">
        <v>21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</row>
    <row r="323" spans="1:20" x14ac:dyDescent="0.25">
      <c r="A323" t="s">
        <v>51</v>
      </c>
      <c r="B323">
        <v>106</v>
      </c>
      <c r="C323">
        <v>408</v>
      </c>
      <c r="D323" t="s">
        <v>21</v>
      </c>
      <c r="E323" t="s">
        <v>21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</row>
    <row r="324" spans="1:20" x14ac:dyDescent="0.25">
      <c r="A324" t="s">
        <v>49</v>
      </c>
      <c r="B324">
        <v>70</v>
      </c>
      <c r="C324">
        <v>408</v>
      </c>
      <c r="D324" t="s">
        <v>21</v>
      </c>
      <c r="E324" t="s">
        <v>21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</row>
    <row r="325" spans="1:20" x14ac:dyDescent="0.25">
      <c r="A325" t="s">
        <v>35</v>
      </c>
      <c r="B325">
        <v>80</v>
      </c>
      <c r="C325">
        <v>408</v>
      </c>
      <c r="D325" t="s">
        <v>21</v>
      </c>
      <c r="E325" t="s">
        <v>21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</row>
    <row r="326" spans="1:20" x14ac:dyDescent="0.25">
      <c r="A326" t="s">
        <v>33</v>
      </c>
      <c r="B326">
        <v>137</v>
      </c>
      <c r="C326">
        <v>510</v>
      </c>
      <c r="D326" t="s">
        <v>21</v>
      </c>
      <c r="E326" t="s">
        <v>21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</row>
    <row r="327" spans="1:20" x14ac:dyDescent="0.25">
      <c r="A327" t="s">
        <v>63</v>
      </c>
      <c r="B327">
        <v>90</v>
      </c>
      <c r="C327">
        <v>415</v>
      </c>
      <c r="D327" t="s">
        <v>21</v>
      </c>
      <c r="E327" t="s">
        <v>27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</row>
    <row r="328" spans="1:20" x14ac:dyDescent="0.25">
      <c r="A328" t="s">
        <v>56</v>
      </c>
      <c r="B328">
        <v>30</v>
      </c>
      <c r="C328">
        <v>408</v>
      </c>
      <c r="D328" t="s">
        <v>21</v>
      </c>
      <c r="E328" t="s">
        <v>21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</row>
    <row r="329" spans="1:20" x14ac:dyDescent="0.25">
      <c r="A329" t="s">
        <v>52</v>
      </c>
      <c r="B329">
        <v>105</v>
      </c>
      <c r="C329">
        <v>415</v>
      </c>
      <c r="D329" t="s">
        <v>27</v>
      </c>
      <c r="E329" t="s">
        <v>21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</row>
    <row r="330" spans="1:20" x14ac:dyDescent="0.25">
      <c r="A330" t="s">
        <v>35</v>
      </c>
      <c r="B330">
        <v>102</v>
      </c>
      <c r="C330">
        <v>415</v>
      </c>
      <c r="D330" t="s">
        <v>21</v>
      </c>
      <c r="E330" t="s">
        <v>27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</row>
    <row r="331" spans="1:20" x14ac:dyDescent="0.25">
      <c r="A331" t="s">
        <v>64</v>
      </c>
      <c r="B331">
        <v>83</v>
      </c>
      <c r="C331">
        <v>415</v>
      </c>
      <c r="D331" t="s">
        <v>21</v>
      </c>
      <c r="E331" t="s">
        <v>21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</row>
    <row r="332" spans="1:20" x14ac:dyDescent="0.25">
      <c r="A332" t="s">
        <v>69</v>
      </c>
      <c r="B332">
        <v>63</v>
      </c>
      <c r="C332">
        <v>510</v>
      </c>
      <c r="D332" t="s">
        <v>21</v>
      </c>
      <c r="E332" t="s">
        <v>27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</row>
    <row r="333" spans="1:20" x14ac:dyDescent="0.25">
      <c r="A333" t="s">
        <v>49</v>
      </c>
      <c r="B333">
        <v>155</v>
      </c>
      <c r="C333">
        <v>408</v>
      </c>
      <c r="D333" t="s">
        <v>21</v>
      </c>
      <c r="E333" t="s">
        <v>21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</row>
    <row r="334" spans="1:20" x14ac:dyDescent="0.25">
      <c r="A334" t="s">
        <v>62</v>
      </c>
      <c r="B334">
        <v>105</v>
      </c>
      <c r="C334">
        <v>408</v>
      </c>
      <c r="D334" t="s">
        <v>21</v>
      </c>
      <c r="E334" t="s">
        <v>21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</row>
    <row r="335" spans="1:20" x14ac:dyDescent="0.25">
      <c r="A335" t="s">
        <v>71</v>
      </c>
      <c r="B335">
        <v>73</v>
      </c>
      <c r="C335">
        <v>415</v>
      </c>
      <c r="D335" t="s">
        <v>21</v>
      </c>
      <c r="E335" t="s">
        <v>21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</row>
    <row r="336" spans="1:20" x14ac:dyDescent="0.25">
      <c r="A336" t="s">
        <v>46</v>
      </c>
      <c r="B336">
        <v>21</v>
      </c>
      <c r="C336">
        <v>415</v>
      </c>
      <c r="D336" t="s">
        <v>21</v>
      </c>
      <c r="E336" t="s">
        <v>27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</row>
    <row r="337" spans="1:20" x14ac:dyDescent="0.25">
      <c r="A337" t="s">
        <v>48</v>
      </c>
      <c r="B337">
        <v>71</v>
      </c>
      <c r="C337">
        <v>415</v>
      </c>
      <c r="D337" t="s">
        <v>21</v>
      </c>
      <c r="E337" t="s">
        <v>27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</row>
    <row r="338" spans="1:20" x14ac:dyDescent="0.25">
      <c r="A338" t="s">
        <v>36</v>
      </c>
      <c r="B338">
        <v>112</v>
      </c>
      <c r="C338">
        <v>415</v>
      </c>
      <c r="D338" t="s">
        <v>21</v>
      </c>
      <c r="E338" t="s">
        <v>21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</row>
    <row r="339" spans="1:20" x14ac:dyDescent="0.25">
      <c r="A339" t="s">
        <v>38</v>
      </c>
      <c r="B339">
        <v>66</v>
      </c>
      <c r="C339">
        <v>510</v>
      </c>
      <c r="D339" t="s">
        <v>21</v>
      </c>
      <c r="E339" t="s">
        <v>21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</row>
    <row r="340" spans="1:20" x14ac:dyDescent="0.25">
      <c r="A340" t="s">
        <v>70</v>
      </c>
      <c r="B340">
        <v>99</v>
      </c>
      <c r="C340">
        <v>408</v>
      </c>
      <c r="D340" t="s">
        <v>21</v>
      </c>
      <c r="E340" t="s">
        <v>21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</row>
    <row r="341" spans="1:20" x14ac:dyDescent="0.25">
      <c r="A341" t="s">
        <v>66</v>
      </c>
      <c r="B341">
        <v>124</v>
      </c>
      <c r="C341">
        <v>510</v>
      </c>
      <c r="D341" t="s">
        <v>21</v>
      </c>
      <c r="E341" t="s">
        <v>21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</row>
    <row r="342" spans="1:20" x14ac:dyDescent="0.25">
      <c r="A342" t="s">
        <v>56</v>
      </c>
      <c r="B342">
        <v>95</v>
      </c>
      <c r="C342">
        <v>415</v>
      </c>
      <c r="D342" t="s">
        <v>21</v>
      </c>
      <c r="E342" t="s">
        <v>27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</row>
    <row r="343" spans="1:20" x14ac:dyDescent="0.25">
      <c r="A343" t="s">
        <v>45</v>
      </c>
      <c r="B343">
        <v>130</v>
      </c>
      <c r="C343">
        <v>408</v>
      </c>
      <c r="D343" t="s">
        <v>21</v>
      </c>
      <c r="E343" t="s">
        <v>21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</row>
    <row r="344" spans="1:20" x14ac:dyDescent="0.25">
      <c r="A344" t="s">
        <v>65</v>
      </c>
      <c r="B344">
        <v>93</v>
      </c>
      <c r="C344">
        <v>510</v>
      </c>
      <c r="D344" t="s">
        <v>27</v>
      </c>
      <c r="E344" t="s">
        <v>21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</row>
    <row r="345" spans="1:20" x14ac:dyDescent="0.25">
      <c r="A345" t="s">
        <v>66</v>
      </c>
      <c r="B345">
        <v>191</v>
      </c>
      <c r="C345">
        <v>408</v>
      </c>
      <c r="D345" t="s">
        <v>21</v>
      </c>
      <c r="E345" t="s">
        <v>21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</row>
    <row r="346" spans="1:20" x14ac:dyDescent="0.25">
      <c r="A346" t="s">
        <v>36</v>
      </c>
      <c r="B346">
        <v>88</v>
      </c>
      <c r="C346">
        <v>415</v>
      </c>
      <c r="D346" t="s">
        <v>21</v>
      </c>
      <c r="E346" t="s">
        <v>21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</row>
    <row r="347" spans="1:20" x14ac:dyDescent="0.25">
      <c r="A347" t="s">
        <v>50</v>
      </c>
      <c r="B347">
        <v>16</v>
      </c>
      <c r="C347">
        <v>415</v>
      </c>
      <c r="D347" t="s">
        <v>21</v>
      </c>
      <c r="E347" t="s">
        <v>21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</row>
    <row r="348" spans="1:20" x14ac:dyDescent="0.25">
      <c r="A348" t="s">
        <v>72</v>
      </c>
      <c r="B348">
        <v>107</v>
      </c>
      <c r="C348">
        <v>510</v>
      </c>
      <c r="D348" t="s">
        <v>21</v>
      </c>
      <c r="E348" t="s">
        <v>21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</row>
    <row r="349" spans="1:20" x14ac:dyDescent="0.25">
      <c r="A349" t="s">
        <v>26</v>
      </c>
      <c r="B349">
        <v>96</v>
      </c>
      <c r="C349">
        <v>408</v>
      </c>
      <c r="D349" t="s">
        <v>21</v>
      </c>
      <c r="E349" t="s">
        <v>27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</row>
    <row r="350" spans="1:20" x14ac:dyDescent="0.25">
      <c r="A350" t="s">
        <v>56</v>
      </c>
      <c r="B350">
        <v>163</v>
      </c>
      <c r="C350">
        <v>408</v>
      </c>
      <c r="D350" t="s">
        <v>21</v>
      </c>
      <c r="E350" t="s">
        <v>27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</row>
    <row r="351" spans="1:20" x14ac:dyDescent="0.25">
      <c r="A351" t="s">
        <v>47</v>
      </c>
      <c r="B351">
        <v>95</v>
      </c>
      <c r="C351">
        <v>415</v>
      </c>
      <c r="D351" t="s">
        <v>21</v>
      </c>
      <c r="E351" t="s">
        <v>21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</row>
    <row r="352" spans="1:20" x14ac:dyDescent="0.25">
      <c r="A352" t="s">
        <v>55</v>
      </c>
      <c r="B352">
        <v>123</v>
      </c>
      <c r="C352">
        <v>415</v>
      </c>
      <c r="D352" t="s">
        <v>21</v>
      </c>
      <c r="E352" t="s">
        <v>27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</row>
    <row r="353" spans="1:20" x14ac:dyDescent="0.25">
      <c r="A353" t="s">
        <v>35</v>
      </c>
      <c r="B353">
        <v>34</v>
      </c>
      <c r="C353">
        <v>415</v>
      </c>
      <c r="D353" t="s">
        <v>21</v>
      </c>
      <c r="E353" t="s">
        <v>21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</row>
    <row r="354" spans="1:20" x14ac:dyDescent="0.25">
      <c r="A354" t="s">
        <v>58</v>
      </c>
      <c r="B354">
        <v>96</v>
      </c>
      <c r="C354">
        <v>415</v>
      </c>
      <c r="D354" t="s">
        <v>21</v>
      </c>
      <c r="E354" t="s">
        <v>27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</row>
    <row r="355" spans="1:20" x14ac:dyDescent="0.25">
      <c r="A355" t="s">
        <v>42</v>
      </c>
      <c r="B355">
        <v>146</v>
      </c>
      <c r="C355">
        <v>415</v>
      </c>
      <c r="D355" t="s">
        <v>21</v>
      </c>
      <c r="E355" t="s">
        <v>21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</row>
    <row r="356" spans="1:20" x14ac:dyDescent="0.25">
      <c r="A356" t="s">
        <v>29</v>
      </c>
      <c r="B356">
        <v>138</v>
      </c>
      <c r="C356">
        <v>415</v>
      </c>
      <c r="D356" t="s">
        <v>27</v>
      </c>
      <c r="E356" t="s">
        <v>27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</row>
    <row r="357" spans="1:20" x14ac:dyDescent="0.25">
      <c r="A357" t="s">
        <v>43</v>
      </c>
      <c r="B357">
        <v>76</v>
      </c>
      <c r="C357">
        <v>510</v>
      </c>
      <c r="D357" t="s">
        <v>21</v>
      </c>
      <c r="E357" t="s">
        <v>21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</row>
    <row r="358" spans="1:20" x14ac:dyDescent="0.25">
      <c r="A358" t="s">
        <v>53</v>
      </c>
      <c r="B358">
        <v>83</v>
      </c>
      <c r="C358">
        <v>510</v>
      </c>
      <c r="D358" t="s">
        <v>21</v>
      </c>
      <c r="E358" t="s">
        <v>27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</row>
    <row r="359" spans="1:20" x14ac:dyDescent="0.25">
      <c r="A359" t="s">
        <v>25</v>
      </c>
      <c r="B359">
        <v>104</v>
      </c>
      <c r="C359">
        <v>408</v>
      </c>
      <c r="D359" t="s">
        <v>21</v>
      </c>
      <c r="E359" t="s">
        <v>21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</row>
    <row r="360" spans="1:20" x14ac:dyDescent="0.25">
      <c r="A360" t="s">
        <v>64</v>
      </c>
      <c r="B360">
        <v>106</v>
      </c>
      <c r="C360">
        <v>415</v>
      </c>
      <c r="D360" t="s">
        <v>21</v>
      </c>
      <c r="E360" t="s">
        <v>21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</row>
    <row r="361" spans="1:20" x14ac:dyDescent="0.25">
      <c r="A361" t="s">
        <v>49</v>
      </c>
      <c r="B361">
        <v>84</v>
      </c>
      <c r="C361">
        <v>510</v>
      </c>
      <c r="D361" t="s">
        <v>21</v>
      </c>
      <c r="E361" t="s">
        <v>21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</row>
    <row r="362" spans="1:20" x14ac:dyDescent="0.25">
      <c r="A362" t="s">
        <v>32</v>
      </c>
      <c r="B362">
        <v>99</v>
      </c>
      <c r="C362">
        <v>408</v>
      </c>
      <c r="D362" t="s">
        <v>21</v>
      </c>
      <c r="E362" t="s">
        <v>21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</row>
    <row r="363" spans="1:20" x14ac:dyDescent="0.25">
      <c r="A363" t="s">
        <v>57</v>
      </c>
      <c r="B363">
        <v>134</v>
      </c>
      <c r="C363">
        <v>415</v>
      </c>
      <c r="D363" t="s">
        <v>21</v>
      </c>
      <c r="E363" t="s">
        <v>21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</row>
    <row r="364" spans="1:20" x14ac:dyDescent="0.25">
      <c r="A364" t="s">
        <v>64</v>
      </c>
      <c r="B364">
        <v>80</v>
      </c>
      <c r="C364">
        <v>415</v>
      </c>
      <c r="D364" t="s">
        <v>21</v>
      </c>
      <c r="E364" t="s">
        <v>21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</row>
    <row r="365" spans="1:20" x14ac:dyDescent="0.25">
      <c r="A365" t="s">
        <v>32</v>
      </c>
      <c r="B365">
        <v>85</v>
      </c>
      <c r="C365">
        <v>415</v>
      </c>
      <c r="D365" t="s">
        <v>21</v>
      </c>
      <c r="E365" t="s">
        <v>21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</row>
    <row r="366" spans="1:20" x14ac:dyDescent="0.25">
      <c r="A366" t="s">
        <v>31</v>
      </c>
      <c r="B366">
        <v>120</v>
      </c>
      <c r="C366">
        <v>408</v>
      </c>
      <c r="D366" t="s">
        <v>21</v>
      </c>
      <c r="E366" t="s">
        <v>27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</row>
    <row r="367" spans="1:20" x14ac:dyDescent="0.25">
      <c r="A367" t="s">
        <v>52</v>
      </c>
      <c r="B367">
        <v>120</v>
      </c>
      <c r="C367">
        <v>510</v>
      </c>
      <c r="D367" t="s">
        <v>21</v>
      </c>
      <c r="E367" t="s">
        <v>21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</row>
    <row r="368" spans="1:20" x14ac:dyDescent="0.25">
      <c r="A368" t="s">
        <v>64</v>
      </c>
      <c r="B368">
        <v>125</v>
      </c>
      <c r="C368">
        <v>415</v>
      </c>
      <c r="D368" t="s">
        <v>21</v>
      </c>
      <c r="E368" t="s">
        <v>21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</row>
    <row r="369" spans="1:20" x14ac:dyDescent="0.25">
      <c r="A369" t="s">
        <v>68</v>
      </c>
      <c r="B369">
        <v>118</v>
      </c>
      <c r="C369">
        <v>415</v>
      </c>
      <c r="D369" t="s">
        <v>21</v>
      </c>
      <c r="E369" t="s">
        <v>27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</row>
    <row r="370" spans="1:20" x14ac:dyDescent="0.25">
      <c r="A370" t="s">
        <v>50</v>
      </c>
      <c r="B370">
        <v>62</v>
      </c>
      <c r="C370">
        <v>415</v>
      </c>
      <c r="D370" t="s">
        <v>21</v>
      </c>
      <c r="E370" t="s">
        <v>21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</row>
    <row r="371" spans="1:20" x14ac:dyDescent="0.25">
      <c r="A371" t="s">
        <v>20</v>
      </c>
      <c r="B371">
        <v>112</v>
      </c>
      <c r="C371">
        <v>510</v>
      </c>
      <c r="D371" t="s">
        <v>21</v>
      </c>
      <c r="E371" t="s">
        <v>21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</row>
    <row r="372" spans="1:20" x14ac:dyDescent="0.25">
      <c r="A372" t="s">
        <v>44</v>
      </c>
      <c r="B372">
        <v>68</v>
      </c>
      <c r="C372">
        <v>510</v>
      </c>
      <c r="D372" t="s">
        <v>21</v>
      </c>
      <c r="E372" t="s">
        <v>21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</row>
    <row r="373" spans="1:20" x14ac:dyDescent="0.25">
      <c r="A373" t="s">
        <v>48</v>
      </c>
      <c r="B373">
        <v>201</v>
      </c>
      <c r="C373">
        <v>415</v>
      </c>
      <c r="D373" t="s">
        <v>21</v>
      </c>
      <c r="E373" t="s">
        <v>27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</row>
    <row r="374" spans="1:20" x14ac:dyDescent="0.25">
      <c r="A374" t="s">
        <v>69</v>
      </c>
      <c r="B374">
        <v>116</v>
      </c>
      <c r="C374">
        <v>510</v>
      </c>
      <c r="D374" t="s">
        <v>21</v>
      </c>
      <c r="E374" t="s">
        <v>21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</row>
    <row r="375" spans="1:20" x14ac:dyDescent="0.25">
      <c r="A375" t="s">
        <v>72</v>
      </c>
      <c r="B375">
        <v>133</v>
      </c>
      <c r="C375">
        <v>510</v>
      </c>
      <c r="D375" t="s">
        <v>21</v>
      </c>
      <c r="E375" t="s">
        <v>21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</row>
    <row r="376" spans="1:20" x14ac:dyDescent="0.25">
      <c r="A376" t="s">
        <v>36</v>
      </c>
      <c r="B376">
        <v>125</v>
      </c>
      <c r="C376">
        <v>408</v>
      </c>
      <c r="D376" t="s">
        <v>21</v>
      </c>
      <c r="E376" t="s">
        <v>21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</row>
    <row r="377" spans="1:20" x14ac:dyDescent="0.25">
      <c r="A377" t="s">
        <v>41</v>
      </c>
      <c r="B377">
        <v>21</v>
      </c>
      <c r="C377">
        <v>510</v>
      </c>
      <c r="D377" t="s">
        <v>21</v>
      </c>
      <c r="E377" t="s">
        <v>21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</row>
    <row r="378" spans="1:20" x14ac:dyDescent="0.25">
      <c r="A378" t="s">
        <v>68</v>
      </c>
      <c r="B378">
        <v>110</v>
      </c>
      <c r="C378">
        <v>408</v>
      </c>
      <c r="D378" t="s">
        <v>21</v>
      </c>
      <c r="E378" t="s">
        <v>21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</row>
    <row r="379" spans="1:20" x14ac:dyDescent="0.25">
      <c r="A379" t="s">
        <v>45</v>
      </c>
      <c r="B379">
        <v>83</v>
      </c>
      <c r="C379">
        <v>415</v>
      </c>
      <c r="D379" t="s">
        <v>21</v>
      </c>
      <c r="E379" t="s">
        <v>21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</row>
    <row r="380" spans="1:20" x14ac:dyDescent="0.25">
      <c r="A380" t="s">
        <v>22</v>
      </c>
      <c r="B380">
        <v>101</v>
      </c>
      <c r="C380">
        <v>415</v>
      </c>
      <c r="D380" t="s">
        <v>21</v>
      </c>
      <c r="E380" t="s">
        <v>27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</row>
    <row r="381" spans="1:20" x14ac:dyDescent="0.25">
      <c r="A381" t="s">
        <v>47</v>
      </c>
      <c r="B381">
        <v>117</v>
      </c>
      <c r="C381">
        <v>415</v>
      </c>
      <c r="D381" t="s">
        <v>21</v>
      </c>
      <c r="E381" t="s">
        <v>27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</row>
    <row r="382" spans="1:20" x14ac:dyDescent="0.25">
      <c r="A382" t="s">
        <v>42</v>
      </c>
      <c r="B382">
        <v>127</v>
      </c>
      <c r="C382">
        <v>408</v>
      </c>
      <c r="D382" t="s">
        <v>21</v>
      </c>
      <c r="E382" t="s">
        <v>21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</row>
    <row r="383" spans="1:20" x14ac:dyDescent="0.25">
      <c r="A383" t="s">
        <v>52</v>
      </c>
      <c r="B383">
        <v>138</v>
      </c>
      <c r="C383">
        <v>510</v>
      </c>
      <c r="D383" t="s">
        <v>21</v>
      </c>
      <c r="E383" t="s">
        <v>27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</row>
    <row r="384" spans="1:20" x14ac:dyDescent="0.25">
      <c r="A384" t="s">
        <v>48</v>
      </c>
      <c r="B384">
        <v>120</v>
      </c>
      <c r="C384">
        <v>415</v>
      </c>
      <c r="D384" t="s">
        <v>21</v>
      </c>
      <c r="E384" t="s">
        <v>21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</row>
    <row r="385" spans="1:20" x14ac:dyDescent="0.25">
      <c r="A385" t="s">
        <v>61</v>
      </c>
      <c r="B385">
        <v>141</v>
      </c>
      <c r="C385">
        <v>415</v>
      </c>
      <c r="D385" t="s">
        <v>21</v>
      </c>
      <c r="E385" t="s">
        <v>27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</row>
    <row r="386" spans="1:20" x14ac:dyDescent="0.25">
      <c r="A386" t="s">
        <v>47</v>
      </c>
      <c r="B386">
        <v>87</v>
      </c>
      <c r="C386">
        <v>510</v>
      </c>
      <c r="D386" t="s">
        <v>21</v>
      </c>
      <c r="E386" t="s">
        <v>27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</row>
    <row r="387" spans="1:20" x14ac:dyDescent="0.25">
      <c r="A387" t="s">
        <v>40</v>
      </c>
      <c r="B387">
        <v>97</v>
      </c>
      <c r="C387">
        <v>408</v>
      </c>
      <c r="D387" t="s">
        <v>21</v>
      </c>
      <c r="E387" t="s">
        <v>21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</row>
    <row r="388" spans="1:20" x14ac:dyDescent="0.25">
      <c r="A388" t="s">
        <v>53</v>
      </c>
      <c r="B388">
        <v>162</v>
      </c>
      <c r="C388">
        <v>408</v>
      </c>
      <c r="D388" t="s">
        <v>21</v>
      </c>
      <c r="E388" t="s">
        <v>27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</row>
    <row r="389" spans="1:20" x14ac:dyDescent="0.25">
      <c r="A389" t="s">
        <v>48</v>
      </c>
      <c r="B389">
        <v>119</v>
      </c>
      <c r="C389">
        <v>510</v>
      </c>
      <c r="D389" t="s">
        <v>21</v>
      </c>
      <c r="E389" t="s">
        <v>21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</row>
    <row r="390" spans="1:20" x14ac:dyDescent="0.25">
      <c r="A390" t="s">
        <v>31</v>
      </c>
      <c r="B390">
        <v>107</v>
      </c>
      <c r="C390">
        <v>510</v>
      </c>
      <c r="D390" t="s">
        <v>21</v>
      </c>
      <c r="E390" t="s">
        <v>27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</row>
    <row r="391" spans="1:20" x14ac:dyDescent="0.25">
      <c r="A391" t="s">
        <v>24</v>
      </c>
      <c r="B391">
        <v>140</v>
      </c>
      <c r="C391">
        <v>510</v>
      </c>
      <c r="D391" t="s">
        <v>21</v>
      </c>
      <c r="E391" t="s">
        <v>27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</row>
    <row r="392" spans="1:20" x14ac:dyDescent="0.25">
      <c r="A392" t="s">
        <v>54</v>
      </c>
      <c r="B392">
        <v>91</v>
      </c>
      <c r="C392">
        <v>415</v>
      </c>
      <c r="D392" t="s">
        <v>21</v>
      </c>
      <c r="E392" t="s">
        <v>21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</row>
    <row r="393" spans="1:20" x14ac:dyDescent="0.25">
      <c r="A393" t="s">
        <v>42</v>
      </c>
      <c r="B393">
        <v>135</v>
      </c>
      <c r="C393">
        <v>415</v>
      </c>
      <c r="D393" t="s">
        <v>21</v>
      </c>
      <c r="E393" t="s">
        <v>21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</row>
    <row r="394" spans="1:20" x14ac:dyDescent="0.25">
      <c r="A394" t="s">
        <v>25</v>
      </c>
      <c r="B394">
        <v>86</v>
      </c>
      <c r="C394">
        <v>408</v>
      </c>
      <c r="D394" t="s">
        <v>21</v>
      </c>
      <c r="E394" t="s">
        <v>27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</row>
    <row r="395" spans="1:20" x14ac:dyDescent="0.25">
      <c r="A395" t="s">
        <v>36</v>
      </c>
      <c r="B395">
        <v>131</v>
      </c>
      <c r="C395">
        <v>415</v>
      </c>
      <c r="D395" t="s">
        <v>21</v>
      </c>
      <c r="E395" t="s">
        <v>21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</row>
    <row r="396" spans="1:20" x14ac:dyDescent="0.25">
      <c r="A396" t="s">
        <v>42</v>
      </c>
      <c r="B396">
        <v>86</v>
      </c>
      <c r="C396">
        <v>415</v>
      </c>
      <c r="D396" t="s">
        <v>21</v>
      </c>
      <c r="E396" t="s">
        <v>27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</row>
    <row r="397" spans="1:20" x14ac:dyDescent="0.25">
      <c r="A397" t="s">
        <v>44</v>
      </c>
      <c r="B397">
        <v>85</v>
      </c>
      <c r="C397">
        <v>415</v>
      </c>
      <c r="D397" t="s">
        <v>21</v>
      </c>
      <c r="E397" t="s">
        <v>21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</row>
    <row r="398" spans="1:20" x14ac:dyDescent="0.25">
      <c r="A398" t="s">
        <v>33</v>
      </c>
      <c r="B398">
        <v>195</v>
      </c>
      <c r="C398">
        <v>415</v>
      </c>
      <c r="D398" t="s">
        <v>21</v>
      </c>
      <c r="E398" t="s">
        <v>27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</row>
    <row r="399" spans="1:20" x14ac:dyDescent="0.25">
      <c r="A399" t="s">
        <v>68</v>
      </c>
      <c r="B399">
        <v>177</v>
      </c>
      <c r="C399">
        <v>408</v>
      </c>
      <c r="D399" t="s">
        <v>21</v>
      </c>
      <c r="E399" t="s">
        <v>21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</row>
    <row r="400" spans="1:20" x14ac:dyDescent="0.25">
      <c r="A400" t="s">
        <v>40</v>
      </c>
      <c r="B400">
        <v>100</v>
      </c>
      <c r="C400">
        <v>408</v>
      </c>
      <c r="D400" t="s">
        <v>21</v>
      </c>
      <c r="E400" t="s">
        <v>21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</row>
    <row r="401" spans="1:20" x14ac:dyDescent="0.25">
      <c r="A401" t="s">
        <v>56</v>
      </c>
      <c r="B401">
        <v>124</v>
      </c>
      <c r="C401">
        <v>415</v>
      </c>
      <c r="D401" t="s">
        <v>21</v>
      </c>
      <c r="E401" t="s">
        <v>21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</row>
    <row r="402" spans="1:20" x14ac:dyDescent="0.25">
      <c r="A402" t="s">
        <v>58</v>
      </c>
      <c r="B402">
        <v>81</v>
      </c>
      <c r="C402">
        <v>510</v>
      </c>
      <c r="D402" t="s">
        <v>27</v>
      </c>
      <c r="E402" t="s">
        <v>21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</row>
    <row r="403" spans="1:20" x14ac:dyDescent="0.25">
      <c r="A403" t="s">
        <v>25</v>
      </c>
      <c r="B403">
        <v>105</v>
      </c>
      <c r="C403">
        <v>415</v>
      </c>
      <c r="D403" t="s">
        <v>21</v>
      </c>
      <c r="E403" t="s">
        <v>21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</row>
    <row r="404" spans="1:20" x14ac:dyDescent="0.25">
      <c r="A404" t="s">
        <v>28</v>
      </c>
      <c r="B404">
        <v>126</v>
      </c>
      <c r="C404">
        <v>415</v>
      </c>
      <c r="D404" t="s">
        <v>27</v>
      </c>
      <c r="E404" t="s">
        <v>27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</row>
    <row r="405" spans="1:20" x14ac:dyDescent="0.25">
      <c r="A405" t="s">
        <v>68</v>
      </c>
      <c r="B405">
        <v>71</v>
      </c>
      <c r="C405">
        <v>510</v>
      </c>
      <c r="D405" t="s">
        <v>21</v>
      </c>
      <c r="E405" t="s">
        <v>21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</row>
    <row r="406" spans="1:20" x14ac:dyDescent="0.25">
      <c r="A406" t="s">
        <v>41</v>
      </c>
      <c r="B406">
        <v>139</v>
      </c>
      <c r="C406">
        <v>415</v>
      </c>
      <c r="D406" t="s">
        <v>21</v>
      </c>
      <c r="E406" t="s">
        <v>21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</row>
    <row r="407" spans="1:20" x14ac:dyDescent="0.25">
      <c r="A407" t="s">
        <v>41</v>
      </c>
      <c r="B407">
        <v>77</v>
      </c>
      <c r="C407">
        <v>415</v>
      </c>
      <c r="D407" t="s">
        <v>21</v>
      </c>
      <c r="E407" t="s">
        <v>21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</row>
    <row r="408" spans="1:20" x14ac:dyDescent="0.25">
      <c r="A408" t="s">
        <v>36</v>
      </c>
      <c r="B408">
        <v>72</v>
      </c>
      <c r="C408">
        <v>408</v>
      </c>
      <c r="D408" t="s">
        <v>21</v>
      </c>
      <c r="E408" t="s">
        <v>21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</row>
    <row r="409" spans="1:20" x14ac:dyDescent="0.25">
      <c r="A409" t="s">
        <v>52</v>
      </c>
      <c r="B409">
        <v>74</v>
      </c>
      <c r="C409">
        <v>415</v>
      </c>
      <c r="D409" t="s">
        <v>21</v>
      </c>
      <c r="E409" t="s">
        <v>27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</row>
    <row r="410" spans="1:20" x14ac:dyDescent="0.25">
      <c r="A410" t="s">
        <v>68</v>
      </c>
      <c r="B410">
        <v>124</v>
      </c>
      <c r="C410">
        <v>415</v>
      </c>
      <c r="D410" t="s">
        <v>21</v>
      </c>
      <c r="E410" t="s">
        <v>21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</row>
    <row r="411" spans="1:20" x14ac:dyDescent="0.25">
      <c r="A411" t="s">
        <v>36</v>
      </c>
      <c r="B411">
        <v>113</v>
      </c>
      <c r="C411">
        <v>408</v>
      </c>
      <c r="D411" t="s">
        <v>21</v>
      </c>
      <c r="E411" t="s">
        <v>27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</row>
    <row r="412" spans="1:20" x14ac:dyDescent="0.25">
      <c r="A412" t="s">
        <v>62</v>
      </c>
      <c r="B412">
        <v>66</v>
      </c>
      <c r="C412">
        <v>510</v>
      </c>
      <c r="D412" t="s">
        <v>21</v>
      </c>
      <c r="E412" t="s">
        <v>21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</row>
    <row r="413" spans="1:20" x14ac:dyDescent="0.25">
      <c r="A413" t="s">
        <v>34</v>
      </c>
      <c r="B413">
        <v>124</v>
      </c>
      <c r="C413">
        <v>415</v>
      </c>
      <c r="D413" t="s">
        <v>21</v>
      </c>
      <c r="E413" t="s">
        <v>27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</row>
    <row r="414" spans="1:20" x14ac:dyDescent="0.25">
      <c r="A414" t="s">
        <v>63</v>
      </c>
      <c r="B414">
        <v>134</v>
      </c>
      <c r="C414">
        <v>408</v>
      </c>
      <c r="D414" t="s">
        <v>21</v>
      </c>
      <c r="E414" t="s">
        <v>21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</row>
    <row r="415" spans="1:20" x14ac:dyDescent="0.25">
      <c r="A415" t="s">
        <v>62</v>
      </c>
      <c r="B415">
        <v>41</v>
      </c>
      <c r="C415">
        <v>415</v>
      </c>
      <c r="D415" t="s">
        <v>21</v>
      </c>
      <c r="E415" t="s">
        <v>27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</row>
    <row r="416" spans="1:20" x14ac:dyDescent="0.25">
      <c r="A416" t="s">
        <v>24</v>
      </c>
      <c r="B416">
        <v>159</v>
      </c>
      <c r="C416">
        <v>415</v>
      </c>
      <c r="D416" t="s">
        <v>21</v>
      </c>
      <c r="E416" t="s">
        <v>27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</row>
    <row r="417" spans="1:20" x14ac:dyDescent="0.25">
      <c r="A417" t="s">
        <v>63</v>
      </c>
      <c r="B417">
        <v>87</v>
      </c>
      <c r="C417">
        <v>408</v>
      </c>
      <c r="D417" t="s">
        <v>27</v>
      </c>
      <c r="E417" t="s">
        <v>27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</row>
    <row r="418" spans="1:20" x14ac:dyDescent="0.25">
      <c r="A418" t="s">
        <v>40</v>
      </c>
      <c r="B418">
        <v>132</v>
      </c>
      <c r="C418">
        <v>415</v>
      </c>
      <c r="D418" t="s">
        <v>21</v>
      </c>
      <c r="E418" t="s">
        <v>21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</row>
    <row r="419" spans="1:20" x14ac:dyDescent="0.25">
      <c r="A419" t="s">
        <v>41</v>
      </c>
      <c r="B419">
        <v>86</v>
      </c>
      <c r="C419">
        <v>408</v>
      </c>
      <c r="D419" t="s">
        <v>21</v>
      </c>
      <c r="E419" t="s">
        <v>21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</row>
    <row r="420" spans="1:20" x14ac:dyDescent="0.25">
      <c r="A420" t="s">
        <v>63</v>
      </c>
      <c r="B420">
        <v>55</v>
      </c>
      <c r="C420">
        <v>415</v>
      </c>
      <c r="D420" t="s">
        <v>27</v>
      </c>
      <c r="E420" t="s">
        <v>21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</row>
    <row r="421" spans="1:20" x14ac:dyDescent="0.25">
      <c r="A421" t="s">
        <v>33</v>
      </c>
      <c r="B421">
        <v>101</v>
      </c>
      <c r="C421">
        <v>415</v>
      </c>
      <c r="D421" t="s">
        <v>21</v>
      </c>
      <c r="E421" t="s">
        <v>21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</row>
    <row r="422" spans="1:20" x14ac:dyDescent="0.25">
      <c r="A422" t="s">
        <v>52</v>
      </c>
      <c r="B422">
        <v>94</v>
      </c>
      <c r="C422">
        <v>408</v>
      </c>
      <c r="D422" t="s">
        <v>21</v>
      </c>
      <c r="E422" t="s">
        <v>21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</row>
    <row r="423" spans="1:20" x14ac:dyDescent="0.25">
      <c r="A423" t="s">
        <v>68</v>
      </c>
      <c r="B423">
        <v>68</v>
      </c>
      <c r="C423">
        <v>408</v>
      </c>
      <c r="D423" t="s">
        <v>21</v>
      </c>
      <c r="E423" t="s">
        <v>21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</row>
    <row r="424" spans="1:20" x14ac:dyDescent="0.25">
      <c r="A424" t="s">
        <v>37</v>
      </c>
      <c r="B424">
        <v>98</v>
      </c>
      <c r="C424">
        <v>408</v>
      </c>
      <c r="D424" t="s">
        <v>21</v>
      </c>
      <c r="E424" t="s">
        <v>21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</row>
    <row r="425" spans="1:20" x14ac:dyDescent="0.25">
      <c r="A425" t="s">
        <v>48</v>
      </c>
      <c r="B425">
        <v>123</v>
      </c>
      <c r="C425">
        <v>408</v>
      </c>
      <c r="D425" t="s">
        <v>21</v>
      </c>
      <c r="E425" t="s">
        <v>21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</row>
    <row r="426" spans="1:20" x14ac:dyDescent="0.25">
      <c r="A426" t="s">
        <v>39</v>
      </c>
      <c r="B426">
        <v>111</v>
      </c>
      <c r="C426">
        <v>408</v>
      </c>
      <c r="D426" t="s">
        <v>21</v>
      </c>
      <c r="E426" t="s">
        <v>21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</row>
    <row r="427" spans="1:20" x14ac:dyDescent="0.25">
      <c r="A427" t="s">
        <v>49</v>
      </c>
      <c r="B427">
        <v>69</v>
      </c>
      <c r="C427">
        <v>510</v>
      </c>
      <c r="D427" t="s">
        <v>21</v>
      </c>
      <c r="E427" t="s">
        <v>27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</row>
    <row r="428" spans="1:20" x14ac:dyDescent="0.25">
      <c r="A428" t="s">
        <v>57</v>
      </c>
      <c r="B428">
        <v>127</v>
      </c>
      <c r="C428">
        <v>415</v>
      </c>
      <c r="D428" t="s">
        <v>21</v>
      </c>
      <c r="E428" t="s">
        <v>27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</row>
    <row r="429" spans="1:20" x14ac:dyDescent="0.25">
      <c r="A429" t="s">
        <v>46</v>
      </c>
      <c r="B429">
        <v>105</v>
      </c>
      <c r="C429">
        <v>415</v>
      </c>
      <c r="D429" t="s">
        <v>21</v>
      </c>
      <c r="E429" t="s">
        <v>21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</row>
    <row r="430" spans="1:20" x14ac:dyDescent="0.25">
      <c r="A430" t="s">
        <v>30</v>
      </c>
      <c r="B430">
        <v>75</v>
      </c>
      <c r="C430">
        <v>415</v>
      </c>
      <c r="D430" t="s">
        <v>21</v>
      </c>
      <c r="E430" t="s">
        <v>21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</row>
    <row r="431" spans="1:20" x14ac:dyDescent="0.25">
      <c r="A431" t="s">
        <v>48</v>
      </c>
      <c r="B431">
        <v>126</v>
      </c>
      <c r="C431">
        <v>415</v>
      </c>
      <c r="D431" t="s">
        <v>21</v>
      </c>
      <c r="E431" t="s">
        <v>21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</row>
    <row r="432" spans="1:20" x14ac:dyDescent="0.25">
      <c r="A432" t="s">
        <v>46</v>
      </c>
      <c r="B432">
        <v>41</v>
      </c>
      <c r="C432">
        <v>415</v>
      </c>
      <c r="D432" t="s">
        <v>21</v>
      </c>
      <c r="E432" t="s">
        <v>21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</row>
    <row r="433" spans="1:20" x14ac:dyDescent="0.25">
      <c r="A433" t="s">
        <v>57</v>
      </c>
      <c r="B433">
        <v>113</v>
      </c>
      <c r="C433">
        <v>415</v>
      </c>
      <c r="D433" t="s">
        <v>21</v>
      </c>
      <c r="E433" t="s">
        <v>21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</row>
    <row r="434" spans="1:20" x14ac:dyDescent="0.25">
      <c r="A434" t="s">
        <v>23</v>
      </c>
      <c r="B434">
        <v>78</v>
      </c>
      <c r="C434">
        <v>510</v>
      </c>
      <c r="D434" t="s">
        <v>21</v>
      </c>
      <c r="E434" t="s">
        <v>21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</row>
    <row r="435" spans="1:20" x14ac:dyDescent="0.25">
      <c r="A435" t="s">
        <v>40</v>
      </c>
      <c r="B435">
        <v>110</v>
      </c>
      <c r="C435">
        <v>415</v>
      </c>
      <c r="D435" t="s">
        <v>21</v>
      </c>
      <c r="E435" t="s">
        <v>21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</row>
    <row r="436" spans="1:20" x14ac:dyDescent="0.25">
      <c r="A436" t="s">
        <v>41</v>
      </c>
      <c r="B436">
        <v>112</v>
      </c>
      <c r="C436">
        <v>415</v>
      </c>
      <c r="D436" t="s">
        <v>27</v>
      </c>
      <c r="E436" t="s">
        <v>27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</row>
    <row r="437" spans="1:20" x14ac:dyDescent="0.25">
      <c r="A437" t="s">
        <v>29</v>
      </c>
      <c r="B437">
        <v>104</v>
      </c>
      <c r="C437">
        <v>510</v>
      </c>
      <c r="D437" t="s">
        <v>21</v>
      </c>
      <c r="E437" t="s">
        <v>21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</row>
    <row r="438" spans="1:20" x14ac:dyDescent="0.25">
      <c r="A438" t="s">
        <v>66</v>
      </c>
      <c r="B438">
        <v>127</v>
      </c>
      <c r="C438">
        <v>510</v>
      </c>
      <c r="D438" t="s">
        <v>21</v>
      </c>
      <c r="E438" t="s">
        <v>21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</row>
    <row r="439" spans="1:20" x14ac:dyDescent="0.25">
      <c r="A439" t="s">
        <v>41</v>
      </c>
      <c r="B439">
        <v>61</v>
      </c>
      <c r="C439">
        <v>408</v>
      </c>
      <c r="D439" t="s">
        <v>21</v>
      </c>
      <c r="E439" t="s">
        <v>21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</row>
    <row r="440" spans="1:20" x14ac:dyDescent="0.25">
      <c r="A440" t="s">
        <v>57</v>
      </c>
      <c r="B440">
        <v>65</v>
      </c>
      <c r="C440">
        <v>415</v>
      </c>
      <c r="D440" t="s">
        <v>21</v>
      </c>
      <c r="E440" t="s">
        <v>27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</row>
    <row r="441" spans="1:20" x14ac:dyDescent="0.25">
      <c r="A441" t="s">
        <v>56</v>
      </c>
      <c r="B441">
        <v>152</v>
      </c>
      <c r="C441">
        <v>408</v>
      </c>
      <c r="D441" t="s">
        <v>21</v>
      </c>
      <c r="E441" t="s">
        <v>27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</row>
    <row r="442" spans="1:20" x14ac:dyDescent="0.25">
      <c r="A442" t="s">
        <v>57</v>
      </c>
      <c r="B442">
        <v>63</v>
      </c>
      <c r="C442">
        <v>415</v>
      </c>
      <c r="D442" t="s">
        <v>27</v>
      </c>
      <c r="E442" t="s">
        <v>21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</row>
    <row r="443" spans="1:20" x14ac:dyDescent="0.25">
      <c r="A443" t="s">
        <v>71</v>
      </c>
      <c r="B443">
        <v>100</v>
      </c>
      <c r="C443">
        <v>408</v>
      </c>
      <c r="D443" t="s">
        <v>21</v>
      </c>
      <c r="E443" t="s">
        <v>21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</row>
    <row r="444" spans="1:20" x14ac:dyDescent="0.25">
      <c r="A444" t="s">
        <v>49</v>
      </c>
      <c r="B444">
        <v>29</v>
      </c>
      <c r="C444">
        <v>510</v>
      </c>
      <c r="D444" t="s">
        <v>21</v>
      </c>
      <c r="E444" t="s">
        <v>21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</row>
    <row r="445" spans="1:20" x14ac:dyDescent="0.25">
      <c r="A445" t="s">
        <v>62</v>
      </c>
      <c r="B445">
        <v>175</v>
      </c>
      <c r="C445">
        <v>415</v>
      </c>
      <c r="D445" t="s">
        <v>21</v>
      </c>
      <c r="E445" t="s">
        <v>21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</row>
    <row r="446" spans="1:20" x14ac:dyDescent="0.25">
      <c r="A446" t="s">
        <v>49</v>
      </c>
      <c r="B446">
        <v>98</v>
      </c>
      <c r="C446">
        <v>415</v>
      </c>
      <c r="D446" t="s">
        <v>27</v>
      </c>
      <c r="E446" t="s">
        <v>27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</row>
    <row r="447" spans="1:20" x14ac:dyDescent="0.25">
      <c r="A447" t="s">
        <v>30</v>
      </c>
      <c r="B447">
        <v>121</v>
      </c>
      <c r="C447">
        <v>415</v>
      </c>
      <c r="D447" t="s">
        <v>21</v>
      </c>
      <c r="E447" t="s">
        <v>21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</row>
    <row r="448" spans="1:20" x14ac:dyDescent="0.25">
      <c r="A448" t="s">
        <v>67</v>
      </c>
      <c r="B448">
        <v>104</v>
      </c>
      <c r="C448">
        <v>415</v>
      </c>
      <c r="D448" t="s">
        <v>21</v>
      </c>
      <c r="E448" t="s">
        <v>21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</row>
    <row r="449" spans="1:20" x14ac:dyDescent="0.25">
      <c r="A449" t="s">
        <v>41</v>
      </c>
      <c r="B449">
        <v>123</v>
      </c>
      <c r="C449">
        <v>415</v>
      </c>
      <c r="D449" t="s">
        <v>21</v>
      </c>
      <c r="E449" t="s">
        <v>21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</row>
    <row r="450" spans="1:20" x14ac:dyDescent="0.25">
      <c r="A450" t="s">
        <v>28</v>
      </c>
      <c r="B450">
        <v>61</v>
      </c>
      <c r="C450">
        <v>415</v>
      </c>
      <c r="D450" t="s">
        <v>21</v>
      </c>
      <c r="E450" t="s">
        <v>27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</row>
    <row r="451" spans="1:20" x14ac:dyDescent="0.25">
      <c r="A451" t="s">
        <v>65</v>
      </c>
      <c r="B451">
        <v>160</v>
      </c>
      <c r="C451">
        <v>415</v>
      </c>
      <c r="D451" t="s">
        <v>21</v>
      </c>
      <c r="E451" t="s">
        <v>21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</row>
    <row r="452" spans="1:20" x14ac:dyDescent="0.25">
      <c r="A452" t="s">
        <v>69</v>
      </c>
      <c r="B452">
        <v>153</v>
      </c>
      <c r="C452">
        <v>408</v>
      </c>
      <c r="D452" t="s">
        <v>21</v>
      </c>
      <c r="E452" t="s">
        <v>21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</row>
    <row r="453" spans="1:20" x14ac:dyDescent="0.25">
      <c r="A453" t="s">
        <v>51</v>
      </c>
      <c r="B453">
        <v>31</v>
      </c>
      <c r="C453">
        <v>510</v>
      </c>
      <c r="D453" t="s">
        <v>21</v>
      </c>
      <c r="E453" t="s">
        <v>21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</row>
    <row r="454" spans="1:20" x14ac:dyDescent="0.25">
      <c r="A454" t="s">
        <v>36</v>
      </c>
      <c r="B454">
        <v>122</v>
      </c>
      <c r="C454">
        <v>415</v>
      </c>
      <c r="D454" t="s">
        <v>21</v>
      </c>
      <c r="E454" t="s">
        <v>21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</row>
    <row r="455" spans="1:20" x14ac:dyDescent="0.25">
      <c r="A455" t="s">
        <v>22</v>
      </c>
      <c r="B455">
        <v>46</v>
      </c>
      <c r="C455">
        <v>415</v>
      </c>
      <c r="D455" t="s">
        <v>21</v>
      </c>
      <c r="E455" t="s">
        <v>27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</row>
    <row r="456" spans="1:20" x14ac:dyDescent="0.25">
      <c r="A456" t="s">
        <v>51</v>
      </c>
      <c r="B456">
        <v>103</v>
      </c>
      <c r="C456">
        <v>415</v>
      </c>
      <c r="D456" t="s">
        <v>21</v>
      </c>
      <c r="E456" t="s">
        <v>21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</row>
    <row r="457" spans="1:20" x14ac:dyDescent="0.25">
      <c r="A457" t="s">
        <v>63</v>
      </c>
      <c r="B457">
        <v>68</v>
      </c>
      <c r="C457">
        <v>415</v>
      </c>
      <c r="D457" t="s">
        <v>27</v>
      </c>
      <c r="E457" t="s">
        <v>27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</row>
    <row r="458" spans="1:20" x14ac:dyDescent="0.25">
      <c r="A458" t="s">
        <v>44</v>
      </c>
      <c r="B458">
        <v>149</v>
      </c>
      <c r="C458">
        <v>415</v>
      </c>
      <c r="D458" t="s">
        <v>21</v>
      </c>
      <c r="E458" t="s">
        <v>27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</row>
    <row r="459" spans="1:20" x14ac:dyDescent="0.25">
      <c r="A459" t="s">
        <v>34</v>
      </c>
      <c r="B459">
        <v>102</v>
      </c>
      <c r="C459">
        <v>408</v>
      </c>
      <c r="D459" t="s">
        <v>21</v>
      </c>
      <c r="E459" t="s">
        <v>21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</row>
    <row r="460" spans="1:20" x14ac:dyDescent="0.25">
      <c r="A460" t="s">
        <v>31</v>
      </c>
      <c r="B460">
        <v>153</v>
      </c>
      <c r="C460">
        <v>510</v>
      </c>
      <c r="D460" t="s">
        <v>21</v>
      </c>
      <c r="E460" t="s">
        <v>21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</row>
    <row r="461" spans="1:20" x14ac:dyDescent="0.25">
      <c r="A461" t="s">
        <v>23</v>
      </c>
      <c r="B461">
        <v>122</v>
      </c>
      <c r="C461">
        <v>510</v>
      </c>
      <c r="D461" t="s">
        <v>21</v>
      </c>
      <c r="E461" t="s">
        <v>21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</row>
    <row r="462" spans="1:20" x14ac:dyDescent="0.25">
      <c r="A462" t="s">
        <v>50</v>
      </c>
      <c r="B462">
        <v>127</v>
      </c>
      <c r="C462">
        <v>510</v>
      </c>
      <c r="D462" t="s">
        <v>27</v>
      </c>
      <c r="E462" t="s">
        <v>21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</row>
    <row r="463" spans="1:20" x14ac:dyDescent="0.25">
      <c r="A463" t="s">
        <v>23</v>
      </c>
      <c r="B463">
        <v>126</v>
      </c>
      <c r="C463">
        <v>415</v>
      </c>
      <c r="D463" t="s">
        <v>27</v>
      </c>
      <c r="E463" t="s">
        <v>21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</row>
    <row r="464" spans="1:20" x14ac:dyDescent="0.25">
      <c r="A464" t="s">
        <v>37</v>
      </c>
      <c r="B464">
        <v>90</v>
      </c>
      <c r="C464">
        <v>408</v>
      </c>
      <c r="D464" t="s">
        <v>21</v>
      </c>
      <c r="E464" t="s">
        <v>21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</row>
    <row r="465" spans="1:20" x14ac:dyDescent="0.25">
      <c r="A465" t="s">
        <v>39</v>
      </c>
      <c r="B465">
        <v>37</v>
      </c>
      <c r="C465">
        <v>510</v>
      </c>
      <c r="D465" t="s">
        <v>21</v>
      </c>
      <c r="E465" t="s">
        <v>21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</row>
    <row r="466" spans="1:20" x14ac:dyDescent="0.25">
      <c r="A466" t="s">
        <v>37</v>
      </c>
      <c r="B466">
        <v>132</v>
      </c>
      <c r="C466">
        <v>415</v>
      </c>
      <c r="D466" t="s">
        <v>21</v>
      </c>
      <c r="E466" t="s">
        <v>21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</row>
    <row r="467" spans="1:20" x14ac:dyDescent="0.25">
      <c r="A467" t="s">
        <v>36</v>
      </c>
      <c r="B467">
        <v>38</v>
      </c>
      <c r="C467">
        <v>408</v>
      </c>
      <c r="D467" t="s">
        <v>21</v>
      </c>
      <c r="E467" t="s">
        <v>27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</row>
    <row r="468" spans="1:20" x14ac:dyDescent="0.25">
      <c r="A468" t="s">
        <v>29</v>
      </c>
      <c r="B468">
        <v>92</v>
      </c>
      <c r="C468">
        <v>415</v>
      </c>
      <c r="D468" t="s">
        <v>21</v>
      </c>
      <c r="E468" t="s">
        <v>21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</row>
    <row r="469" spans="1:20" x14ac:dyDescent="0.25">
      <c r="A469" t="s">
        <v>25</v>
      </c>
      <c r="B469">
        <v>111</v>
      </c>
      <c r="C469">
        <v>408</v>
      </c>
      <c r="D469" t="s">
        <v>21</v>
      </c>
      <c r="E469" t="s">
        <v>27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</row>
    <row r="470" spans="1:20" x14ac:dyDescent="0.25">
      <c r="A470" t="s">
        <v>48</v>
      </c>
      <c r="B470">
        <v>121</v>
      </c>
      <c r="C470">
        <v>415</v>
      </c>
      <c r="D470" t="s">
        <v>21</v>
      </c>
      <c r="E470" t="s">
        <v>27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</row>
    <row r="471" spans="1:20" x14ac:dyDescent="0.25">
      <c r="A471" t="s">
        <v>72</v>
      </c>
      <c r="B471">
        <v>131</v>
      </c>
      <c r="C471">
        <v>408</v>
      </c>
      <c r="D471" t="s">
        <v>21</v>
      </c>
      <c r="E471" t="s">
        <v>21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</row>
    <row r="472" spans="1:20" x14ac:dyDescent="0.25">
      <c r="A472" t="s">
        <v>62</v>
      </c>
      <c r="B472">
        <v>19</v>
      </c>
      <c r="C472">
        <v>415</v>
      </c>
      <c r="D472" t="s">
        <v>21</v>
      </c>
      <c r="E472" t="s">
        <v>21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</row>
    <row r="473" spans="1:20" x14ac:dyDescent="0.25">
      <c r="A473" t="s">
        <v>42</v>
      </c>
      <c r="B473">
        <v>135</v>
      </c>
      <c r="C473">
        <v>415</v>
      </c>
      <c r="D473" t="s">
        <v>21</v>
      </c>
      <c r="E473" t="s">
        <v>21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</row>
    <row r="474" spans="1:20" x14ac:dyDescent="0.25">
      <c r="A474" t="s">
        <v>70</v>
      </c>
      <c r="B474">
        <v>129</v>
      </c>
      <c r="C474">
        <v>408</v>
      </c>
      <c r="D474" t="s">
        <v>21</v>
      </c>
      <c r="E474" t="s">
        <v>21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</row>
    <row r="475" spans="1:20" x14ac:dyDescent="0.25">
      <c r="A475" t="s">
        <v>33</v>
      </c>
      <c r="B475">
        <v>142</v>
      </c>
      <c r="C475">
        <v>415</v>
      </c>
      <c r="D475" t="s">
        <v>21</v>
      </c>
      <c r="E475" t="s">
        <v>21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</row>
    <row r="476" spans="1:20" x14ac:dyDescent="0.25">
      <c r="A476" t="s">
        <v>65</v>
      </c>
      <c r="B476">
        <v>130</v>
      </c>
      <c r="C476">
        <v>415</v>
      </c>
      <c r="D476" t="s">
        <v>21</v>
      </c>
      <c r="E476" t="s">
        <v>27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</row>
    <row r="477" spans="1:20" x14ac:dyDescent="0.25">
      <c r="A477" t="s">
        <v>41</v>
      </c>
      <c r="B477">
        <v>92</v>
      </c>
      <c r="C477">
        <v>415</v>
      </c>
      <c r="D477" t="s">
        <v>21</v>
      </c>
      <c r="E477" t="s">
        <v>21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</row>
    <row r="478" spans="1:20" x14ac:dyDescent="0.25">
      <c r="A478" t="s">
        <v>50</v>
      </c>
      <c r="B478">
        <v>146</v>
      </c>
      <c r="C478">
        <v>415</v>
      </c>
      <c r="D478" t="s">
        <v>21</v>
      </c>
      <c r="E478" t="s">
        <v>27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</row>
    <row r="479" spans="1:20" x14ac:dyDescent="0.25">
      <c r="A479" t="s">
        <v>66</v>
      </c>
      <c r="B479">
        <v>152</v>
      </c>
      <c r="C479">
        <v>510</v>
      </c>
      <c r="D479" t="s">
        <v>27</v>
      </c>
      <c r="E479" t="s">
        <v>27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</row>
    <row r="480" spans="1:20" x14ac:dyDescent="0.25">
      <c r="A480" t="s">
        <v>49</v>
      </c>
      <c r="B480">
        <v>189</v>
      </c>
      <c r="C480">
        <v>415</v>
      </c>
      <c r="D480" t="s">
        <v>21</v>
      </c>
      <c r="E480" t="s">
        <v>21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</row>
    <row r="481" spans="1:20" x14ac:dyDescent="0.25">
      <c r="A481" t="s">
        <v>42</v>
      </c>
      <c r="B481">
        <v>95</v>
      </c>
      <c r="C481">
        <v>415</v>
      </c>
      <c r="D481" t="s">
        <v>21</v>
      </c>
      <c r="E481" t="s">
        <v>27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</row>
    <row r="482" spans="1:20" x14ac:dyDescent="0.25">
      <c r="A482" t="s">
        <v>26</v>
      </c>
      <c r="B482">
        <v>1</v>
      </c>
      <c r="C482">
        <v>408</v>
      </c>
      <c r="D482" t="s">
        <v>21</v>
      </c>
      <c r="E482" t="s">
        <v>21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</row>
    <row r="483" spans="1:20" x14ac:dyDescent="0.25">
      <c r="A483" t="s">
        <v>22</v>
      </c>
      <c r="B483">
        <v>141</v>
      </c>
      <c r="C483">
        <v>415</v>
      </c>
      <c r="D483" t="s">
        <v>21</v>
      </c>
      <c r="E483" t="s">
        <v>27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</row>
    <row r="484" spans="1:20" x14ac:dyDescent="0.25">
      <c r="A484" t="s">
        <v>40</v>
      </c>
      <c r="B484">
        <v>111</v>
      </c>
      <c r="C484">
        <v>510</v>
      </c>
      <c r="D484" t="s">
        <v>21</v>
      </c>
      <c r="E484" t="s">
        <v>21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</row>
    <row r="485" spans="1:20" x14ac:dyDescent="0.25">
      <c r="A485" t="s">
        <v>57</v>
      </c>
      <c r="B485">
        <v>143</v>
      </c>
      <c r="C485">
        <v>408</v>
      </c>
      <c r="D485" t="s">
        <v>21</v>
      </c>
      <c r="E485" t="s">
        <v>21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</row>
    <row r="486" spans="1:20" x14ac:dyDescent="0.25">
      <c r="A486" t="s">
        <v>44</v>
      </c>
      <c r="B486">
        <v>148</v>
      </c>
      <c r="C486">
        <v>415</v>
      </c>
      <c r="D486" t="s">
        <v>21</v>
      </c>
      <c r="E486" t="s">
        <v>27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</row>
    <row r="487" spans="1:20" x14ac:dyDescent="0.25">
      <c r="A487" t="s">
        <v>34</v>
      </c>
      <c r="B487">
        <v>143</v>
      </c>
      <c r="C487">
        <v>408</v>
      </c>
      <c r="D487" t="s">
        <v>21</v>
      </c>
      <c r="E487" t="s">
        <v>27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</row>
    <row r="488" spans="1:20" x14ac:dyDescent="0.25">
      <c r="A488" t="s">
        <v>46</v>
      </c>
      <c r="B488">
        <v>90</v>
      </c>
      <c r="C488">
        <v>415</v>
      </c>
      <c r="D488" t="s">
        <v>21</v>
      </c>
      <c r="E488" t="s">
        <v>21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</row>
    <row r="489" spans="1:20" x14ac:dyDescent="0.25">
      <c r="A489" t="s">
        <v>42</v>
      </c>
      <c r="B489">
        <v>169</v>
      </c>
      <c r="C489">
        <v>408</v>
      </c>
      <c r="D489" t="s">
        <v>21</v>
      </c>
      <c r="E489" t="s">
        <v>21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</row>
    <row r="490" spans="1:20" x14ac:dyDescent="0.25">
      <c r="A490" t="s">
        <v>20</v>
      </c>
      <c r="B490">
        <v>53</v>
      </c>
      <c r="C490">
        <v>415</v>
      </c>
      <c r="D490" t="s">
        <v>21</v>
      </c>
      <c r="E490" t="s">
        <v>21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</row>
    <row r="491" spans="1:20" x14ac:dyDescent="0.25">
      <c r="A491" t="s">
        <v>43</v>
      </c>
      <c r="B491">
        <v>15</v>
      </c>
      <c r="C491">
        <v>415</v>
      </c>
      <c r="D491" t="s">
        <v>21</v>
      </c>
      <c r="E491" t="s">
        <v>21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</row>
    <row r="492" spans="1:20" x14ac:dyDescent="0.25">
      <c r="A492" t="s">
        <v>61</v>
      </c>
      <c r="B492">
        <v>123</v>
      </c>
      <c r="C492">
        <v>408</v>
      </c>
      <c r="D492" t="s">
        <v>21</v>
      </c>
      <c r="E492" t="s">
        <v>27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</row>
    <row r="493" spans="1:20" x14ac:dyDescent="0.25">
      <c r="A493" t="s">
        <v>70</v>
      </c>
      <c r="B493">
        <v>95</v>
      </c>
      <c r="C493">
        <v>510</v>
      </c>
      <c r="D493" t="s">
        <v>21</v>
      </c>
      <c r="E493" t="s">
        <v>21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</row>
    <row r="494" spans="1:20" x14ac:dyDescent="0.25">
      <c r="A494" t="s">
        <v>40</v>
      </c>
      <c r="B494">
        <v>82</v>
      </c>
      <c r="C494">
        <v>510</v>
      </c>
      <c r="D494" t="s">
        <v>21</v>
      </c>
      <c r="E494" t="s">
        <v>21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</row>
    <row r="495" spans="1:20" x14ac:dyDescent="0.25">
      <c r="A495" t="s">
        <v>57</v>
      </c>
      <c r="B495">
        <v>180</v>
      </c>
      <c r="C495">
        <v>415</v>
      </c>
      <c r="D495" t="s">
        <v>21</v>
      </c>
      <c r="E495" t="s">
        <v>21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</row>
    <row r="496" spans="1:20" x14ac:dyDescent="0.25">
      <c r="A496" t="s">
        <v>57</v>
      </c>
      <c r="B496">
        <v>125</v>
      </c>
      <c r="C496">
        <v>408</v>
      </c>
      <c r="D496" t="s">
        <v>21</v>
      </c>
      <c r="E496" t="s">
        <v>21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</row>
    <row r="497" spans="1:20" x14ac:dyDescent="0.25">
      <c r="A497" t="s">
        <v>47</v>
      </c>
      <c r="B497">
        <v>138</v>
      </c>
      <c r="C497">
        <v>415</v>
      </c>
      <c r="D497" t="s">
        <v>27</v>
      </c>
      <c r="E497" t="s">
        <v>27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</row>
    <row r="498" spans="1:20" x14ac:dyDescent="0.25">
      <c r="A498" t="s">
        <v>35</v>
      </c>
      <c r="B498">
        <v>90</v>
      </c>
      <c r="C498">
        <v>408</v>
      </c>
      <c r="D498" t="s">
        <v>21</v>
      </c>
      <c r="E498" t="s">
        <v>21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</row>
    <row r="499" spans="1:20" x14ac:dyDescent="0.25">
      <c r="A499" t="s">
        <v>53</v>
      </c>
      <c r="B499">
        <v>190</v>
      </c>
      <c r="C499">
        <v>408</v>
      </c>
      <c r="D499" t="s">
        <v>21</v>
      </c>
      <c r="E499" t="s">
        <v>21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</row>
    <row r="500" spans="1:20" x14ac:dyDescent="0.25">
      <c r="A500" t="s">
        <v>71</v>
      </c>
      <c r="B500">
        <v>143</v>
      </c>
      <c r="C500">
        <v>510</v>
      </c>
      <c r="D500" t="s">
        <v>21</v>
      </c>
      <c r="E500" t="s">
        <v>27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</row>
    <row r="501" spans="1:20" x14ac:dyDescent="0.25">
      <c r="A501" t="s">
        <v>63</v>
      </c>
      <c r="B501">
        <v>183</v>
      </c>
      <c r="C501">
        <v>510</v>
      </c>
      <c r="D501" t="s">
        <v>21</v>
      </c>
      <c r="E501" t="s">
        <v>21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</row>
    <row r="502" spans="1:20" x14ac:dyDescent="0.25">
      <c r="A502" t="s">
        <v>36</v>
      </c>
      <c r="B502">
        <v>58</v>
      </c>
      <c r="C502">
        <v>415</v>
      </c>
      <c r="D502" t="s">
        <v>21</v>
      </c>
      <c r="E502" t="s">
        <v>21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</row>
    <row r="503" spans="1:20" x14ac:dyDescent="0.25">
      <c r="A503" t="s">
        <v>70</v>
      </c>
      <c r="B503">
        <v>123</v>
      </c>
      <c r="C503">
        <v>415</v>
      </c>
      <c r="D503" t="s">
        <v>21</v>
      </c>
      <c r="E503" t="s">
        <v>21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</row>
    <row r="504" spans="1:20" x14ac:dyDescent="0.25">
      <c r="A504" t="s">
        <v>72</v>
      </c>
      <c r="B504">
        <v>155</v>
      </c>
      <c r="C504">
        <v>510</v>
      </c>
      <c r="D504" t="s">
        <v>21</v>
      </c>
      <c r="E504" t="s">
        <v>21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</row>
    <row r="505" spans="1:20" x14ac:dyDescent="0.25">
      <c r="A505" t="s">
        <v>32</v>
      </c>
      <c r="B505">
        <v>53</v>
      </c>
      <c r="C505">
        <v>415</v>
      </c>
      <c r="D505" t="s">
        <v>21</v>
      </c>
      <c r="E505" t="s">
        <v>21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</row>
    <row r="506" spans="1:20" x14ac:dyDescent="0.25">
      <c r="A506" t="s">
        <v>34</v>
      </c>
      <c r="B506">
        <v>101</v>
      </c>
      <c r="C506">
        <v>415</v>
      </c>
      <c r="D506" t="s">
        <v>21</v>
      </c>
      <c r="E506" t="s">
        <v>21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</row>
    <row r="507" spans="1:20" x14ac:dyDescent="0.25">
      <c r="A507" t="s">
        <v>68</v>
      </c>
      <c r="B507">
        <v>122</v>
      </c>
      <c r="C507">
        <v>408</v>
      </c>
      <c r="D507" t="s">
        <v>21</v>
      </c>
      <c r="E507" t="s">
        <v>21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</row>
    <row r="508" spans="1:20" x14ac:dyDescent="0.25">
      <c r="A508" t="s">
        <v>30</v>
      </c>
      <c r="B508">
        <v>163</v>
      </c>
      <c r="C508">
        <v>415</v>
      </c>
      <c r="D508" t="s">
        <v>21</v>
      </c>
      <c r="E508" t="s">
        <v>21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</row>
    <row r="509" spans="1:20" x14ac:dyDescent="0.25">
      <c r="A509" t="s">
        <v>68</v>
      </c>
      <c r="B509">
        <v>120</v>
      </c>
      <c r="C509">
        <v>415</v>
      </c>
      <c r="D509" t="s">
        <v>21</v>
      </c>
      <c r="E509" t="s">
        <v>21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</row>
    <row r="510" spans="1:20" x14ac:dyDescent="0.25">
      <c r="A510" t="s">
        <v>70</v>
      </c>
      <c r="B510">
        <v>196</v>
      </c>
      <c r="C510">
        <v>415</v>
      </c>
      <c r="D510" t="s">
        <v>21</v>
      </c>
      <c r="E510" t="s">
        <v>21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</row>
    <row r="511" spans="1:20" x14ac:dyDescent="0.25">
      <c r="A511" t="s">
        <v>41</v>
      </c>
      <c r="B511">
        <v>147</v>
      </c>
      <c r="C511">
        <v>415</v>
      </c>
      <c r="D511" t="s">
        <v>21</v>
      </c>
      <c r="E511" t="s">
        <v>27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</row>
    <row r="512" spans="1:20" x14ac:dyDescent="0.25">
      <c r="A512" t="s">
        <v>22</v>
      </c>
      <c r="B512">
        <v>81</v>
      </c>
      <c r="C512">
        <v>408</v>
      </c>
      <c r="D512" t="s">
        <v>21</v>
      </c>
      <c r="E512" t="s">
        <v>27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</row>
    <row r="513" spans="1:20" x14ac:dyDescent="0.25">
      <c r="A513" t="s">
        <v>47</v>
      </c>
      <c r="B513">
        <v>165</v>
      </c>
      <c r="C513">
        <v>415</v>
      </c>
      <c r="D513" t="s">
        <v>21</v>
      </c>
      <c r="E513" t="s">
        <v>27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</row>
    <row r="514" spans="1:20" x14ac:dyDescent="0.25">
      <c r="A514" t="s">
        <v>70</v>
      </c>
      <c r="B514">
        <v>115</v>
      </c>
      <c r="C514">
        <v>415</v>
      </c>
      <c r="D514" t="s">
        <v>21</v>
      </c>
      <c r="E514" t="s">
        <v>21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</row>
    <row r="515" spans="1:20" x14ac:dyDescent="0.25">
      <c r="A515" t="s">
        <v>48</v>
      </c>
      <c r="B515">
        <v>90</v>
      </c>
      <c r="C515">
        <v>408</v>
      </c>
      <c r="D515" t="s">
        <v>21</v>
      </c>
      <c r="E515" t="s">
        <v>27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</row>
    <row r="516" spans="1:20" x14ac:dyDescent="0.25">
      <c r="A516" t="s">
        <v>70</v>
      </c>
      <c r="B516">
        <v>37</v>
      </c>
      <c r="C516">
        <v>415</v>
      </c>
      <c r="D516" t="s">
        <v>21</v>
      </c>
      <c r="E516" t="s">
        <v>21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</row>
    <row r="517" spans="1:20" x14ac:dyDescent="0.25">
      <c r="A517" t="s">
        <v>53</v>
      </c>
      <c r="B517">
        <v>76</v>
      </c>
      <c r="C517">
        <v>510</v>
      </c>
      <c r="D517" t="s">
        <v>21</v>
      </c>
      <c r="E517" t="s">
        <v>21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</row>
    <row r="518" spans="1:20" x14ac:dyDescent="0.25">
      <c r="A518" t="s">
        <v>34</v>
      </c>
      <c r="B518">
        <v>109</v>
      </c>
      <c r="C518">
        <v>510</v>
      </c>
      <c r="D518" t="s">
        <v>21</v>
      </c>
      <c r="E518" t="s">
        <v>21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</row>
    <row r="519" spans="1:20" x14ac:dyDescent="0.25">
      <c r="A519" t="s">
        <v>25</v>
      </c>
      <c r="B519">
        <v>105</v>
      </c>
      <c r="C519">
        <v>510</v>
      </c>
      <c r="D519" t="s">
        <v>21</v>
      </c>
      <c r="E519" t="s">
        <v>21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</row>
    <row r="520" spans="1:20" x14ac:dyDescent="0.25">
      <c r="A520" t="s">
        <v>28</v>
      </c>
      <c r="B520">
        <v>74</v>
      </c>
      <c r="C520">
        <v>415</v>
      </c>
      <c r="D520" t="s">
        <v>21</v>
      </c>
      <c r="E520" t="s">
        <v>21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</row>
    <row r="521" spans="1:20" x14ac:dyDescent="0.25">
      <c r="A521" t="s">
        <v>44</v>
      </c>
      <c r="B521">
        <v>76</v>
      </c>
      <c r="C521">
        <v>415</v>
      </c>
      <c r="D521" t="s">
        <v>21</v>
      </c>
      <c r="E521" t="s">
        <v>21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</row>
    <row r="522" spans="1:20" x14ac:dyDescent="0.25">
      <c r="A522" t="s">
        <v>56</v>
      </c>
      <c r="B522">
        <v>116</v>
      </c>
      <c r="C522">
        <v>415</v>
      </c>
      <c r="D522" t="s">
        <v>21</v>
      </c>
      <c r="E522" t="s">
        <v>21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</row>
    <row r="523" spans="1:20" x14ac:dyDescent="0.25">
      <c r="A523" t="s">
        <v>59</v>
      </c>
      <c r="B523">
        <v>138</v>
      </c>
      <c r="C523">
        <v>510</v>
      </c>
      <c r="D523" t="s">
        <v>21</v>
      </c>
      <c r="E523" t="s">
        <v>21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</row>
    <row r="524" spans="1:20" x14ac:dyDescent="0.25">
      <c r="A524" t="s">
        <v>61</v>
      </c>
      <c r="B524">
        <v>102</v>
      </c>
      <c r="C524">
        <v>415</v>
      </c>
      <c r="D524" t="s">
        <v>21</v>
      </c>
      <c r="E524" t="s">
        <v>21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</row>
    <row r="525" spans="1:20" x14ac:dyDescent="0.25">
      <c r="A525" t="s">
        <v>59</v>
      </c>
      <c r="B525">
        <v>164</v>
      </c>
      <c r="C525">
        <v>510</v>
      </c>
      <c r="D525" t="s">
        <v>21</v>
      </c>
      <c r="E525" t="s">
        <v>21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</row>
    <row r="526" spans="1:20" x14ac:dyDescent="0.25">
      <c r="A526" t="s">
        <v>32</v>
      </c>
      <c r="B526">
        <v>125</v>
      </c>
      <c r="C526">
        <v>415</v>
      </c>
      <c r="D526" t="s">
        <v>21</v>
      </c>
      <c r="E526" t="s">
        <v>21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</row>
    <row r="527" spans="1:20" x14ac:dyDescent="0.25">
      <c r="A527" t="s">
        <v>24</v>
      </c>
      <c r="B527">
        <v>209</v>
      </c>
      <c r="C527">
        <v>510</v>
      </c>
      <c r="D527" t="s">
        <v>21</v>
      </c>
      <c r="E527" t="s">
        <v>21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</row>
    <row r="528" spans="1:20" x14ac:dyDescent="0.25">
      <c r="A528" t="s">
        <v>45</v>
      </c>
      <c r="B528">
        <v>116</v>
      </c>
      <c r="C528">
        <v>408</v>
      </c>
      <c r="D528" t="s">
        <v>21</v>
      </c>
      <c r="E528" t="s">
        <v>27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</row>
    <row r="529" spans="1:20" x14ac:dyDescent="0.25">
      <c r="A529" t="s">
        <v>65</v>
      </c>
      <c r="B529">
        <v>189</v>
      </c>
      <c r="C529">
        <v>415</v>
      </c>
      <c r="D529" t="s">
        <v>21</v>
      </c>
      <c r="E529" t="s">
        <v>27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</row>
    <row r="530" spans="1:20" x14ac:dyDescent="0.25">
      <c r="A530" t="s">
        <v>55</v>
      </c>
      <c r="B530">
        <v>84</v>
      </c>
      <c r="C530">
        <v>510</v>
      </c>
      <c r="D530" t="s">
        <v>21</v>
      </c>
      <c r="E530" t="s">
        <v>21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</row>
    <row r="531" spans="1:20" x14ac:dyDescent="0.25">
      <c r="A531" t="s">
        <v>64</v>
      </c>
      <c r="B531">
        <v>182</v>
      </c>
      <c r="C531">
        <v>415</v>
      </c>
      <c r="D531" t="s">
        <v>21</v>
      </c>
      <c r="E531" t="s">
        <v>21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</row>
    <row r="532" spans="1:20" x14ac:dyDescent="0.25">
      <c r="A532" t="s">
        <v>25</v>
      </c>
      <c r="B532">
        <v>171</v>
      </c>
      <c r="C532">
        <v>510</v>
      </c>
      <c r="D532" t="s">
        <v>21</v>
      </c>
      <c r="E532" t="s">
        <v>21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</row>
    <row r="533" spans="1:20" x14ac:dyDescent="0.25">
      <c r="A533" t="s">
        <v>58</v>
      </c>
      <c r="B533">
        <v>90</v>
      </c>
      <c r="C533">
        <v>415</v>
      </c>
      <c r="D533" t="s">
        <v>21</v>
      </c>
      <c r="E533" t="s">
        <v>21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</row>
    <row r="534" spans="1:20" x14ac:dyDescent="0.25">
      <c r="A534" t="s">
        <v>44</v>
      </c>
      <c r="B534">
        <v>117</v>
      </c>
      <c r="C534">
        <v>510</v>
      </c>
      <c r="D534" t="s">
        <v>21</v>
      </c>
      <c r="E534" t="s">
        <v>21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</row>
    <row r="535" spans="1:20" x14ac:dyDescent="0.25">
      <c r="A535" t="s">
        <v>52</v>
      </c>
      <c r="B535">
        <v>186</v>
      </c>
      <c r="C535">
        <v>510</v>
      </c>
      <c r="D535" t="s">
        <v>21</v>
      </c>
      <c r="E535" t="s">
        <v>21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</row>
    <row r="536" spans="1:20" x14ac:dyDescent="0.25">
      <c r="A536" t="s">
        <v>26</v>
      </c>
      <c r="B536">
        <v>55</v>
      </c>
      <c r="C536">
        <v>408</v>
      </c>
      <c r="D536" t="s">
        <v>21</v>
      </c>
      <c r="E536" t="s">
        <v>27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</row>
    <row r="537" spans="1:20" x14ac:dyDescent="0.25">
      <c r="A537" t="s">
        <v>31</v>
      </c>
      <c r="B537">
        <v>74</v>
      </c>
      <c r="C537">
        <v>408</v>
      </c>
      <c r="D537" t="s">
        <v>21</v>
      </c>
      <c r="E537" t="s">
        <v>21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</row>
    <row r="538" spans="1:20" x14ac:dyDescent="0.25">
      <c r="A538" t="s">
        <v>22</v>
      </c>
      <c r="B538">
        <v>130</v>
      </c>
      <c r="C538">
        <v>408</v>
      </c>
      <c r="D538" t="s">
        <v>21</v>
      </c>
      <c r="E538" t="s">
        <v>21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</row>
    <row r="539" spans="1:20" x14ac:dyDescent="0.25">
      <c r="A539" t="s">
        <v>61</v>
      </c>
      <c r="B539">
        <v>80</v>
      </c>
      <c r="C539">
        <v>408</v>
      </c>
      <c r="D539" t="s">
        <v>21</v>
      </c>
      <c r="E539" t="s">
        <v>21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</row>
    <row r="540" spans="1:20" x14ac:dyDescent="0.25">
      <c r="A540" t="s">
        <v>49</v>
      </c>
      <c r="B540">
        <v>120</v>
      </c>
      <c r="C540">
        <v>415</v>
      </c>
      <c r="D540" t="s">
        <v>21</v>
      </c>
      <c r="E540" t="s">
        <v>21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</row>
    <row r="541" spans="1:20" x14ac:dyDescent="0.25">
      <c r="A541" t="s">
        <v>45</v>
      </c>
      <c r="B541">
        <v>84</v>
      </c>
      <c r="C541">
        <v>408</v>
      </c>
      <c r="D541" t="s">
        <v>21</v>
      </c>
      <c r="E541" t="s">
        <v>27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</row>
    <row r="542" spans="1:20" x14ac:dyDescent="0.25">
      <c r="A542" t="s">
        <v>64</v>
      </c>
      <c r="B542">
        <v>134</v>
      </c>
      <c r="C542">
        <v>510</v>
      </c>
      <c r="D542" t="s">
        <v>21</v>
      </c>
      <c r="E542" t="s">
        <v>27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</row>
    <row r="543" spans="1:20" x14ac:dyDescent="0.25">
      <c r="A543" t="s">
        <v>33</v>
      </c>
      <c r="B543">
        <v>68</v>
      </c>
      <c r="C543">
        <v>415</v>
      </c>
      <c r="D543" t="s">
        <v>21</v>
      </c>
      <c r="E543" t="s">
        <v>21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</row>
    <row r="544" spans="1:20" x14ac:dyDescent="0.25">
      <c r="A544" t="s">
        <v>65</v>
      </c>
      <c r="B544">
        <v>119</v>
      </c>
      <c r="C544">
        <v>408</v>
      </c>
      <c r="D544" t="s">
        <v>21</v>
      </c>
      <c r="E544" t="s">
        <v>21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</row>
    <row r="545" spans="1:20" x14ac:dyDescent="0.25">
      <c r="A545" t="s">
        <v>52</v>
      </c>
      <c r="B545">
        <v>166</v>
      </c>
      <c r="C545">
        <v>415</v>
      </c>
      <c r="D545" t="s">
        <v>27</v>
      </c>
      <c r="E545" t="s">
        <v>27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</row>
    <row r="546" spans="1:20" x14ac:dyDescent="0.25">
      <c r="A546" t="s">
        <v>45</v>
      </c>
      <c r="B546">
        <v>90</v>
      </c>
      <c r="C546">
        <v>415</v>
      </c>
      <c r="D546" t="s">
        <v>21</v>
      </c>
      <c r="E546" t="s">
        <v>27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</row>
    <row r="547" spans="1:20" x14ac:dyDescent="0.25">
      <c r="A547" t="s">
        <v>38</v>
      </c>
      <c r="B547">
        <v>82</v>
      </c>
      <c r="C547">
        <v>415</v>
      </c>
      <c r="D547" t="s">
        <v>21</v>
      </c>
      <c r="E547" t="s">
        <v>27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</row>
    <row r="548" spans="1:20" x14ac:dyDescent="0.25">
      <c r="A548" t="s">
        <v>29</v>
      </c>
      <c r="B548">
        <v>130</v>
      </c>
      <c r="C548">
        <v>415</v>
      </c>
      <c r="D548" t="s">
        <v>21</v>
      </c>
      <c r="E548" t="s">
        <v>21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</row>
    <row r="549" spans="1:20" x14ac:dyDescent="0.25">
      <c r="A549" t="s">
        <v>48</v>
      </c>
      <c r="B549">
        <v>130</v>
      </c>
      <c r="C549">
        <v>408</v>
      </c>
      <c r="D549" t="s">
        <v>21</v>
      </c>
      <c r="E549" t="s">
        <v>21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</row>
    <row r="550" spans="1:20" x14ac:dyDescent="0.25">
      <c r="A550" t="s">
        <v>57</v>
      </c>
      <c r="B550">
        <v>155</v>
      </c>
      <c r="C550">
        <v>408</v>
      </c>
      <c r="D550" t="s">
        <v>27</v>
      </c>
      <c r="E550" t="s">
        <v>21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</row>
    <row r="551" spans="1:20" x14ac:dyDescent="0.25">
      <c r="A551" t="s">
        <v>47</v>
      </c>
      <c r="B551">
        <v>81</v>
      </c>
      <c r="C551">
        <v>415</v>
      </c>
      <c r="D551" t="s">
        <v>21</v>
      </c>
      <c r="E551" t="s">
        <v>21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</row>
    <row r="552" spans="1:20" x14ac:dyDescent="0.25">
      <c r="A552" t="s">
        <v>53</v>
      </c>
      <c r="B552">
        <v>75</v>
      </c>
      <c r="C552">
        <v>408</v>
      </c>
      <c r="D552" t="s">
        <v>21</v>
      </c>
      <c r="E552" t="s">
        <v>21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</row>
    <row r="553" spans="1:20" x14ac:dyDescent="0.25">
      <c r="A553" t="s">
        <v>46</v>
      </c>
      <c r="B553">
        <v>178</v>
      </c>
      <c r="C553">
        <v>415</v>
      </c>
      <c r="D553" t="s">
        <v>21</v>
      </c>
      <c r="E553" t="s">
        <v>27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</row>
    <row r="554" spans="1:20" x14ac:dyDescent="0.25">
      <c r="A554" t="s">
        <v>24</v>
      </c>
      <c r="B554">
        <v>112</v>
      </c>
      <c r="C554">
        <v>415</v>
      </c>
      <c r="D554" t="s">
        <v>21</v>
      </c>
      <c r="E554" t="s">
        <v>21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</row>
    <row r="555" spans="1:20" x14ac:dyDescent="0.25">
      <c r="A555" t="s">
        <v>38</v>
      </c>
      <c r="B555">
        <v>100</v>
      </c>
      <c r="C555">
        <v>510</v>
      </c>
      <c r="D555" t="s">
        <v>21</v>
      </c>
      <c r="E555" t="s">
        <v>21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</row>
    <row r="556" spans="1:20" x14ac:dyDescent="0.25">
      <c r="A556" t="s">
        <v>66</v>
      </c>
      <c r="B556">
        <v>104</v>
      </c>
      <c r="C556">
        <v>415</v>
      </c>
      <c r="D556" t="s">
        <v>21</v>
      </c>
      <c r="E556" t="s">
        <v>21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</row>
    <row r="557" spans="1:20" x14ac:dyDescent="0.25">
      <c r="A557" t="s">
        <v>23</v>
      </c>
      <c r="B557">
        <v>160</v>
      </c>
      <c r="C557">
        <v>408</v>
      </c>
      <c r="D557" t="s">
        <v>21</v>
      </c>
      <c r="E557" t="s">
        <v>21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</row>
    <row r="558" spans="1:20" x14ac:dyDescent="0.25">
      <c r="A558" t="s">
        <v>66</v>
      </c>
      <c r="B558">
        <v>87</v>
      </c>
      <c r="C558">
        <v>415</v>
      </c>
      <c r="D558" t="s">
        <v>21</v>
      </c>
      <c r="E558" t="s">
        <v>21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</row>
    <row r="559" spans="1:20" x14ac:dyDescent="0.25">
      <c r="A559" t="s">
        <v>46</v>
      </c>
      <c r="B559">
        <v>81</v>
      </c>
      <c r="C559">
        <v>415</v>
      </c>
      <c r="D559" t="s">
        <v>21</v>
      </c>
      <c r="E559" t="s">
        <v>21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</row>
    <row r="560" spans="1:20" x14ac:dyDescent="0.25">
      <c r="A560" t="s">
        <v>62</v>
      </c>
      <c r="B560">
        <v>28</v>
      </c>
      <c r="C560">
        <v>415</v>
      </c>
      <c r="D560" t="s">
        <v>21</v>
      </c>
      <c r="E560" t="s">
        <v>21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</row>
    <row r="561" spans="1:20" x14ac:dyDescent="0.25">
      <c r="A561" t="s">
        <v>31</v>
      </c>
      <c r="B561">
        <v>95</v>
      </c>
      <c r="C561">
        <v>408</v>
      </c>
      <c r="D561" t="s">
        <v>21</v>
      </c>
      <c r="E561" t="s">
        <v>21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</row>
    <row r="562" spans="1:20" x14ac:dyDescent="0.25">
      <c r="A562" t="s">
        <v>64</v>
      </c>
      <c r="B562">
        <v>35</v>
      </c>
      <c r="C562">
        <v>408</v>
      </c>
      <c r="D562" t="s">
        <v>21</v>
      </c>
      <c r="E562" t="s">
        <v>21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</row>
    <row r="563" spans="1:20" x14ac:dyDescent="0.25">
      <c r="A563" t="s">
        <v>50</v>
      </c>
      <c r="B563">
        <v>134</v>
      </c>
      <c r="C563">
        <v>510</v>
      </c>
      <c r="D563" t="s">
        <v>21</v>
      </c>
      <c r="E563" t="s">
        <v>21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</row>
    <row r="564" spans="1:20" x14ac:dyDescent="0.25">
      <c r="A564" t="s">
        <v>69</v>
      </c>
      <c r="B564">
        <v>185</v>
      </c>
      <c r="C564">
        <v>415</v>
      </c>
      <c r="D564" t="s">
        <v>21</v>
      </c>
      <c r="E564" t="s">
        <v>27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</row>
    <row r="565" spans="1:20" x14ac:dyDescent="0.25">
      <c r="A565" t="s">
        <v>67</v>
      </c>
      <c r="B565">
        <v>85</v>
      </c>
      <c r="C565">
        <v>408</v>
      </c>
      <c r="D565" t="s">
        <v>21</v>
      </c>
      <c r="E565" t="s">
        <v>21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</row>
    <row r="566" spans="1:20" x14ac:dyDescent="0.25">
      <c r="A566" t="s">
        <v>70</v>
      </c>
      <c r="B566">
        <v>148</v>
      </c>
      <c r="C566">
        <v>415</v>
      </c>
      <c r="D566" t="s">
        <v>21</v>
      </c>
      <c r="E566" t="s">
        <v>27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</row>
    <row r="567" spans="1:20" x14ac:dyDescent="0.25">
      <c r="A567" t="s">
        <v>56</v>
      </c>
      <c r="B567">
        <v>134</v>
      </c>
      <c r="C567">
        <v>408</v>
      </c>
      <c r="D567" t="s">
        <v>21</v>
      </c>
      <c r="E567" t="s">
        <v>27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</row>
    <row r="568" spans="1:20" x14ac:dyDescent="0.25">
      <c r="A568" t="s">
        <v>35</v>
      </c>
      <c r="B568">
        <v>80</v>
      </c>
      <c r="C568">
        <v>408</v>
      </c>
      <c r="D568" t="s">
        <v>21</v>
      </c>
      <c r="E568" t="s">
        <v>27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</row>
    <row r="569" spans="1:20" x14ac:dyDescent="0.25">
      <c r="A569" t="s">
        <v>42</v>
      </c>
      <c r="B569">
        <v>165</v>
      </c>
      <c r="C569">
        <v>510</v>
      </c>
      <c r="D569" t="s">
        <v>21</v>
      </c>
      <c r="E569" t="s">
        <v>21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</row>
    <row r="570" spans="1:20" x14ac:dyDescent="0.25">
      <c r="A570" t="s">
        <v>52</v>
      </c>
      <c r="B570">
        <v>65</v>
      </c>
      <c r="C570">
        <v>415</v>
      </c>
      <c r="D570" t="s">
        <v>21</v>
      </c>
      <c r="E570" t="s">
        <v>27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</row>
    <row r="571" spans="1:20" x14ac:dyDescent="0.25">
      <c r="A571" t="s">
        <v>55</v>
      </c>
      <c r="B571">
        <v>104</v>
      </c>
      <c r="C571">
        <v>415</v>
      </c>
      <c r="D571" t="s">
        <v>21</v>
      </c>
      <c r="E571" t="s">
        <v>21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</row>
    <row r="572" spans="1:20" x14ac:dyDescent="0.25">
      <c r="A572" t="s">
        <v>59</v>
      </c>
      <c r="B572">
        <v>44</v>
      </c>
      <c r="C572">
        <v>415</v>
      </c>
      <c r="D572" t="s">
        <v>21</v>
      </c>
      <c r="E572" t="s">
        <v>21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</row>
    <row r="573" spans="1:20" x14ac:dyDescent="0.25">
      <c r="A573" t="s">
        <v>42</v>
      </c>
      <c r="B573">
        <v>162</v>
      </c>
      <c r="C573">
        <v>415</v>
      </c>
      <c r="D573" t="s">
        <v>21</v>
      </c>
      <c r="E573" t="s">
        <v>21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</row>
    <row r="574" spans="1:20" x14ac:dyDescent="0.25">
      <c r="A574" t="s">
        <v>40</v>
      </c>
      <c r="B574">
        <v>96</v>
      </c>
      <c r="C574">
        <v>415</v>
      </c>
      <c r="D574" t="s">
        <v>21</v>
      </c>
      <c r="E574" t="s">
        <v>21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</row>
    <row r="575" spans="1:20" x14ac:dyDescent="0.25">
      <c r="A575" t="s">
        <v>22</v>
      </c>
      <c r="B575">
        <v>72</v>
      </c>
      <c r="C575">
        <v>510</v>
      </c>
      <c r="D575" t="s">
        <v>21</v>
      </c>
      <c r="E575" t="s">
        <v>21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</row>
    <row r="576" spans="1:20" x14ac:dyDescent="0.25">
      <c r="A576" t="s">
        <v>41</v>
      </c>
      <c r="B576">
        <v>31</v>
      </c>
      <c r="C576">
        <v>415</v>
      </c>
      <c r="D576" t="s">
        <v>21</v>
      </c>
      <c r="E576" t="s">
        <v>21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</row>
    <row r="577" spans="1:20" x14ac:dyDescent="0.25">
      <c r="A577" t="s">
        <v>44</v>
      </c>
      <c r="B577">
        <v>72</v>
      </c>
      <c r="C577">
        <v>415</v>
      </c>
      <c r="D577" t="s">
        <v>21</v>
      </c>
      <c r="E577" t="s">
        <v>21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</row>
    <row r="578" spans="1:20" x14ac:dyDescent="0.25">
      <c r="A578" t="s">
        <v>67</v>
      </c>
      <c r="B578">
        <v>136</v>
      </c>
      <c r="C578">
        <v>408</v>
      </c>
      <c r="D578" t="s">
        <v>21</v>
      </c>
      <c r="E578" t="s">
        <v>21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</row>
    <row r="579" spans="1:20" x14ac:dyDescent="0.25">
      <c r="A579" t="s">
        <v>47</v>
      </c>
      <c r="B579">
        <v>82</v>
      </c>
      <c r="C579">
        <v>415</v>
      </c>
      <c r="D579" t="s">
        <v>21</v>
      </c>
      <c r="E579" t="s">
        <v>27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</row>
    <row r="580" spans="1:20" x14ac:dyDescent="0.25">
      <c r="A580" t="s">
        <v>32</v>
      </c>
      <c r="B580">
        <v>155</v>
      </c>
      <c r="C580">
        <v>408</v>
      </c>
      <c r="D580" t="s">
        <v>27</v>
      </c>
      <c r="E580" t="s">
        <v>21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</row>
    <row r="581" spans="1:20" x14ac:dyDescent="0.25">
      <c r="A581" t="s">
        <v>72</v>
      </c>
      <c r="B581">
        <v>136</v>
      </c>
      <c r="C581">
        <v>415</v>
      </c>
      <c r="D581" t="s">
        <v>21</v>
      </c>
      <c r="E581" t="s">
        <v>21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</row>
    <row r="582" spans="1:20" x14ac:dyDescent="0.25">
      <c r="A582" t="s">
        <v>48</v>
      </c>
      <c r="B582">
        <v>57</v>
      </c>
      <c r="C582">
        <v>415</v>
      </c>
      <c r="D582" t="s">
        <v>21</v>
      </c>
      <c r="E582" t="s">
        <v>21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</row>
    <row r="583" spans="1:20" x14ac:dyDescent="0.25">
      <c r="A583" t="s">
        <v>46</v>
      </c>
      <c r="B583">
        <v>112</v>
      </c>
      <c r="C583">
        <v>415</v>
      </c>
      <c r="D583" t="s">
        <v>21</v>
      </c>
      <c r="E583" t="s">
        <v>21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</row>
    <row r="584" spans="1:20" x14ac:dyDescent="0.25">
      <c r="A584" t="s">
        <v>53</v>
      </c>
      <c r="B584">
        <v>95</v>
      </c>
      <c r="C584">
        <v>408</v>
      </c>
      <c r="D584" t="s">
        <v>21</v>
      </c>
      <c r="E584" t="s">
        <v>21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</row>
    <row r="585" spans="1:20" x14ac:dyDescent="0.25">
      <c r="A585" t="s">
        <v>29</v>
      </c>
      <c r="B585">
        <v>113</v>
      </c>
      <c r="C585">
        <v>415</v>
      </c>
      <c r="D585" t="s">
        <v>21</v>
      </c>
      <c r="E585" t="s">
        <v>27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</row>
    <row r="586" spans="1:20" x14ac:dyDescent="0.25">
      <c r="A586" t="s">
        <v>31</v>
      </c>
      <c r="B586">
        <v>103</v>
      </c>
      <c r="C586">
        <v>415</v>
      </c>
      <c r="D586" t="s">
        <v>21</v>
      </c>
      <c r="E586" t="s">
        <v>21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</row>
    <row r="587" spans="1:20" x14ac:dyDescent="0.25">
      <c r="A587" t="s">
        <v>24</v>
      </c>
      <c r="B587">
        <v>149</v>
      </c>
      <c r="C587">
        <v>415</v>
      </c>
      <c r="D587" t="s">
        <v>21</v>
      </c>
      <c r="E587" t="s">
        <v>27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</row>
    <row r="588" spans="1:20" x14ac:dyDescent="0.25">
      <c r="A588" t="s">
        <v>60</v>
      </c>
      <c r="B588">
        <v>116</v>
      </c>
      <c r="C588">
        <v>408</v>
      </c>
      <c r="D588" t="s">
        <v>21</v>
      </c>
      <c r="E588" t="s">
        <v>21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</row>
    <row r="589" spans="1:20" x14ac:dyDescent="0.25">
      <c r="A589" t="s">
        <v>41</v>
      </c>
      <c r="B589">
        <v>95</v>
      </c>
      <c r="C589">
        <v>510</v>
      </c>
      <c r="D589" t="s">
        <v>21</v>
      </c>
      <c r="E589" t="s">
        <v>21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</row>
    <row r="590" spans="1:20" x14ac:dyDescent="0.25">
      <c r="A590" t="s">
        <v>59</v>
      </c>
      <c r="B590">
        <v>201</v>
      </c>
      <c r="C590">
        <v>510</v>
      </c>
      <c r="D590" t="s">
        <v>21</v>
      </c>
      <c r="E590" t="s">
        <v>21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</row>
    <row r="591" spans="1:20" x14ac:dyDescent="0.25">
      <c r="A591" t="s">
        <v>25</v>
      </c>
      <c r="B591">
        <v>150</v>
      </c>
      <c r="C591">
        <v>415</v>
      </c>
      <c r="D591" t="s">
        <v>21</v>
      </c>
      <c r="E591" t="s">
        <v>21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</row>
    <row r="592" spans="1:20" x14ac:dyDescent="0.25">
      <c r="A592" t="s">
        <v>28</v>
      </c>
      <c r="B592">
        <v>108</v>
      </c>
      <c r="C592">
        <v>408</v>
      </c>
      <c r="D592" t="s">
        <v>27</v>
      </c>
      <c r="E592" t="s">
        <v>21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</row>
    <row r="593" spans="1:20" x14ac:dyDescent="0.25">
      <c r="A593" t="s">
        <v>43</v>
      </c>
      <c r="B593">
        <v>101</v>
      </c>
      <c r="C593">
        <v>415</v>
      </c>
      <c r="D593" t="s">
        <v>27</v>
      </c>
      <c r="E593" t="s">
        <v>21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</row>
    <row r="594" spans="1:20" x14ac:dyDescent="0.25">
      <c r="A594" t="s">
        <v>44</v>
      </c>
      <c r="B594">
        <v>182</v>
      </c>
      <c r="C594">
        <v>415</v>
      </c>
      <c r="D594" t="s">
        <v>21</v>
      </c>
      <c r="E594" t="s">
        <v>27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</row>
    <row r="595" spans="1:20" x14ac:dyDescent="0.25">
      <c r="A595" t="s">
        <v>33</v>
      </c>
      <c r="B595">
        <v>128</v>
      </c>
      <c r="C595">
        <v>408</v>
      </c>
      <c r="D595" t="s">
        <v>21</v>
      </c>
      <c r="E595" t="s">
        <v>21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</row>
    <row r="596" spans="1:20" x14ac:dyDescent="0.25">
      <c r="A596" t="s">
        <v>30</v>
      </c>
      <c r="B596">
        <v>113</v>
      </c>
      <c r="C596">
        <v>408</v>
      </c>
      <c r="D596" t="s">
        <v>21</v>
      </c>
      <c r="E596" t="s">
        <v>27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</row>
    <row r="597" spans="1:20" x14ac:dyDescent="0.25">
      <c r="A597" t="s">
        <v>57</v>
      </c>
      <c r="B597">
        <v>76</v>
      </c>
      <c r="C597">
        <v>415</v>
      </c>
      <c r="D597" t="s">
        <v>21</v>
      </c>
      <c r="E597" t="s">
        <v>21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</row>
    <row r="598" spans="1:20" x14ac:dyDescent="0.25">
      <c r="A598" t="s">
        <v>65</v>
      </c>
      <c r="B598">
        <v>204</v>
      </c>
      <c r="C598">
        <v>510</v>
      </c>
      <c r="D598" t="s">
        <v>21</v>
      </c>
      <c r="E598" t="s">
        <v>21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</row>
    <row r="599" spans="1:20" x14ac:dyDescent="0.25">
      <c r="A599" t="s">
        <v>42</v>
      </c>
      <c r="B599">
        <v>32</v>
      </c>
      <c r="C599">
        <v>415</v>
      </c>
      <c r="D599" t="s">
        <v>21</v>
      </c>
      <c r="E599" t="s">
        <v>27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</row>
    <row r="600" spans="1:20" x14ac:dyDescent="0.25">
      <c r="A600" t="s">
        <v>37</v>
      </c>
      <c r="B600">
        <v>103</v>
      </c>
      <c r="C600">
        <v>415</v>
      </c>
      <c r="D600" t="s">
        <v>21</v>
      </c>
      <c r="E600" t="s">
        <v>27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</row>
    <row r="601" spans="1:20" x14ac:dyDescent="0.25">
      <c r="A601" t="s">
        <v>59</v>
      </c>
      <c r="B601">
        <v>148</v>
      </c>
      <c r="C601">
        <v>510</v>
      </c>
      <c r="D601" t="s">
        <v>21</v>
      </c>
      <c r="E601" t="s">
        <v>21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</row>
    <row r="602" spans="1:20" x14ac:dyDescent="0.25">
      <c r="A602" t="s">
        <v>37</v>
      </c>
      <c r="B602">
        <v>57</v>
      </c>
      <c r="C602">
        <v>415</v>
      </c>
      <c r="D602" t="s">
        <v>21</v>
      </c>
      <c r="E602" t="s">
        <v>21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</row>
    <row r="603" spans="1:20" x14ac:dyDescent="0.25">
      <c r="A603" t="s">
        <v>36</v>
      </c>
      <c r="B603">
        <v>64</v>
      </c>
      <c r="C603">
        <v>415</v>
      </c>
      <c r="D603" t="s">
        <v>27</v>
      </c>
      <c r="E603" t="s">
        <v>21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</row>
    <row r="604" spans="1:20" x14ac:dyDescent="0.25">
      <c r="A604" t="s">
        <v>61</v>
      </c>
      <c r="B604">
        <v>70</v>
      </c>
      <c r="C604">
        <v>415</v>
      </c>
      <c r="D604" t="s">
        <v>21</v>
      </c>
      <c r="E604" t="s">
        <v>21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</row>
    <row r="605" spans="1:20" x14ac:dyDescent="0.25">
      <c r="A605" t="s">
        <v>35</v>
      </c>
      <c r="B605">
        <v>142</v>
      </c>
      <c r="C605">
        <v>408</v>
      </c>
      <c r="D605" t="s">
        <v>21</v>
      </c>
      <c r="E605" t="s">
        <v>21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</row>
    <row r="606" spans="1:20" x14ac:dyDescent="0.25">
      <c r="A606" t="s">
        <v>38</v>
      </c>
      <c r="B606">
        <v>88</v>
      </c>
      <c r="C606">
        <v>415</v>
      </c>
      <c r="D606" t="s">
        <v>21</v>
      </c>
      <c r="E606" t="s">
        <v>21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</row>
    <row r="607" spans="1:20" x14ac:dyDescent="0.25">
      <c r="A607" t="s">
        <v>63</v>
      </c>
      <c r="B607">
        <v>131</v>
      </c>
      <c r="C607">
        <v>510</v>
      </c>
      <c r="D607" t="s">
        <v>21</v>
      </c>
      <c r="E607" t="s">
        <v>21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</row>
    <row r="608" spans="1:20" x14ac:dyDescent="0.25">
      <c r="A608" t="s">
        <v>37</v>
      </c>
      <c r="B608">
        <v>130</v>
      </c>
      <c r="C608">
        <v>408</v>
      </c>
      <c r="D608" t="s">
        <v>21</v>
      </c>
      <c r="E608" t="s">
        <v>21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</row>
    <row r="609" spans="1:20" x14ac:dyDescent="0.25">
      <c r="A609" t="s">
        <v>47</v>
      </c>
      <c r="B609">
        <v>166</v>
      </c>
      <c r="C609">
        <v>510</v>
      </c>
      <c r="D609" t="s">
        <v>21</v>
      </c>
      <c r="E609" t="s">
        <v>21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</row>
    <row r="610" spans="1:20" x14ac:dyDescent="0.25">
      <c r="A610" t="s">
        <v>49</v>
      </c>
      <c r="B610">
        <v>130</v>
      </c>
      <c r="C610">
        <v>510</v>
      </c>
      <c r="D610" t="s">
        <v>21</v>
      </c>
      <c r="E610" t="s">
        <v>21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</row>
    <row r="611" spans="1:20" x14ac:dyDescent="0.25">
      <c r="A611" t="s">
        <v>24</v>
      </c>
      <c r="B611">
        <v>111</v>
      </c>
      <c r="C611">
        <v>510</v>
      </c>
      <c r="D611" t="s">
        <v>21</v>
      </c>
      <c r="E611" t="s">
        <v>21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</row>
    <row r="612" spans="1:20" x14ac:dyDescent="0.25">
      <c r="A612" t="s">
        <v>22</v>
      </c>
      <c r="B612">
        <v>100</v>
      </c>
      <c r="C612">
        <v>415</v>
      </c>
      <c r="D612" t="s">
        <v>21</v>
      </c>
      <c r="E612" t="s">
        <v>27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</row>
    <row r="613" spans="1:20" x14ac:dyDescent="0.25">
      <c r="A613" t="s">
        <v>62</v>
      </c>
      <c r="B613">
        <v>57</v>
      </c>
      <c r="C613">
        <v>415</v>
      </c>
      <c r="D613" t="s">
        <v>21</v>
      </c>
      <c r="E613" t="s">
        <v>21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</row>
    <row r="614" spans="1:20" x14ac:dyDescent="0.25">
      <c r="A614" t="s">
        <v>58</v>
      </c>
      <c r="B614">
        <v>139</v>
      </c>
      <c r="C614">
        <v>408</v>
      </c>
      <c r="D614" t="s">
        <v>21</v>
      </c>
      <c r="E614" t="s">
        <v>21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</row>
    <row r="615" spans="1:20" x14ac:dyDescent="0.25">
      <c r="A615" t="s">
        <v>47</v>
      </c>
      <c r="B615">
        <v>113</v>
      </c>
      <c r="C615">
        <v>415</v>
      </c>
      <c r="D615" t="s">
        <v>21</v>
      </c>
      <c r="E615" t="s">
        <v>21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</row>
    <row r="616" spans="1:20" x14ac:dyDescent="0.25">
      <c r="A616" t="s">
        <v>64</v>
      </c>
      <c r="B616">
        <v>108</v>
      </c>
      <c r="C616">
        <v>415</v>
      </c>
      <c r="D616" t="s">
        <v>21</v>
      </c>
      <c r="E616" t="s">
        <v>21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</row>
    <row r="617" spans="1:20" x14ac:dyDescent="0.25">
      <c r="A617" t="s">
        <v>34</v>
      </c>
      <c r="B617">
        <v>100</v>
      </c>
      <c r="C617">
        <v>415</v>
      </c>
      <c r="D617" t="s">
        <v>21</v>
      </c>
      <c r="E617" t="s">
        <v>21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</row>
    <row r="618" spans="1:20" x14ac:dyDescent="0.25">
      <c r="A618" t="s">
        <v>66</v>
      </c>
      <c r="B618">
        <v>120</v>
      </c>
      <c r="C618">
        <v>510</v>
      </c>
      <c r="D618" t="s">
        <v>21</v>
      </c>
      <c r="E618" t="s">
        <v>21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</row>
    <row r="619" spans="1:20" x14ac:dyDescent="0.25">
      <c r="A619" t="s">
        <v>64</v>
      </c>
      <c r="B619">
        <v>107</v>
      </c>
      <c r="C619">
        <v>408</v>
      </c>
      <c r="D619" t="s">
        <v>21</v>
      </c>
      <c r="E619" t="s">
        <v>27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</row>
    <row r="620" spans="1:20" x14ac:dyDescent="0.25">
      <c r="A620" t="s">
        <v>22</v>
      </c>
      <c r="B620">
        <v>104</v>
      </c>
      <c r="C620">
        <v>408</v>
      </c>
      <c r="D620" t="s">
        <v>21</v>
      </c>
      <c r="E620" t="s">
        <v>21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</row>
    <row r="621" spans="1:20" x14ac:dyDescent="0.25">
      <c r="A621" t="s">
        <v>46</v>
      </c>
      <c r="B621">
        <v>62</v>
      </c>
      <c r="C621">
        <v>415</v>
      </c>
      <c r="D621" t="s">
        <v>21</v>
      </c>
      <c r="E621" t="s">
        <v>21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</row>
    <row r="622" spans="1:20" x14ac:dyDescent="0.25">
      <c r="A622" t="s">
        <v>34</v>
      </c>
      <c r="B622">
        <v>34</v>
      </c>
      <c r="C622">
        <v>415</v>
      </c>
      <c r="D622" t="s">
        <v>21</v>
      </c>
      <c r="E622" t="s">
        <v>27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</row>
    <row r="623" spans="1:20" x14ac:dyDescent="0.25">
      <c r="A623" t="s">
        <v>46</v>
      </c>
      <c r="B623">
        <v>183</v>
      </c>
      <c r="C623">
        <v>415</v>
      </c>
      <c r="D623" t="s">
        <v>21</v>
      </c>
      <c r="E623" t="s">
        <v>21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</row>
    <row r="624" spans="1:20" x14ac:dyDescent="0.25">
      <c r="A624" t="s">
        <v>63</v>
      </c>
      <c r="B624">
        <v>123</v>
      </c>
      <c r="C624">
        <v>408</v>
      </c>
      <c r="D624" t="s">
        <v>21</v>
      </c>
      <c r="E624" t="s">
        <v>21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</row>
    <row r="625" spans="1:20" x14ac:dyDescent="0.25">
      <c r="A625" t="s">
        <v>22</v>
      </c>
      <c r="B625">
        <v>64</v>
      </c>
      <c r="C625">
        <v>408</v>
      </c>
      <c r="D625" t="s">
        <v>21</v>
      </c>
      <c r="E625" t="s">
        <v>21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</row>
    <row r="626" spans="1:20" x14ac:dyDescent="0.25">
      <c r="A626" t="s">
        <v>68</v>
      </c>
      <c r="B626">
        <v>27</v>
      </c>
      <c r="C626">
        <v>415</v>
      </c>
      <c r="D626" t="s">
        <v>21</v>
      </c>
      <c r="E626" t="s">
        <v>21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</row>
    <row r="627" spans="1:20" x14ac:dyDescent="0.25">
      <c r="A627" t="s">
        <v>45</v>
      </c>
      <c r="B627">
        <v>123</v>
      </c>
      <c r="C627">
        <v>408</v>
      </c>
      <c r="D627" t="s">
        <v>21</v>
      </c>
      <c r="E627" t="s">
        <v>21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</row>
    <row r="628" spans="1:20" x14ac:dyDescent="0.25">
      <c r="A628" t="s">
        <v>46</v>
      </c>
      <c r="B628">
        <v>84</v>
      </c>
      <c r="C628">
        <v>408</v>
      </c>
      <c r="D628" t="s">
        <v>21</v>
      </c>
      <c r="E628" t="s">
        <v>27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</row>
    <row r="629" spans="1:20" x14ac:dyDescent="0.25">
      <c r="A629" t="s">
        <v>20</v>
      </c>
      <c r="B629">
        <v>91</v>
      </c>
      <c r="C629">
        <v>415</v>
      </c>
      <c r="D629" t="s">
        <v>21</v>
      </c>
      <c r="E629" t="s">
        <v>21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</row>
    <row r="630" spans="1:20" x14ac:dyDescent="0.25">
      <c r="A630" t="s">
        <v>36</v>
      </c>
      <c r="B630">
        <v>95</v>
      </c>
      <c r="C630">
        <v>510</v>
      </c>
      <c r="D630" t="s">
        <v>21</v>
      </c>
      <c r="E630" t="s">
        <v>21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</row>
    <row r="631" spans="1:20" x14ac:dyDescent="0.25">
      <c r="A631" t="s">
        <v>66</v>
      </c>
      <c r="B631">
        <v>73</v>
      </c>
      <c r="C631">
        <v>415</v>
      </c>
      <c r="D631" t="s">
        <v>21</v>
      </c>
      <c r="E631" t="s">
        <v>21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</row>
    <row r="632" spans="1:20" x14ac:dyDescent="0.25">
      <c r="A632" t="s">
        <v>66</v>
      </c>
      <c r="B632">
        <v>58</v>
      </c>
      <c r="C632">
        <v>408</v>
      </c>
      <c r="D632" t="s">
        <v>21</v>
      </c>
      <c r="E632" t="s">
        <v>27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</row>
    <row r="633" spans="1:20" x14ac:dyDescent="0.25">
      <c r="A633" t="s">
        <v>71</v>
      </c>
      <c r="B633">
        <v>88</v>
      </c>
      <c r="C633">
        <v>415</v>
      </c>
      <c r="D633" t="s">
        <v>21</v>
      </c>
      <c r="E633" t="s">
        <v>21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</row>
    <row r="634" spans="1:20" x14ac:dyDescent="0.25">
      <c r="A634" t="s">
        <v>41</v>
      </c>
      <c r="B634">
        <v>67</v>
      </c>
      <c r="C634">
        <v>415</v>
      </c>
      <c r="D634" t="s">
        <v>21</v>
      </c>
      <c r="E634" t="s">
        <v>27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</row>
    <row r="635" spans="1:20" x14ac:dyDescent="0.25">
      <c r="A635" t="s">
        <v>40</v>
      </c>
      <c r="B635">
        <v>152</v>
      </c>
      <c r="C635">
        <v>510</v>
      </c>
      <c r="D635" t="s">
        <v>21</v>
      </c>
      <c r="E635" t="s">
        <v>21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</row>
    <row r="636" spans="1:20" x14ac:dyDescent="0.25">
      <c r="A636" t="s">
        <v>67</v>
      </c>
      <c r="B636">
        <v>142</v>
      </c>
      <c r="C636">
        <v>510</v>
      </c>
      <c r="D636" t="s">
        <v>21</v>
      </c>
      <c r="E636" t="s">
        <v>27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</row>
    <row r="637" spans="1:20" x14ac:dyDescent="0.25">
      <c r="A637" t="s">
        <v>29</v>
      </c>
      <c r="B637">
        <v>105</v>
      </c>
      <c r="C637">
        <v>408</v>
      </c>
      <c r="D637" t="s">
        <v>21</v>
      </c>
      <c r="E637" t="s">
        <v>21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</row>
    <row r="638" spans="1:20" x14ac:dyDescent="0.25">
      <c r="A638" t="s">
        <v>61</v>
      </c>
      <c r="B638">
        <v>93</v>
      </c>
      <c r="C638">
        <v>408</v>
      </c>
      <c r="D638" t="s">
        <v>21</v>
      </c>
      <c r="E638" t="s">
        <v>27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</row>
    <row r="639" spans="1:20" x14ac:dyDescent="0.25">
      <c r="A639" t="s">
        <v>36</v>
      </c>
      <c r="B639">
        <v>79</v>
      </c>
      <c r="C639">
        <v>415</v>
      </c>
      <c r="D639" t="s">
        <v>21</v>
      </c>
      <c r="E639" t="s">
        <v>21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</row>
    <row r="640" spans="1:20" x14ac:dyDescent="0.25">
      <c r="A640" t="s">
        <v>24</v>
      </c>
      <c r="B640">
        <v>88</v>
      </c>
      <c r="C640">
        <v>408</v>
      </c>
      <c r="D640" t="s">
        <v>21</v>
      </c>
      <c r="E640" t="s">
        <v>21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</row>
    <row r="641" spans="1:20" x14ac:dyDescent="0.25">
      <c r="A641" t="s">
        <v>53</v>
      </c>
      <c r="B641">
        <v>110</v>
      </c>
      <c r="C641">
        <v>408</v>
      </c>
      <c r="D641" t="s">
        <v>21</v>
      </c>
      <c r="E641" t="s">
        <v>21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</row>
    <row r="642" spans="1:20" x14ac:dyDescent="0.25">
      <c r="A642" t="s">
        <v>23</v>
      </c>
      <c r="B642">
        <v>209</v>
      </c>
      <c r="C642">
        <v>415</v>
      </c>
      <c r="D642" t="s">
        <v>21</v>
      </c>
      <c r="E642" t="s">
        <v>21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</row>
    <row r="643" spans="1:20" x14ac:dyDescent="0.25">
      <c r="A643" t="s">
        <v>47</v>
      </c>
      <c r="B643">
        <v>27</v>
      </c>
      <c r="C643">
        <v>510</v>
      </c>
      <c r="D643" t="s">
        <v>21</v>
      </c>
      <c r="E643" t="s">
        <v>21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</row>
    <row r="644" spans="1:20" x14ac:dyDescent="0.25">
      <c r="A644" t="s">
        <v>63</v>
      </c>
      <c r="B644">
        <v>117</v>
      </c>
      <c r="C644">
        <v>415</v>
      </c>
      <c r="D644" t="s">
        <v>21</v>
      </c>
      <c r="E644" t="s">
        <v>21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</row>
    <row r="645" spans="1:20" x14ac:dyDescent="0.25">
      <c r="A645" t="s">
        <v>35</v>
      </c>
      <c r="B645">
        <v>87</v>
      </c>
      <c r="C645">
        <v>408</v>
      </c>
      <c r="D645" t="s">
        <v>21</v>
      </c>
      <c r="E645" t="s">
        <v>21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</row>
    <row r="646" spans="1:20" x14ac:dyDescent="0.25">
      <c r="A646" t="s">
        <v>56</v>
      </c>
      <c r="B646">
        <v>129</v>
      </c>
      <c r="C646">
        <v>510</v>
      </c>
      <c r="D646" t="s">
        <v>21</v>
      </c>
      <c r="E646" t="s">
        <v>27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</row>
    <row r="647" spans="1:20" x14ac:dyDescent="0.25">
      <c r="A647" t="s">
        <v>31</v>
      </c>
      <c r="B647">
        <v>142</v>
      </c>
      <c r="C647">
        <v>510</v>
      </c>
      <c r="D647" t="s">
        <v>21</v>
      </c>
      <c r="E647" t="s">
        <v>21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</row>
    <row r="648" spans="1:20" x14ac:dyDescent="0.25">
      <c r="A648" t="s">
        <v>55</v>
      </c>
      <c r="B648">
        <v>112</v>
      </c>
      <c r="C648">
        <v>415</v>
      </c>
      <c r="D648" t="s">
        <v>21</v>
      </c>
      <c r="E648" t="s">
        <v>21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</row>
    <row r="649" spans="1:20" x14ac:dyDescent="0.25">
      <c r="A649" t="s">
        <v>38</v>
      </c>
      <c r="B649">
        <v>97</v>
      </c>
      <c r="C649">
        <v>408</v>
      </c>
      <c r="D649" t="s">
        <v>21</v>
      </c>
      <c r="E649" t="s">
        <v>27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</row>
    <row r="650" spans="1:20" x14ac:dyDescent="0.25">
      <c r="A650" t="s">
        <v>52</v>
      </c>
      <c r="B650">
        <v>101</v>
      </c>
      <c r="C650">
        <v>415</v>
      </c>
      <c r="D650" t="s">
        <v>21</v>
      </c>
      <c r="E650" t="s">
        <v>21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</row>
    <row r="651" spans="1:20" x14ac:dyDescent="0.25">
      <c r="A651" t="s">
        <v>52</v>
      </c>
      <c r="B651">
        <v>127</v>
      </c>
      <c r="C651">
        <v>415</v>
      </c>
      <c r="D651" t="s">
        <v>21</v>
      </c>
      <c r="E651" t="s">
        <v>27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</row>
    <row r="652" spans="1:20" x14ac:dyDescent="0.25">
      <c r="A652" t="s">
        <v>50</v>
      </c>
      <c r="B652">
        <v>148</v>
      </c>
      <c r="C652">
        <v>408</v>
      </c>
      <c r="D652" t="s">
        <v>21</v>
      </c>
      <c r="E652" t="s">
        <v>21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</row>
    <row r="653" spans="1:20" x14ac:dyDescent="0.25">
      <c r="A653" t="s">
        <v>55</v>
      </c>
      <c r="B653">
        <v>138</v>
      </c>
      <c r="C653">
        <v>510</v>
      </c>
      <c r="D653" t="s">
        <v>21</v>
      </c>
      <c r="E653" t="s">
        <v>27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</row>
    <row r="654" spans="1:20" x14ac:dyDescent="0.25">
      <c r="A654" t="s">
        <v>40</v>
      </c>
      <c r="B654">
        <v>84</v>
      </c>
      <c r="C654">
        <v>415</v>
      </c>
      <c r="D654" t="s">
        <v>21</v>
      </c>
      <c r="E654" t="s">
        <v>21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</row>
    <row r="655" spans="1:20" x14ac:dyDescent="0.25">
      <c r="A655" t="s">
        <v>65</v>
      </c>
      <c r="B655">
        <v>133</v>
      </c>
      <c r="C655">
        <v>510</v>
      </c>
      <c r="D655" t="s">
        <v>21</v>
      </c>
      <c r="E655" t="s">
        <v>21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</row>
    <row r="656" spans="1:20" x14ac:dyDescent="0.25">
      <c r="A656" t="s">
        <v>23</v>
      </c>
      <c r="B656">
        <v>120</v>
      </c>
      <c r="C656">
        <v>510</v>
      </c>
      <c r="D656" t="s">
        <v>21</v>
      </c>
      <c r="E656" t="s">
        <v>27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</row>
    <row r="657" spans="1:20" x14ac:dyDescent="0.25">
      <c r="A657" t="s">
        <v>31</v>
      </c>
      <c r="B657">
        <v>87</v>
      </c>
      <c r="C657">
        <v>415</v>
      </c>
      <c r="D657" t="s">
        <v>21</v>
      </c>
      <c r="E657" t="s">
        <v>21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</row>
    <row r="658" spans="1:20" x14ac:dyDescent="0.25">
      <c r="A658" t="s">
        <v>26</v>
      </c>
      <c r="B658">
        <v>99</v>
      </c>
      <c r="C658">
        <v>510</v>
      </c>
      <c r="D658" t="s">
        <v>21</v>
      </c>
      <c r="E658" t="s">
        <v>21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</row>
    <row r="659" spans="1:20" x14ac:dyDescent="0.25">
      <c r="A659" t="s">
        <v>38</v>
      </c>
      <c r="B659">
        <v>48</v>
      </c>
      <c r="C659">
        <v>415</v>
      </c>
      <c r="D659" t="s">
        <v>21</v>
      </c>
      <c r="E659" t="s">
        <v>27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</row>
    <row r="660" spans="1:20" x14ac:dyDescent="0.25">
      <c r="A660" t="s">
        <v>52</v>
      </c>
      <c r="B660">
        <v>57</v>
      </c>
      <c r="C660">
        <v>415</v>
      </c>
      <c r="D660" t="s">
        <v>21</v>
      </c>
      <c r="E660" t="s">
        <v>21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</row>
    <row r="661" spans="1:20" x14ac:dyDescent="0.25">
      <c r="A661" t="s">
        <v>39</v>
      </c>
      <c r="B661">
        <v>127</v>
      </c>
      <c r="C661">
        <v>510</v>
      </c>
      <c r="D661" t="s">
        <v>21</v>
      </c>
      <c r="E661" t="s">
        <v>21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</row>
    <row r="662" spans="1:20" x14ac:dyDescent="0.25">
      <c r="A662" t="s">
        <v>22</v>
      </c>
      <c r="B662">
        <v>114</v>
      </c>
      <c r="C662">
        <v>408</v>
      </c>
      <c r="D662" t="s">
        <v>21</v>
      </c>
      <c r="E662" t="s">
        <v>21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</row>
    <row r="663" spans="1:20" x14ac:dyDescent="0.25">
      <c r="A663" t="s">
        <v>39</v>
      </c>
      <c r="B663">
        <v>84</v>
      </c>
      <c r="C663">
        <v>415</v>
      </c>
      <c r="D663" t="s">
        <v>21</v>
      </c>
      <c r="E663" t="s">
        <v>21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</row>
    <row r="664" spans="1:20" x14ac:dyDescent="0.25">
      <c r="A664" t="s">
        <v>31</v>
      </c>
      <c r="B664">
        <v>114</v>
      </c>
      <c r="C664">
        <v>415</v>
      </c>
      <c r="D664" t="s">
        <v>21</v>
      </c>
      <c r="E664" t="s">
        <v>27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</row>
    <row r="665" spans="1:20" x14ac:dyDescent="0.25">
      <c r="A665" t="s">
        <v>44</v>
      </c>
      <c r="B665">
        <v>106</v>
      </c>
      <c r="C665">
        <v>408</v>
      </c>
      <c r="D665" t="s">
        <v>21</v>
      </c>
      <c r="E665" t="s">
        <v>27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</row>
    <row r="666" spans="1:20" x14ac:dyDescent="0.25">
      <c r="A666" t="s">
        <v>33</v>
      </c>
      <c r="B666">
        <v>60</v>
      </c>
      <c r="C666">
        <v>415</v>
      </c>
      <c r="D666" t="s">
        <v>21</v>
      </c>
      <c r="E666" t="s">
        <v>21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</row>
    <row r="667" spans="1:20" x14ac:dyDescent="0.25">
      <c r="A667" t="s">
        <v>66</v>
      </c>
      <c r="B667">
        <v>159</v>
      </c>
      <c r="C667">
        <v>415</v>
      </c>
      <c r="D667" t="s">
        <v>21</v>
      </c>
      <c r="E667" t="s">
        <v>21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</row>
    <row r="668" spans="1:20" x14ac:dyDescent="0.25">
      <c r="A668" t="s">
        <v>56</v>
      </c>
      <c r="B668">
        <v>184</v>
      </c>
      <c r="C668">
        <v>510</v>
      </c>
      <c r="D668" t="s">
        <v>27</v>
      </c>
      <c r="E668" t="s">
        <v>21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A56E-1FAB-4D61-AA31-D0542CCAD7C1}">
  <dimension ref="A1:T669"/>
  <sheetViews>
    <sheetView workbookViewId="0">
      <selection activeCell="G5" sqref="G5"/>
    </sheetView>
  </sheetViews>
  <sheetFormatPr defaultRowHeight="15" x14ac:dyDescent="0.25"/>
  <cols>
    <col min="2" max="2" width="16.7109375" bestFit="1" customWidth="1"/>
    <col min="4" max="4" width="17" bestFit="1" customWidth="1"/>
    <col min="5" max="5" width="14.7109375" bestFit="1" customWidth="1"/>
    <col min="6" max="6" width="23" bestFit="1" customWidth="1"/>
    <col min="7" max="7" width="19.140625" bestFit="1" customWidth="1"/>
    <col min="8" max="8" width="13.42578125" bestFit="1" customWidth="1"/>
    <col min="9" max="9" width="15.42578125" bestFit="1" customWidth="1"/>
    <col min="10" max="10" width="17" bestFit="1" customWidth="1"/>
    <col min="11" max="11" width="13.5703125" bestFit="1" customWidth="1"/>
    <col min="12" max="12" width="15.5703125" bestFit="1" customWidth="1"/>
    <col min="13" max="13" width="18.42578125" bestFit="1" customWidth="1"/>
    <col min="14" max="14" width="14.85546875" bestFit="1" customWidth="1"/>
    <col min="15" max="15" width="16.85546875" bestFit="1" customWidth="1"/>
    <col min="16" max="16" width="16.7109375" bestFit="1" customWidth="1"/>
    <col min="17" max="17" width="13.28515625" bestFit="1" customWidth="1"/>
    <col min="18" max="18" width="15.28515625" bestFit="1" customWidth="1"/>
    <col min="19" max="19" width="20.85546875" bestFit="1" customWidth="1"/>
    <col min="20" max="20" width="6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</row>
    <row r="3" spans="1:20" x14ac:dyDescent="0.25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</row>
    <row r="4" spans="1:20" x14ac:dyDescent="0.25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</row>
    <row r="5" spans="1:20" x14ac:dyDescent="0.25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</row>
    <row r="6" spans="1:20" x14ac:dyDescent="0.25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</row>
    <row r="7" spans="1:20" x14ac:dyDescent="0.25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</row>
    <row r="8" spans="1:20" x14ac:dyDescent="0.25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</row>
    <row r="9" spans="1:20" x14ac:dyDescent="0.25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</row>
    <row r="10" spans="1:20" x14ac:dyDescent="0.25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</row>
    <row r="11" spans="1:20" x14ac:dyDescent="0.25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</row>
    <row r="12" spans="1:20" x14ac:dyDescent="0.25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</row>
    <row r="13" spans="1:20" x14ac:dyDescent="0.25">
      <c r="A13" t="s">
        <v>25</v>
      </c>
      <c r="B13">
        <v>85</v>
      </c>
      <c r="C13">
        <v>415</v>
      </c>
      <c r="D13" t="s">
        <v>21</v>
      </c>
      <c r="E13" t="s">
        <v>21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</row>
    <row r="14" spans="1:20" x14ac:dyDescent="0.25">
      <c r="A14" t="s">
        <v>32</v>
      </c>
      <c r="B14">
        <v>46</v>
      </c>
      <c r="C14">
        <v>415</v>
      </c>
      <c r="D14" t="s">
        <v>21</v>
      </c>
      <c r="E14" t="s">
        <v>21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</row>
    <row r="15" spans="1:20" x14ac:dyDescent="0.25">
      <c r="A15" t="s">
        <v>33</v>
      </c>
      <c r="B15">
        <v>128</v>
      </c>
      <c r="C15">
        <v>510</v>
      </c>
      <c r="D15" t="s">
        <v>21</v>
      </c>
      <c r="E15" t="s">
        <v>27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</row>
    <row r="16" spans="1:20" x14ac:dyDescent="0.25">
      <c r="A16" t="s">
        <v>20</v>
      </c>
      <c r="B16">
        <v>155</v>
      </c>
      <c r="C16">
        <v>415</v>
      </c>
      <c r="D16" t="s">
        <v>21</v>
      </c>
      <c r="E16" t="s">
        <v>21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</row>
    <row r="17" spans="1:20" x14ac:dyDescent="0.25">
      <c r="A17" t="s">
        <v>34</v>
      </c>
      <c r="B17">
        <v>73</v>
      </c>
      <c r="C17">
        <v>415</v>
      </c>
      <c r="D17" t="s">
        <v>21</v>
      </c>
      <c r="E17" t="s">
        <v>21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</row>
    <row r="18" spans="1:20" x14ac:dyDescent="0.25">
      <c r="A18" t="s">
        <v>29</v>
      </c>
      <c r="B18">
        <v>77</v>
      </c>
      <c r="C18">
        <v>415</v>
      </c>
      <c r="D18" t="s">
        <v>21</v>
      </c>
      <c r="E18" t="s">
        <v>21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</row>
    <row r="19" spans="1:20" x14ac:dyDescent="0.25">
      <c r="A19" t="s">
        <v>35</v>
      </c>
      <c r="B19">
        <v>108</v>
      </c>
      <c r="C19">
        <v>415</v>
      </c>
      <c r="D19" t="s">
        <v>21</v>
      </c>
      <c r="E19" t="s">
        <v>21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</row>
    <row r="20" spans="1:20" x14ac:dyDescent="0.25">
      <c r="A20" t="s">
        <v>36</v>
      </c>
      <c r="B20">
        <v>95</v>
      </c>
      <c r="C20">
        <v>408</v>
      </c>
      <c r="D20" t="s">
        <v>21</v>
      </c>
      <c r="E20" t="s">
        <v>21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</row>
    <row r="21" spans="1:20" x14ac:dyDescent="0.25">
      <c r="A21" t="s">
        <v>28</v>
      </c>
      <c r="B21">
        <v>36</v>
      </c>
      <c r="C21">
        <v>510</v>
      </c>
      <c r="D21" t="s">
        <v>21</v>
      </c>
      <c r="E21" t="s">
        <v>27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</row>
    <row r="22" spans="1:20" x14ac:dyDescent="0.25">
      <c r="A22" t="s">
        <v>37</v>
      </c>
      <c r="B22">
        <v>141</v>
      </c>
      <c r="C22">
        <v>415</v>
      </c>
      <c r="D22" t="s">
        <v>21</v>
      </c>
      <c r="E22" t="s">
        <v>27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</row>
    <row r="23" spans="1:20" x14ac:dyDescent="0.25">
      <c r="A23" t="s">
        <v>38</v>
      </c>
      <c r="B23">
        <v>63</v>
      </c>
      <c r="C23">
        <v>415</v>
      </c>
      <c r="D23" t="s">
        <v>21</v>
      </c>
      <c r="E23" t="s">
        <v>21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</row>
    <row r="24" spans="1:20" x14ac:dyDescent="0.25">
      <c r="A24" t="s">
        <v>29</v>
      </c>
      <c r="B24">
        <v>97</v>
      </c>
      <c r="C24">
        <v>408</v>
      </c>
      <c r="D24" t="s">
        <v>21</v>
      </c>
      <c r="E24" t="s">
        <v>21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</row>
    <row r="25" spans="1:20" x14ac:dyDescent="0.25">
      <c r="A25" t="s">
        <v>39</v>
      </c>
      <c r="B25">
        <v>75</v>
      </c>
      <c r="C25">
        <v>408</v>
      </c>
      <c r="D25" t="s">
        <v>21</v>
      </c>
      <c r="E25" t="s">
        <v>21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</row>
    <row r="26" spans="1:20" x14ac:dyDescent="0.25">
      <c r="A26" t="s">
        <v>40</v>
      </c>
      <c r="B26">
        <v>127</v>
      </c>
      <c r="C26">
        <v>408</v>
      </c>
      <c r="D26" t="s">
        <v>21</v>
      </c>
      <c r="E26" t="s">
        <v>21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</row>
    <row r="27" spans="1:20" x14ac:dyDescent="0.25">
      <c r="A27" t="s">
        <v>20</v>
      </c>
      <c r="B27">
        <v>121</v>
      </c>
      <c r="C27">
        <v>408</v>
      </c>
      <c r="D27" t="s">
        <v>21</v>
      </c>
      <c r="E27" t="s">
        <v>21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</row>
    <row r="28" spans="1:20" x14ac:dyDescent="0.25">
      <c r="A28" t="s">
        <v>41</v>
      </c>
      <c r="B28">
        <v>117</v>
      </c>
      <c r="C28">
        <v>415</v>
      </c>
      <c r="D28" t="s">
        <v>21</v>
      </c>
      <c r="E28" t="s">
        <v>21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</row>
    <row r="29" spans="1:20" x14ac:dyDescent="0.25">
      <c r="A29" t="s">
        <v>42</v>
      </c>
      <c r="B29">
        <v>65</v>
      </c>
      <c r="C29">
        <v>408</v>
      </c>
      <c r="D29" t="s">
        <v>21</v>
      </c>
      <c r="E29" t="s">
        <v>21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</row>
    <row r="30" spans="1:20" x14ac:dyDescent="0.25">
      <c r="A30" t="s">
        <v>43</v>
      </c>
      <c r="B30">
        <v>6</v>
      </c>
      <c r="C30">
        <v>510</v>
      </c>
      <c r="D30" t="s">
        <v>21</v>
      </c>
      <c r="E30" t="s">
        <v>21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</row>
    <row r="31" spans="1:20" x14ac:dyDescent="0.25">
      <c r="A31" t="s">
        <v>44</v>
      </c>
      <c r="B31">
        <v>32</v>
      </c>
      <c r="C31">
        <v>510</v>
      </c>
      <c r="D31" t="s">
        <v>21</v>
      </c>
      <c r="E31" t="s">
        <v>21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</row>
    <row r="32" spans="1:20" x14ac:dyDescent="0.25">
      <c r="A32" t="s">
        <v>45</v>
      </c>
      <c r="B32">
        <v>64</v>
      </c>
      <c r="C32">
        <v>408</v>
      </c>
      <c r="D32" t="s">
        <v>21</v>
      </c>
      <c r="E32" t="s">
        <v>27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</row>
    <row r="33" spans="1:20" x14ac:dyDescent="0.25">
      <c r="A33" t="s">
        <v>46</v>
      </c>
      <c r="B33">
        <v>25</v>
      </c>
      <c r="C33">
        <v>415</v>
      </c>
      <c r="D33" t="s">
        <v>21</v>
      </c>
      <c r="E33" t="s">
        <v>21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</row>
    <row r="34" spans="1:20" x14ac:dyDescent="0.25">
      <c r="A34" t="s">
        <v>47</v>
      </c>
      <c r="B34">
        <v>65</v>
      </c>
      <c r="C34">
        <v>415</v>
      </c>
      <c r="D34" t="s">
        <v>21</v>
      </c>
      <c r="E34" t="s">
        <v>21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</row>
    <row r="35" spans="1:20" x14ac:dyDescent="0.25">
      <c r="A35" t="s">
        <v>28</v>
      </c>
      <c r="B35">
        <v>127</v>
      </c>
      <c r="C35">
        <v>415</v>
      </c>
      <c r="D35" t="s">
        <v>21</v>
      </c>
      <c r="E35" t="s">
        <v>21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</row>
    <row r="36" spans="1:20" x14ac:dyDescent="0.25">
      <c r="A36" t="s">
        <v>38</v>
      </c>
      <c r="B36">
        <v>93</v>
      </c>
      <c r="C36">
        <v>415</v>
      </c>
      <c r="D36" t="s">
        <v>21</v>
      </c>
      <c r="E36" t="s">
        <v>21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</row>
    <row r="37" spans="1:20" x14ac:dyDescent="0.25">
      <c r="A37" t="s">
        <v>48</v>
      </c>
      <c r="B37">
        <v>208</v>
      </c>
      <c r="C37">
        <v>510</v>
      </c>
      <c r="D37" t="s">
        <v>21</v>
      </c>
      <c r="E37" t="s">
        <v>21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</row>
    <row r="38" spans="1:20" x14ac:dyDescent="0.25">
      <c r="A38" t="s">
        <v>22</v>
      </c>
      <c r="B38">
        <v>122</v>
      </c>
      <c r="C38">
        <v>415</v>
      </c>
      <c r="D38" t="s">
        <v>21</v>
      </c>
      <c r="E38" t="s">
        <v>21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</row>
    <row r="39" spans="1:20" x14ac:dyDescent="0.25">
      <c r="A39" t="s">
        <v>20</v>
      </c>
      <c r="B39">
        <v>99</v>
      </c>
      <c r="C39">
        <v>415</v>
      </c>
      <c r="D39" t="s">
        <v>21</v>
      </c>
      <c r="E39" t="s">
        <v>21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</row>
    <row r="40" spans="1:20" x14ac:dyDescent="0.25">
      <c r="A40" t="s">
        <v>49</v>
      </c>
      <c r="B40">
        <v>65</v>
      </c>
      <c r="C40">
        <v>415</v>
      </c>
      <c r="D40" t="s">
        <v>21</v>
      </c>
      <c r="E40" t="s">
        <v>21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</row>
    <row r="41" spans="1:20" x14ac:dyDescent="0.25">
      <c r="A41" t="s">
        <v>22</v>
      </c>
      <c r="B41">
        <v>65</v>
      </c>
      <c r="C41">
        <v>415</v>
      </c>
      <c r="D41" t="s">
        <v>21</v>
      </c>
      <c r="E41" t="s">
        <v>21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</row>
    <row r="42" spans="1:20" x14ac:dyDescent="0.25">
      <c r="A42" t="s">
        <v>36</v>
      </c>
      <c r="B42">
        <v>45</v>
      </c>
      <c r="C42">
        <v>415</v>
      </c>
      <c r="D42" t="s">
        <v>21</v>
      </c>
      <c r="E42" t="s">
        <v>27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</row>
    <row r="43" spans="1:20" x14ac:dyDescent="0.25">
      <c r="A43" t="s">
        <v>32</v>
      </c>
      <c r="B43">
        <v>139</v>
      </c>
      <c r="C43">
        <v>510</v>
      </c>
      <c r="D43" t="s">
        <v>21</v>
      </c>
      <c r="E43" t="s">
        <v>21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</row>
    <row r="44" spans="1:20" x14ac:dyDescent="0.25">
      <c r="A44" t="s">
        <v>50</v>
      </c>
      <c r="B44">
        <v>215</v>
      </c>
      <c r="C44">
        <v>510</v>
      </c>
      <c r="D44" t="s">
        <v>21</v>
      </c>
      <c r="E44" t="s">
        <v>21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</row>
    <row r="45" spans="1:20" x14ac:dyDescent="0.25">
      <c r="A45" t="s">
        <v>38</v>
      </c>
      <c r="B45">
        <v>94</v>
      </c>
      <c r="C45">
        <v>408</v>
      </c>
      <c r="D45" t="s">
        <v>21</v>
      </c>
      <c r="E45" t="s">
        <v>21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</row>
    <row r="46" spans="1:20" x14ac:dyDescent="0.25">
      <c r="A46" t="s">
        <v>46</v>
      </c>
      <c r="B46">
        <v>119</v>
      </c>
      <c r="C46">
        <v>510</v>
      </c>
      <c r="D46" t="s">
        <v>21</v>
      </c>
      <c r="E46" t="s">
        <v>27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</row>
    <row r="47" spans="1:20" x14ac:dyDescent="0.25">
      <c r="A47" t="s">
        <v>28</v>
      </c>
      <c r="B47">
        <v>86</v>
      </c>
      <c r="C47">
        <v>510</v>
      </c>
      <c r="D47" t="s">
        <v>21</v>
      </c>
      <c r="E47" t="s">
        <v>27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</row>
    <row r="48" spans="1:20" x14ac:dyDescent="0.25">
      <c r="A48" t="s">
        <v>51</v>
      </c>
      <c r="B48">
        <v>106</v>
      </c>
      <c r="C48">
        <v>408</v>
      </c>
      <c r="D48" t="s">
        <v>21</v>
      </c>
      <c r="E48" t="s">
        <v>27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</row>
    <row r="49" spans="1:20" x14ac:dyDescent="0.25">
      <c r="A49" t="s">
        <v>52</v>
      </c>
      <c r="B49">
        <v>92</v>
      </c>
      <c r="C49">
        <v>408</v>
      </c>
      <c r="D49" t="s">
        <v>27</v>
      </c>
      <c r="E49" t="s">
        <v>21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</row>
    <row r="50" spans="1:20" x14ac:dyDescent="0.25">
      <c r="A50" t="s">
        <v>24</v>
      </c>
      <c r="B50">
        <v>78</v>
      </c>
      <c r="C50">
        <v>510</v>
      </c>
      <c r="D50" t="s">
        <v>21</v>
      </c>
      <c r="E50" t="s">
        <v>21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</row>
    <row r="51" spans="1:20" x14ac:dyDescent="0.25">
      <c r="A51" t="s">
        <v>53</v>
      </c>
      <c r="B51">
        <v>155</v>
      </c>
      <c r="C51">
        <v>408</v>
      </c>
      <c r="D51" t="s">
        <v>21</v>
      </c>
      <c r="E51" t="s">
        <v>21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</row>
    <row r="52" spans="1:20" x14ac:dyDescent="0.25">
      <c r="A52" t="s">
        <v>43</v>
      </c>
      <c r="B52">
        <v>64</v>
      </c>
      <c r="C52">
        <v>510</v>
      </c>
      <c r="D52" t="s">
        <v>21</v>
      </c>
      <c r="E52" t="s">
        <v>27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</row>
    <row r="53" spans="1:20" x14ac:dyDescent="0.25">
      <c r="A53" t="s">
        <v>40</v>
      </c>
      <c r="B53">
        <v>83</v>
      </c>
      <c r="C53">
        <v>415</v>
      </c>
      <c r="D53" t="s">
        <v>21</v>
      </c>
      <c r="E53" t="s">
        <v>21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</row>
    <row r="54" spans="1:20" x14ac:dyDescent="0.25">
      <c r="A54" t="s">
        <v>54</v>
      </c>
      <c r="B54">
        <v>144</v>
      </c>
      <c r="C54">
        <v>408</v>
      </c>
      <c r="D54" t="s">
        <v>21</v>
      </c>
      <c r="E54" t="s">
        <v>27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</row>
    <row r="55" spans="1:20" x14ac:dyDescent="0.25">
      <c r="A55" t="s">
        <v>34</v>
      </c>
      <c r="B55">
        <v>143</v>
      </c>
      <c r="C55">
        <v>415</v>
      </c>
      <c r="D55" t="s">
        <v>21</v>
      </c>
      <c r="E55" t="s">
        <v>21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</row>
    <row r="56" spans="1:20" x14ac:dyDescent="0.25">
      <c r="A56" t="s">
        <v>32</v>
      </c>
      <c r="B56">
        <v>81</v>
      </c>
      <c r="C56">
        <v>415</v>
      </c>
      <c r="D56" t="s">
        <v>21</v>
      </c>
      <c r="E56" t="s">
        <v>21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</row>
    <row r="57" spans="1:20" x14ac:dyDescent="0.25">
      <c r="A57" t="s">
        <v>54</v>
      </c>
      <c r="B57">
        <v>145</v>
      </c>
      <c r="C57">
        <v>408</v>
      </c>
      <c r="D57" t="s">
        <v>21</v>
      </c>
      <c r="E57" t="s">
        <v>27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</row>
    <row r="58" spans="1:20" x14ac:dyDescent="0.25">
      <c r="A58" t="s">
        <v>55</v>
      </c>
      <c r="B58">
        <v>89</v>
      </c>
      <c r="C58">
        <v>510</v>
      </c>
      <c r="D58" t="s">
        <v>21</v>
      </c>
      <c r="E58" t="s">
        <v>21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</row>
    <row r="59" spans="1:20" x14ac:dyDescent="0.25">
      <c r="A59" t="s">
        <v>56</v>
      </c>
      <c r="B59">
        <v>199</v>
      </c>
      <c r="C59">
        <v>415</v>
      </c>
      <c r="D59" t="s">
        <v>21</v>
      </c>
      <c r="E59" t="s">
        <v>27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</row>
    <row r="60" spans="1:20" x14ac:dyDescent="0.25">
      <c r="A60" t="s">
        <v>56</v>
      </c>
      <c r="B60">
        <v>96</v>
      </c>
      <c r="C60">
        <v>415</v>
      </c>
      <c r="D60" t="s">
        <v>21</v>
      </c>
      <c r="E60" t="s">
        <v>27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</row>
    <row r="61" spans="1:20" x14ac:dyDescent="0.25">
      <c r="A61" t="s">
        <v>32</v>
      </c>
      <c r="B61">
        <v>94</v>
      </c>
      <c r="C61">
        <v>415</v>
      </c>
      <c r="D61" t="s">
        <v>21</v>
      </c>
      <c r="E61" t="s">
        <v>21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</row>
    <row r="62" spans="1:20" x14ac:dyDescent="0.25">
      <c r="A62" t="s">
        <v>51</v>
      </c>
      <c r="B62">
        <v>127</v>
      </c>
      <c r="C62">
        <v>415</v>
      </c>
      <c r="D62" t="s">
        <v>21</v>
      </c>
      <c r="E62" t="s">
        <v>21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</row>
    <row r="63" spans="1:20" x14ac:dyDescent="0.25">
      <c r="A63" t="s">
        <v>57</v>
      </c>
      <c r="B63">
        <v>121</v>
      </c>
      <c r="C63">
        <v>408</v>
      </c>
      <c r="D63" t="s">
        <v>21</v>
      </c>
      <c r="E63" t="s">
        <v>21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</row>
    <row r="64" spans="1:20" x14ac:dyDescent="0.25">
      <c r="A64" t="s">
        <v>22</v>
      </c>
      <c r="B64">
        <v>122</v>
      </c>
      <c r="C64">
        <v>408</v>
      </c>
      <c r="D64" t="s">
        <v>21</v>
      </c>
      <c r="E64" t="s">
        <v>21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</row>
    <row r="65" spans="1:20" x14ac:dyDescent="0.25">
      <c r="A65" t="s">
        <v>44</v>
      </c>
      <c r="B65">
        <v>121</v>
      </c>
      <c r="C65">
        <v>408</v>
      </c>
      <c r="D65" t="s">
        <v>21</v>
      </c>
      <c r="E65" t="s">
        <v>27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</row>
    <row r="66" spans="1:20" x14ac:dyDescent="0.25">
      <c r="A66" t="s">
        <v>47</v>
      </c>
      <c r="B66">
        <v>77</v>
      </c>
      <c r="C66">
        <v>510</v>
      </c>
      <c r="D66" t="s">
        <v>21</v>
      </c>
      <c r="E66" t="s">
        <v>21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</row>
    <row r="67" spans="1:20" x14ac:dyDescent="0.25">
      <c r="A67" t="s">
        <v>49</v>
      </c>
      <c r="B67">
        <v>64</v>
      </c>
      <c r="C67">
        <v>408</v>
      </c>
      <c r="D67" t="s">
        <v>27</v>
      </c>
      <c r="E67" t="s">
        <v>21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</row>
    <row r="68" spans="1:20" x14ac:dyDescent="0.25">
      <c r="A68" t="s">
        <v>39</v>
      </c>
      <c r="B68">
        <v>124</v>
      </c>
      <c r="C68">
        <v>408</v>
      </c>
      <c r="D68" t="s">
        <v>27</v>
      </c>
      <c r="E68" t="s">
        <v>21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</row>
    <row r="69" spans="1:20" x14ac:dyDescent="0.25">
      <c r="A69" t="s">
        <v>58</v>
      </c>
      <c r="B69">
        <v>148</v>
      </c>
      <c r="C69">
        <v>415</v>
      </c>
      <c r="D69" t="s">
        <v>21</v>
      </c>
      <c r="E69" t="s">
        <v>21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</row>
    <row r="70" spans="1:20" x14ac:dyDescent="0.25">
      <c r="A70" t="s">
        <v>49</v>
      </c>
      <c r="B70">
        <v>77</v>
      </c>
      <c r="C70">
        <v>408</v>
      </c>
      <c r="D70" t="s">
        <v>21</v>
      </c>
      <c r="E70" t="s">
        <v>21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</row>
    <row r="71" spans="1:20" x14ac:dyDescent="0.25">
      <c r="A71" t="s">
        <v>53</v>
      </c>
      <c r="B71">
        <v>135</v>
      </c>
      <c r="C71">
        <v>415</v>
      </c>
      <c r="D71" t="s">
        <v>21</v>
      </c>
      <c r="E71" t="s">
        <v>21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</row>
    <row r="72" spans="1:20" x14ac:dyDescent="0.25">
      <c r="A72" t="s">
        <v>54</v>
      </c>
      <c r="B72">
        <v>87</v>
      </c>
      <c r="C72">
        <v>415</v>
      </c>
      <c r="D72" t="s">
        <v>21</v>
      </c>
      <c r="E72" t="s">
        <v>27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</row>
    <row r="73" spans="1:20" x14ac:dyDescent="0.25">
      <c r="A73" t="s">
        <v>45</v>
      </c>
      <c r="B73">
        <v>54</v>
      </c>
      <c r="C73">
        <v>510</v>
      </c>
      <c r="D73" t="s">
        <v>21</v>
      </c>
      <c r="E73" t="s">
        <v>21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</row>
    <row r="74" spans="1:20" x14ac:dyDescent="0.25">
      <c r="A74" t="s">
        <v>35</v>
      </c>
      <c r="B74">
        <v>35</v>
      </c>
      <c r="C74">
        <v>415</v>
      </c>
      <c r="D74" t="s">
        <v>21</v>
      </c>
      <c r="E74" t="s">
        <v>21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</row>
    <row r="75" spans="1:20" x14ac:dyDescent="0.25">
      <c r="A75" t="s">
        <v>48</v>
      </c>
      <c r="B75">
        <v>84</v>
      </c>
      <c r="C75">
        <v>408</v>
      </c>
      <c r="D75" t="s">
        <v>21</v>
      </c>
      <c r="E75" t="s">
        <v>21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</row>
    <row r="76" spans="1:20" x14ac:dyDescent="0.25">
      <c r="A76" t="s">
        <v>47</v>
      </c>
      <c r="B76">
        <v>94</v>
      </c>
      <c r="C76">
        <v>415</v>
      </c>
      <c r="D76" t="s">
        <v>21</v>
      </c>
      <c r="E76" t="s">
        <v>21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</row>
    <row r="77" spans="1:20" x14ac:dyDescent="0.25">
      <c r="A77" t="s">
        <v>59</v>
      </c>
      <c r="B77">
        <v>96</v>
      </c>
      <c r="C77">
        <v>408</v>
      </c>
      <c r="D77" t="s">
        <v>21</v>
      </c>
      <c r="E77" t="s">
        <v>27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</row>
    <row r="78" spans="1:20" x14ac:dyDescent="0.25">
      <c r="A78" t="s">
        <v>60</v>
      </c>
      <c r="B78">
        <v>64</v>
      </c>
      <c r="C78">
        <v>415</v>
      </c>
      <c r="D78" t="s">
        <v>21</v>
      </c>
      <c r="E78" t="s">
        <v>21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</row>
    <row r="79" spans="1:20" x14ac:dyDescent="0.25">
      <c r="A79" t="s">
        <v>41</v>
      </c>
      <c r="B79">
        <v>85</v>
      </c>
      <c r="C79">
        <v>415</v>
      </c>
      <c r="D79" t="s">
        <v>21</v>
      </c>
      <c r="E79" t="s">
        <v>21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</row>
    <row r="80" spans="1:20" x14ac:dyDescent="0.25">
      <c r="A80" t="s">
        <v>38</v>
      </c>
      <c r="B80">
        <v>117</v>
      </c>
      <c r="C80">
        <v>408</v>
      </c>
      <c r="D80" t="s">
        <v>21</v>
      </c>
      <c r="E80" t="s">
        <v>21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</row>
    <row r="81" spans="1:20" x14ac:dyDescent="0.25">
      <c r="A81" t="s">
        <v>61</v>
      </c>
      <c r="B81">
        <v>112</v>
      </c>
      <c r="C81">
        <v>415</v>
      </c>
      <c r="D81" t="s">
        <v>21</v>
      </c>
      <c r="E81" t="s">
        <v>27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</row>
    <row r="82" spans="1:20" x14ac:dyDescent="0.25">
      <c r="A82" t="s">
        <v>35</v>
      </c>
      <c r="B82">
        <v>129</v>
      </c>
      <c r="C82">
        <v>510</v>
      </c>
      <c r="D82" t="s">
        <v>27</v>
      </c>
      <c r="E82" t="s">
        <v>21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</row>
    <row r="83" spans="1:20" x14ac:dyDescent="0.25">
      <c r="A83" t="s">
        <v>38</v>
      </c>
      <c r="B83">
        <v>140</v>
      </c>
      <c r="C83">
        <v>408</v>
      </c>
      <c r="D83" t="s">
        <v>21</v>
      </c>
      <c r="E83" t="s">
        <v>21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</row>
    <row r="84" spans="1:20" x14ac:dyDescent="0.25">
      <c r="A84" t="s">
        <v>28</v>
      </c>
      <c r="B84">
        <v>81</v>
      </c>
      <c r="C84">
        <v>415</v>
      </c>
      <c r="D84" t="s">
        <v>21</v>
      </c>
      <c r="E84" t="s">
        <v>21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</row>
    <row r="85" spans="1:20" x14ac:dyDescent="0.25">
      <c r="A85" t="s">
        <v>48</v>
      </c>
      <c r="B85">
        <v>70</v>
      </c>
      <c r="C85">
        <v>510</v>
      </c>
      <c r="D85" t="s">
        <v>21</v>
      </c>
      <c r="E85" t="s">
        <v>21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</row>
    <row r="86" spans="1:20" x14ac:dyDescent="0.25">
      <c r="A86" t="s">
        <v>29</v>
      </c>
      <c r="B86">
        <v>79</v>
      </c>
      <c r="C86">
        <v>510</v>
      </c>
      <c r="D86" t="s">
        <v>21</v>
      </c>
      <c r="E86" t="s">
        <v>27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</row>
    <row r="87" spans="1:20" x14ac:dyDescent="0.25">
      <c r="A87" t="s">
        <v>44</v>
      </c>
      <c r="B87">
        <v>85</v>
      </c>
      <c r="C87">
        <v>408</v>
      </c>
      <c r="D87" t="s">
        <v>21</v>
      </c>
      <c r="E87" t="s">
        <v>21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</row>
    <row r="88" spans="1:20" x14ac:dyDescent="0.25">
      <c r="A88" t="s">
        <v>54</v>
      </c>
      <c r="B88">
        <v>91</v>
      </c>
      <c r="C88">
        <v>510</v>
      </c>
      <c r="D88" t="s">
        <v>21</v>
      </c>
      <c r="E88" t="s">
        <v>21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</row>
    <row r="89" spans="1:20" x14ac:dyDescent="0.25">
      <c r="A89" t="s">
        <v>20</v>
      </c>
      <c r="B89">
        <v>149</v>
      </c>
      <c r="C89">
        <v>415</v>
      </c>
      <c r="D89" t="s">
        <v>21</v>
      </c>
      <c r="E89" t="s">
        <v>27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</row>
    <row r="90" spans="1:20" x14ac:dyDescent="0.25">
      <c r="A90" t="s">
        <v>38</v>
      </c>
      <c r="B90">
        <v>60</v>
      </c>
      <c r="C90">
        <v>415</v>
      </c>
      <c r="D90" t="s">
        <v>21</v>
      </c>
      <c r="E90" t="s">
        <v>21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</row>
    <row r="91" spans="1:20" x14ac:dyDescent="0.25">
      <c r="A91" t="s">
        <v>57</v>
      </c>
      <c r="B91">
        <v>115</v>
      </c>
      <c r="C91">
        <v>408</v>
      </c>
      <c r="D91" t="s">
        <v>21</v>
      </c>
      <c r="E91" t="s">
        <v>21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</row>
    <row r="92" spans="1:20" x14ac:dyDescent="0.25">
      <c r="A92" t="s">
        <v>42</v>
      </c>
      <c r="B92">
        <v>144</v>
      </c>
      <c r="C92">
        <v>415</v>
      </c>
      <c r="D92" t="s">
        <v>21</v>
      </c>
      <c r="E92" t="s">
        <v>27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</row>
    <row r="93" spans="1:20" x14ac:dyDescent="0.25">
      <c r="A93" t="s">
        <v>38</v>
      </c>
      <c r="B93">
        <v>86</v>
      </c>
      <c r="C93">
        <v>415</v>
      </c>
      <c r="D93" t="s">
        <v>21</v>
      </c>
      <c r="E93" t="s">
        <v>27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</row>
    <row r="94" spans="1:20" x14ac:dyDescent="0.25">
      <c r="A94" t="s">
        <v>28</v>
      </c>
      <c r="B94">
        <v>139</v>
      </c>
      <c r="C94">
        <v>415</v>
      </c>
      <c r="D94" t="s">
        <v>21</v>
      </c>
      <c r="E94" t="s">
        <v>27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</row>
    <row r="95" spans="1:20" x14ac:dyDescent="0.25">
      <c r="A95" t="s">
        <v>60</v>
      </c>
      <c r="B95">
        <v>124</v>
      </c>
      <c r="C95">
        <v>408</v>
      </c>
      <c r="D95" t="s">
        <v>21</v>
      </c>
      <c r="E95" t="s">
        <v>21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</row>
    <row r="96" spans="1:20" x14ac:dyDescent="0.25">
      <c r="A96" t="s">
        <v>35</v>
      </c>
      <c r="B96">
        <v>102</v>
      </c>
      <c r="C96">
        <v>510</v>
      </c>
      <c r="D96" t="s">
        <v>27</v>
      </c>
      <c r="E96" t="s">
        <v>21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</row>
    <row r="97" spans="1:20" x14ac:dyDescent="0.25">
      <c r="A97" t="s">
        <v>22</v>
      </c>
      <c r="B97">
        <v>78</v>
      </c>
      <c r="C97">
        <v>415</v>
      </c>
      <c r="D97" t="s">
        <v>21</v>
      </c>
      <c r="E97" t="s">
        <v>21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</row>
    <row r="98" spans="1:20" x14ac:dyDescent="0.25">
      <c r="A98" t="s">
        <v>44</v>
      </c>
      <c r="B98">
        <v>55</v>
      </c>
      <c r="C98">
        <v>415</v>
      </c>
      <c r="D98" t="s">
        <v>27</v>
      </c>
      <c r="E98" t="s">
        <v>21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</row>
    <row r="99" spans="1:20" x14ac:dyDescent="0.25">
      <c r="A99" t="s">
        <v>57</v>
      </c>
      <c r="B99">
        <v>129</v>
      </c>
      <c r="C99">
        <v>415</v>
      </c>
      <c r="D99" t="s">
        <v>21</v>
      </c>
      <c r="E99" t="s">
        <v>27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</row>
    <row r="100" spans="1:20" x14ac:dyDescent="0.25">
      <c r="A100" t="s">
        <v>62</v>
      </c>
      <c r="B100">
        <v>75</v>
      </c>
      <c r="C100">
        <v>408</v>
      </c>
      <c r="D100" t="s">
        <v>27</v>
      </c>
      <c r="E100" t="s">
        <v>21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</row>
    <row r="101" spans="1:20" x14ac:dyDescent="0.25">
      <c r="A101" t="s">
        <v>54</v>
      </c>
      <c r="B101">
        <v>126</v>
      </c>
      <c r="C101">
        <v>415</v>
      </c>
      <c r="D101" t="s">
        <v>21</v>
      </c>
      <c r="E101" t="s">
        <v>27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</row>
    <row r="102" spans="1:20" x14ac:dyDescent="0.25">
      <c r="A102" t="s">
        <v>43</v>
      </c>
      <c r="B102">
        <v>92</v>
      </c>
      <c r="C102">
        <v>415</v>
      </c>
      <c r="D102" t="s">
        <v>21</v>
      </c>
      <c r="E102" t="s">
        <v>21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</row>
    <row r="103" spans="1:20" x14ac:dyDescent="0.25">
      <c r="A103" t="s">
        <v>55</v>
      </c>
      <c r="B103">
        <v>52</v>
      </c>
      <c r="C103">
        <v>408</v>
      </c>
      <c r="D103" t="s">
        <v>21</v>
      </c>
      <c r="E103" t="s">
        <v>21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</row>
    <row r="104" spans="1:20" x14ac:dyDescent="0.25">
      <c r="A104" t="s">
        <v>63</v>
      </c>
      <c r="B104">
        <v>87</v>
      </c>
      <c r="C104">
        <v>510</v>
      </c>
      <c r="D104" t="s">
        <v>21</v>
      </c>
      <c r="E104" t="s">
        <v>21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</row>
    <row r="105" spans="1:20" x14ac:dyDescent="0.25">
      <c r="A105" t="s">
        <v>64</v>
      </c>
      <c r="B105">
        <v>95</v>
      </c>
      <c r="C105">
        <v>415</v>
      </c>
      <c r="D105" t="s">
        <v>21</v>
      </c>
      <c r="E105" t="s">
        <v>27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</row>
    <row r="106" spans="1:20" x14ac:dyDescent="0.25">
      <c r="A106" t="s">
        <v>20</v>
      </c>
      <c r="B106">
        <v>67</v>
      </c>
      <c r="C106">
        <v>510</v>
      </c>
      <c r="D106" t="s">
        <v>21</v>
      </c>
      <c r="E106" t="s">
        <v>21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</row>
    <row r="107" spans="1:20" x14ac:dyDescent="0.25">
      <c r="A107" t="s">
        <v>47</v>
      </c>
      <c r="B107">
        <v>165</v>
      </c>
      <c r="C107">
        <v>415</v>
      </c>
      <c r="D107" t="s">
        <v>21</v>
      </c>
      <c r="E107" t="s">
        <v>21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</row>
    <row r="108" spans="1:20" x14ac:dyDescent="0.25">
      <c r="A108" t="s">
        <v>57</v>
      </c>
      <c r="B108">
        <v>150</v>
      </c>
      <c r="C108">
        <v>415</v>
      </c>
      <c r="D108" t="s">
        <v>21</v>
      </c>
      <c r="E108" t="s">
        <v>27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</row>
    <row r="109" spans="1:20" x14ac:dyDescent="0.25">
      <c r="A109" t="s">
        <v>53</v>
      </c>
      <c r="B109">
        <v>26</v>
      </c>
      <c r="C109">
        <v>415</v>
      </c>
      <c r="D109" t="s">
        <v>21</v>
      </c>
      <c r="E109" t="s">
        <v>21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</row>
    <row r="110" spans="1:20" x14ac:dyDescent="0.25">
      <c r="A110" t="s">
        <v>65</v>
      </c>
      <c r="B110">
        <v>79</v>
      </c>
      <c r="C110">
        <v>510</v>
      </c>
      <c r="D110" t="s">
        <v>21</v>
      </c>
      <c r="E110" t="s">
        <v>27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</row>
    <row r="111" spans="1:20" x14ac:dyDescent="0.25">
      <c r="A111" t="s">
        <v>31</v>
      </c>
      <c r="B111">
        <v>69</v>
      </c>
      <c r="C111">
        <v>510</v>
      </c>
      <c r="D111" t="s">
        <v>27</v>
      </c>
      <c r="E111" t="s">
        <v>21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</row>
    <row r="112" spans="1:20" x14ac:dyDescent="0.25">
      <c r="A112" t="s">
        <v>33</v>
      </c>
      <c r="B112">
        <v>95</v>
      </c>
      <c r="C112">
        <v>510</v>
      </c>
      <c r="D112" t="s">
        <v>27</v>
      </c>
      <c r="E112" t="s">
        <v>27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</row>
    <row r="113" spans="1:20" x14ac:dyDescent="0.25">
      <c r="A113" t="s">
        <v>23</v>
      </c>
      <c r="B113">
        <v>157</v>
      </c>
      <c r="C113">
        <v>415</v>
      </c>
      <c r="D113" t="s">
        <v>21</v>
      </c>
      <c r="E113" t="s">
        <v>21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</row>
    <row r="114" spans="1:20" x14ac:dyDescent="0.25">
      <c r="A114" t="s">
        <v>33</v>
      </c>
      <c r="B114">
        <v>80</v>
      </c>
      <c r="C114">
        <v>415</v>
      </c>
      <c r="D114" t="s">
        <v>21</v>
      </c>
      <c r="E114" t="s">
        <v>21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</row>
    <row r="115" spans="1:20" x14ac:dyDescent="0.25">
      <c r="A115" t="s">
        <v>38</v>
      </c>
      <c r="B115">
        <v>75</v>
      </c>
      <c r="C115">
        <v>510</v>
      </c>
      <c r="D115" t="s">
        <v>21</v>
      </c>
      <c r="E115" t="s">
        <v>27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</row>
    <row r="116" spans="1:20" x14ac:dyDescent="0.25">
      <c r="A116" t="s">
        <v>66</v>
      </c>
      <c r="B116">
        <v>44</v>
      </c>
      <c r="C116">
        <v>510</v>
      </c>
      <c r="D116" t="s">
        <v>21</v>
      </c>
      <c r="E116" t="s">
        <v>21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</row>
    <row r="117" spans="1:20" x14ac:dyDescent="0.25">
      <c r="A117" t="s">
        <v>55</v>
      </c>
      <c r="B117">
        <v>101</v>
      </c>
      <c r="C117">
        <v>408</v>
      </c>
      <c r="D117" t="s">
        <v>21</v>
      </c>
      <c r="E117" t="s">
        <v>21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</row>
    <row r="118" spans="1:20" x14ac:dyDescent="0.25">
      <c r="A118" t="s">
        <v>31</v>
      </c>
      <c r="B118">
        <v>117</v>
      </c>
      <c r="C118">
        <v>408</v>
      </c>
      <c r="D118" t="s">
        <v>21</v>
      </c>
      <c r="E118" t="s">
        <v>27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</row>
    <row r="119" spans="1:20" x14ac:dyDescent="0.25">
      <c r="A119" t="s">
        <v>67</v>
      </c>
      <c r="B119">
        <v>82</v>
      </c>
      <c r="C119">
        <v>408</v>
      </c>
      <c r="D119" t="s">
        <v>21</v>
      </c>
      <c r="E119" t="s">
        <v>21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</row>
    <row r="120" spans="1:20" x14ac:dyDescent="0.25">
      <c r="A120" t="s">
        <v>23</v>
      </c>
      <c r="B120">
        <v>39</v>
      </c>
      <c r="C120">
        <v>408</v>
      </c>
      <c r="D120" t="s">
        <v>21</v>
      </c>
      <c r="E120" t="s">
        <v>21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</row>
    <row r="121" spans="1:20" x14ac:dyDescent="0.25">
      <c r="A121" t="s">
        <v>46</v>
      </c>
      <c r="B121">
        <v>30</v>
      </c>
      <c r="C121">
        <v>415</v>
      </c>
      <c r="D121" t="s">
        <v>21</v>
      </c>
      <c r="E121" t="s">
        <v>21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</row>
    <row r="122" spans="1:20" x14ac:dyDescent="0.25">
      <c r="A122" t="s">
        <v>53</v>
      </c>
      <c r="B122">
        <v>63</v>
      </c>
      <c r="C122">
        <v>415</v>
      </c>
      <c r="D122" t="s">
        <v>21</v>
      </c>
      <c r="E122" t="s">
        <v>27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</row>
    <row r="123" spans="1:20" x14ac:dyDescent="0.25">
      <c r="A123" t="s">
        <v>50</v>
      </c>
      <c r="B123">
        <v>111</v>
      </c>
      <c r="C123">
        <v>415</v>
      </c>
      <c r="D123" t="s">
        <v>21</v>
      </c>
      <c r="E123" t="s">
        <v>21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</row>
    <row r="124" spans="1:20" x14ac:dyDescent="0.25">
      <c r="A124" t="s">
        <v>67</v>
      </c>
      <c r="B124">
        <v>91</v>
      </c>
      <c r="C124">
        <v>510</v>
      </c>
      <c r="D124" t="s">
        <v>21</v>
      </c>
      <c r="E124" t="s">
        <v>21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</row>
    <row r="125" spans="1:20" x14ac:dyDescent="0.25">
      <c r="A125" t="s">
        <v>60</v>
      </c>
      <c r="B125">
        <v>105</v>
      </c>
      <c r="C125">
        <v>415</v>
      </c>
      <c r="D125" t="s">
        <v>27</v>
      </c>
      <c r="E125" t="s">
        <v>27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</row>
    <row r="126" spans="1:20" x14ac:dyDescent="0.25">
      <c r="A126" t="s">
        <v>40</v>
      </c>
      <c r="B126">
        <v>166</v>
      </c>
      <c r="C126">
        <v>408</v>
      </c>
      <c r="D126" t="s">
        <v>27</v>
      </c>
      <c r="E126" t="s">
        <v>27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</row>
    <row r="127" spans="1:20" x14ac:dyDescent="0.25">
      <c r="A127" t="s">
        <v>51</v>
      </c>
      <c r="B127">
        <v>79</v>
      </c>
      <c r="C127">
        <v>510</v>
      </c>
      <c r="D127" t="s">
        <v>21</v>
      </c>
      <c r="E127" t="s">
        <v>21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</row>
    <row r="128" spans="1:20" x14ac:dyDescent="0.25">
      <c r="A128" t="s">
        <v>62</v>
      </c>
      <c r="B128">
        <v>105</v>
      </c>
      <c r="C128">
        <v>408</v>
      </c>
      <c r="D128" t="s">
        <v>21</v>
      </c>
      <c r="E128" t="s">
        <v>27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</row>
    <row r="129" spans="1:20" x14ac:dyDescent="0.25">
      <c r="A129" t="s">
        <v>20</v>
      </c>
      <c r="B129">
        <v>172</v>
      </c>
      <c r="C129">
        <v>415</v>
      </c>
      <c r="D129" t="s">
        <v>21</v>
      </c>
      <c r="E129" t="s">
        <v>21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</row>
    <row r="130" spans="1:20" x14ac:dyDescent="0.25">
      <c r="A130" t="s">
        <v>52</v>
      </c>
      <c r="B130">
        <v>121</v>
      </c>
      <c r="C130">
        <v>408</v>
      </c>
      <c r="D130" t="s">
        <v>21</v>
      </c>
      <c r="E130" t="s">
        <v>21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</row>
    <row r="131" spans="1:20" x14ac:dyDescent="0.25">
      <c r="A131" t="s">
        <v>68</v>
      </c>
      <c r="B131">
        <v>88</v>
      </c>
      <c r="C131">
        <v>415</v>
      </c>
      <c r="D131" t="s">
        <v>21</v>
      </c>
      <c r="E131" t="s">
        <v>21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</row>
    <row r="132" spans="1:20" x14ac:dyDescent="0.25">
      <c r="A132" t="s">
        <v>66</v>
      </c>
      <c r="B132">
        <v>153</v>
      </c>
      <c r="C132">
        <v>408</v>
      </c>
      <c r="D132" t="s">
        <v>21</v>
      </c>
      <c r="E132" t="s">
        <v>27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</row>
    <row r="133" spans="1:20" x14ac:dyDescent="0.25">
      <c r="A133" t="s">
        <v>69</v>
      </c>
      <c r="B133">
        <v>54</v>
      </c>
      <c r="C133">
        <v>415</v>
      </c>
      <c r="D133" t="s">
        <v>21</v>
      </c>
      <c r="E133" t="s">
        <v>27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</row>
    <row r="134" spans="1:20" x14ac:dyDescent="0.25">
      <c r="A134" t="s">
        <v>39</v>
      </c>
      <c r="B134">
        <v>79</v>
      </c>
      <c r="C134">
        <v>510</v>
      </c>
      <c r="D134" t="s">
        <v>21</v>
      </c>
      <c r="E134" t="s">
        <v>21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</row>
    <row r="135" spans="1:20" x14ac:dyDescent="0.25">
      <c r="A135" t="s">
        <v>32</v>
      </c>
      <c r="B135">
        <v>55</v>
      </c>
      <c r="C135">
        <v>415</v>
      </c>
      <c r="D135" t="s">
        <v>21</v>
      </c>
      <c r="E135" t="s">
        <v>21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</row>
    <row r="136" spans="1:20" x14ac:dyDescent="0.25">
      <c r="A136" t="s">
        <v>34</v>
      </c>
      <c r="B136">
        <v>109</v>
      </c>
      <c r="C136">
        <v>408</v>
      </c>
      <c r="D136" t="s">
        <v>21</v>
      </c>
      <c r="E136" t="s">
        <v>21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</row>
    <row r="137" spans="1:20" x14ac:dyDescent="0.25">
      <c r="A137" t="s">
        <v>54</v>
      </c>
      <c r="B137">
        <v>65</v>
      </c>
      <c r="C137">
        <v>408</v>
      </c>
      <c r="D137" t="s">
        <v>21</v>
      </c>
      <c r="E137" t="s">
        <v>27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</row>
    <row r="138" spans="1:20" x14ac:dyDescent="0.25">
      <c r="A138" t="s">
        <v>34</v>
      </c>
      <c r="B138">
        <v>27</v>
      </c>
      <c r="C138">
        <v>510</v>
      </c>
      <c r="D138" t="s">
        <v>21</v>
      </c>
      <c r="E138" t="s">
        <v>21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</row>
    <row r="139" spans="1:20" x14ac:dyDescent="0.25">
      <c r="A139" t="s">
        <v>66</v>
      </c>
      <c r="B139">
        <v>32</v>
      </c>
      <c r="C139">
        <v>408</v>
      </c>
      <c r="D139" t="s">
        <v>21</v>
      </c>
      <c r="E139" t="s">
        <v>27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</row>
    <row r="140" spans="1:20" x14ac:dyDescent="0.25">
      <c r="A140" t="s">
        <v>56</v>
      </c>
      <c r="B140">
        <v>3</v>
      </c>
      <c r="C140">
        <v>415</v>
      </c>
      <c r="D140" t="s">
        <v>21</v>
      </c>
      <c r="E140" t="s">
        <v>27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</row>
    <row r="141" spans="1:20" x14ac:dyDescent="0.25">
      <c r="A141" t="s">
        <v>58</v>
      </c>
      <c r="B141">
        <v>119</v>
      </c>
      <c r="C141">
        <v>415</v>
      </c>
      <c r="D141" t="s">
        <v>21</v>
      </c>
      <c r="E141" t="s">
        <v>21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</row>
    <row r="142" spans="1:20" x14ac:dyDescent="0.25">
      <c r="A142" t="s">
        <v>20</v>
      </c>
      <c r="B142">
        <v>43</v>
      </c>
      <c r="C142">
        <v>415</v>
      </c>
      <c r="D142" t="s">
        <v>21</v>
      </c>
      <c r="E142" t="s">
        <v>21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</row>
    <row r="143" spans="1:20" x14ac:dyDescent="0.25">
      <c r="A143" t="s">
        <v>52</v>
      </c>
      <c r="B143">
        <v>116</v>
      </c>
      <c r="C143">
        <v>510</v>
      </c>
      <c r="D143" t="s">
        <v>21</v>
      </c>
      <c r="E143" t="s">
        <v>21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</row>
    <row r="144" spans="1:20" x14ac:dyDescent="0.25">
      <c r="A144" t="s">
        <v>66</v>
      </c>
      <c r="B144">
        <v>107</v>
      </c>
      <c r="C144">
        <v>415</v>
      </c>
      <c r="D144" t="s">
        <v>21</v>
      </c>
      <c r="E144" t="s">
        <v>21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</row>
    <row r="145" spans="1:20" x14ac:dyDescent="0.25">
      <c r="A145" t="s">
        <v>68</v>
      </c>
      <c r="B145">
        <v>123</v>
      </c>
      <c r="C145">
        <v>408</v>
      </c>
      <c r="D145" t="s">
        <v>21</v>
      </c>
      <c r="E145" t="s">
        <v>21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</row>
    <row r="146" spans="1:20" x14ac:dyDescent="0.25">
      <c r="A146" t="s">
        <v>26</v>
      </c>
      <c r="B146">
        <v>110</v>
      </c>
      <c r="C146">
        <v>408</v>
      </c>
      <c r="D146" t="s">
        <v>21</v>
      </c>
      <c r="E146" t="s">
        <v>21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</row>
    <row r="147" spans="1:20" x14ac:dyDescent="0.25">
      <c r="A147" t="s">
        <v>62</v>
      </c>
      <c r="B147">
        <v>176</v>
      </c>
      <c r="C147">
        <v>415</v>
      </c>
      <c r="D147" t="s">
        <v>21</v>
      </c>
      <c r="E147" t="s">
        <v>21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</row>
    <row r="148" spans="1:20" x14ac:dyDescent="0.25">
      <c r="A148" t="s">
        <v>32</v>
      </c>
      <c r="B148">
        <v>13</v>
      </c>
      <c r="C148">
        <v>510</v>
      </c>
      <c r="D148" t="s">
        <v>21</v>
      </c>
      <c r="E148" t="s">
        <v>27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</row>
    <row r="149" spans="1:20" x14ac:dyDescent="0.25">
      <c r="A149" t="s">
        <v>52</v>
      </c>
      <c r="B149">
        <v>88</v>
      </c>
      <c r="C149">
        <v>415</v>
      </c>
      <c r="D149" t="s">
        <v>21</v>
      </c>
      <c r="E149" t="s">
        <v>21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</row>
    <row r="150" spans="1:20" x14ac:dyDescent="0.25">
      <c r="A150" t="s">
        <v>64</v>
      </c>
      <c r="B150">
        <v>92</v>
      </c>
      <c r="C150">
        <v>510</v>
      </c>
      <c r="D150" t="s">
        <v>21</v>
      </c>
      <c r="E150" t="s">
        <v>27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</row>
    <row r="151" spans="1:20" x14ac:dyDescent="0.25">
      <c r="A151" t="s">
        <v>31</v>
      </c>
      <c r="B151">
        <v>165</v>
      </c>
      <c r="C151">
        <v>510</v>
      </c>
      <c r="D151" t="s">
        <v>21</v>
      </c>
      <c r="E151" t="s">
        <v>21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</row>
    <row r="152" spans="1:20" x14ac:dyDescent="0.25">
      <c r="A152" t="s">
        <v>69</v>
      </c>
      <c r="B152">
        <v>156</v>
      </c>
      <c r="C152">
        <v>415</v>
      </c>
      <c r="D152" t="s">
        <v>21</v>
      </c>
      <c r="E152" t="s">
        <v>21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</row>
    <row r="153" spans="1:20" x14ac:dyDescent="0.25">
      <c r="A153" t="s">
        <v>40</v>
      </c>
      <c r="B153">
        <v>63</v>
      </c>
      <c r="C153">
        <v>408</v>
      </c>
      <c r="D153" t="s">
        <v>21</v>
      </c>
      <c r="E153" t="s">
        <v>21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</row>
    <row r="154" spans="1:20" x14ac:dyDescent="0.25">
      <c r="A154" t="s">
        <v>29</v>
      </c>
      <c r="B154">
        <v>83</v>
      </c>
      <c r="C154">
        <v>415</v>
      </c>
      <c r="D154" t="s">
        <v>27</v>
      </c>
      <c r="E154" t="s">
        <v>27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</row>
    <row r="155" spans="1:20" x14ac:dyDescent="0.25">
      <c r="A155" t="s">
        <v>30</v>
      </c>
      <c r="B155">
        <v>158</v>
      </c>
      <c r="C155">
        <v>415</v>
      </c>
      <c r="D155" t="s">
        <v>21</v>
      </c>
      <c r="E155" t="s">
        <v>21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</row>
    <row r="156" spans="1:20" x14ac:dyDescent="0.25">
      <c r="A156" t="s">
        <v>66</v>
      </c>
      <c r="B156">
        <v>115</v>
      </c>
      <c r="C156">
        <v>510</v>
      </c>
      <c r="D156" t="s">
        <v>27</v>
      </c>
      <c r="E156" t="s">
        <v>21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</row>
    <row r="157" spans="1:20" x14ac:dyDescent="0.25">
      <c r="A157" t="s">
        <v>59</v>
      </c>
      <c r="B157">
        <v>103</v>
      </c>
      <c r="C157">
        <v>510</v>
      </c>
      <c r="D157" t="s">
        <v>21</v>
      </c>
      <c r="E157" t="s">
        <v>27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</row>
    <row r="158" spans="1:20" x14ac:dyDescent="0.25">
      <c r="A158" t="s">
        <v>64</v>
      </c>
      <c r="B158">
        <v>64</v>
      </c>
      <c r="C158">
        <v>415</v>
      </c>
      <c r="D158" t="s">
        <v>21</v>
      </c>
      <c r="E158" t="s">
        <v>21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</row>
    <row r="159" spans="1:20" x14ac:dyDescent="0.25">
      <c r="A159" t="s">
        <v>49</v>
      </c>
      <c r="B159">
        <v>86</v>
      </c>
      <c r="C159">
        <v>510</v>
      </c>
      <c r="D159" t="s">
        <v>21</v>
      </c>
      <c r="E159" t="s">
        <v>27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</row>
    <row r="160" spans="1:20" x14ac:dyDescent="0.25">
      <c r="A160" t="s">
        <v>62</v>
      </c>
      <c r="B160">
        <v>151</v>
      </c>
      <c r="C160">
        <v>415</v>
      </c>
      <c r="D160" t="s">
        <v>21</v>
      </c>
      <c r="E160" t="s">
        <v>27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</row>
    <row r="161" spans="1:20" x14ac:dyDescent="0.25">
      <c r="A161" t="s">
        <v>46</v>
      </c>
      <c r="B161">
        <v>87</v>
      </c>
      <c r="C161">
        <v>510</v>
      </c>
      <c r="D161" t="s">
        <v>27</v>
      </c>
      <c r="E161" t="s">
        <v>21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</row>
    <row r="162" spans="1:20" x14ac:dyDescent="0.25">
      <c r="A162" t="s">
        <v>48</v>
      </c>
      <c r="B162">
        <v>90</v>
      </c>
      <c r="C162">
        <v>415</v>
      </c>
      <c r="D162" t="s">
        <v>21</v>
      </c>
      <c r="E162" t="s">
        <v>21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</row>
    <row r="163" spans="1:20" x14ac:dyDescent="0.25">
      <c r="A163" t="s">
        <v>20</v>
      </c>
      <c r="B163">
        <v>108</v>
      </c>
      <c r="C163">
        <v>510</v>
      </c>
      <c r="D163" t="s">
        <v>21</v>
      </c>
      <c r="E163" t="s">
        <v>27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</row>
    <row r="164" spans="1:20" x14ac:dyDescent="0.25">
      <c r="A164" t="s">
        <v>70</v>
      </c>
      <c r="B164">
        <v>33</v>
      </c>
      <c r="C164">
        <v>415</v>
      </c>
      <c r="D164" t="s">
        <v>21</v>
      </c>
      <c r="E164" t="s">
        <v>27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</row>
    <row r="165" spans="1:20" x14ac:dyDescent="0.25">
      <c r="A165" t="s">
        <v>31</v>
      </c>
      <c r="B165">
        <v>149</v>
      </c>
      <c r="C165">
        <v>415</v>
      </c>
      <c r="D165" t="s">
        <v>27</v>
      </c>
      <c r="E165" t="s">
        <v>27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</row>
    <row r="166" spans="1:20" x14ac:dyDescent="0.25">
      <c r="A166" t="s">
        <v>34</v>
      </c>
      <c r="B166">
        <v>106</v>
      </c>
      <c r="C166">
        <v>510</v>
      </c>
      <c r="D166" t="s">
        <v>21</v>
      </c>
      <c r="E166" t="s">
        <v>21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</row>
    <row r="167" spans="1:20" x14ac:dyDescent="0.25">
      <c r="A167" t="s">
        <v>68</v>
      </c>
      <c r="B167">
        <v>167</v>
      </c>
      <c r="C167">
        <v>408</v>
      </c>
      <c r="D167" t="s">
        <v>27</v>
      </c>
      <c r="E167" t="s">
        <v>21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</row>
    <row r="168" spans="1:20" x14ac:dyDescent="0.25">
      <c r="A168" t="s">
        <v>31</v>
      </c>
      <c r="B168">
        <v>35</v>
      </c>
      <c r="C168">
        <v>510</v>
      </c>
      <c r="D168" t="s">
        <v>21</v>
      </c>
      <c r="E168" t="s">
        <v>27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</row>
    <row r="169" spans="1:20" x14ac:dyDescent="0.25">
      <c r="A169" t="s">
        <v>43</v>
      </c>
      <c r="B169">
        <v>107</v>
      </c>
      <c r="C169">
        <v>415</v>
      </c>
      <c r="D169" t="s">
        <v>21</v>
      </c>
      <c r="E169" t="s">
        <v>27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</row>
    <row r="170" spans="1:20" x14ac:dyDescent="0.25">
      <c r="A170" t="s">
        <v>38</v>
      </c>
      <c r="B170">
        <v>92</v>
      </c>
      <c r="C170">
        <v>415</v>
      </c>
      <c r="D170" t="s">
        <v>27</v>
      </c>
      <c r="E170" t="s">
        <v>27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</row>
    <row r="171" spans="1:20" x14ac:dyDescent="0.25">
      <c r="A171" t="s">
        <v>33</v>
      </c>
      <c r="B171">
        <v>38</v>
      </c>
      <c r="C171">
        <v>415</v>
      </c>
      <c r="D171" t="s">
        <v>21</v>
      </c>
      <c r="E171" t="s">
        <v>21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</row>
    <row r="172" spans="1:20" x14ac:dyDescent="0.25">
      <c r="A172" t="s">
        <v>30</v>
      </c>
      <c r="B172">
        <v>68</v>
      </c>
      <c r="C172">
        <v>408</v>
      </c>
      <c r="D172" t="s">
        <v>27</v>
      </c>
      <c r="E172" t="s">
        <v>21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</row>
    <row r="173" spans="1:20" x14ac:dyDescent="0.25">
      <c r="A173" t="s">
        <v>41</v>
      </c>
      <c r="B173">
        <v>123</v>
      </c>
      <c r="C173">
        <v>510</v>
      </c>
      <c r="D173" t="s">
        <v>21</v>
      </c>
      <c r="E173" t="s">
        <v>21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</row>
    <row r="174" spans="1:20" x14ac:dyDescent="0.25">
      <c r="A174" t="s">
        <v>40</v>
      </c>
      <c r="B174">
        <v>75</v>
      </c>
      <c r="C174">
        <v>510</v>
      </c>
      <c r="D174" t="s">
        <v>21</v>
      </c>
      <c r="E174" t="s">
        <v>27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</row>
    <row r="175" spans="1:20" x14ac:dyDescent="0.25">
      <c r="A175" t="s">
        <v>46</v>
      </c>
      <c r="B175">
        <v>153</v>
      </c>
      <c r="C175">
        <v>408</v>
      </c>
      <c r="D175" t="s">
        <v>21</v>
      </c>
      <c r="E175" t="s">
        <v>21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</row>
    <row r="176" spans="1:20" x14ac:dyDescent="0.25">
      <c r="A176" t="s">
        <v>51</v>
      </c>
      <c r="B176">
        <v>143</v>
      </c>
      <c r="C176">
        <v>415</v>
      </c>
      <c r="D176" t="s">
        <v>21</v>
      </c>
      <c r="E176" t="s">
        <v>21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</row>
    <row r="177" spans="1:20" x14ac:dyDescent="0.25">
      <c r="A177" t="s">
        <v>24</v>
      </c>
      <c r="B177">
        <v>87</v>
      </c>
      <c r="C177">
        <v>408</v>
      </c>
      <c r="D177" t="s">
        <v>21</v>
      </c>
      <c r="E177" t="s">
        <v>21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</row>
    <row r="178" spans="1:20" x14ac:dyDescent="0.25">
      <c r="A178" t="s">
        <v>22</v>
      </c>
      <c r="B178">
        <v>100</v>
      </c>
      <c r="C178">
        <v>510</v>
      </c>
      <c r="D178" t="s">
        <v>21</v>
      </c>
      <c r="E178" t="s">
        <v>21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</row>
    <row r="179" spans="1:20" x14ac:dyDescent="0.25">
      <c r="A179" t="s">
        <v>51</v>
      </c>
      <c r="B179">
        <v>144</v>
      </c>
      <c r="C179">
        <v>415</v>
      </c>
      <c r="D179" t="s">
        <v>21</v>
      </c>
      <c r="E179" t="s">
        <v>27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</row>
    <row r="180" spans="1:20" x14ac:dyDescent="0.25">
      <c r="A180" t="s">
        <v>68</v>
      </c>
      <c r="B180">
        <v>70</v>
      </c>
      <c r="C180">
        <v>415</v>
      </c>
      <c r="D180" t="s">
        <v>21</v>
      </c>
      <c r="E180" t="s">
        <v>27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</row>
    <row r="181" spans="1:20" x14ac:dyDescent="0.25">
      <c r="A181" t="s">
        <v>35</v>
      </c>
      <c r="B181">
        <v>136</v>
      </c>
      <c r="C181">
        <v>408</v>
      </c>
      <c r="D181" t="s">
        <v>27</v>
      </c>
      <c r="E181" t="s">
        <v>21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</row>
    <row r="182" spans="1:20" x14ac:dyDescent="0.25">
      <c r="A182" t="s">
        <v>43</v>
      </c>
      <c r="B182">
        <v>120</v>
      </c>
      <c r="C182">
        <v>415</v>
      </c>
      <c r="D182" t="s">
        <v>21</v>
      </c>
      <c r="E182" t="s">
        <v>27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</row>
    <row r="183" spans="1:20" x14ac:dyDescent="0.25">
      <c r="A183" t="s">
        <v>50</v>
      </c>
      <c r="B183">
        <v>104</v>
      </c>
      <c r="C183">
        <v>408</v>
      </c>
      <c r="D183" t="s">
        <v>21</v>
      </c>
      <c r="E183" t="s">
        <v>21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</row>
    <row r="184" spans="1:20" x14ac:dyDescent="0.25">
      <c r="A184" t="s">
        <v>39</v>
      </c>
      <c r="B184">
        <v>75</v>
      </c>
      <c r="C184">
        <v>510</v>
      </c>
      <c r="D184" t="s">
        <v>21</v>
      </c>
      <c r="E184" t="s">
        <v>27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</row>
    <row r="185" spans="1:20" x14ac:dyDescent="0.25">
      <c r="A185" t="s">
        <v>41</v>
      </c>
      <c r="B185">
        <v>127</v>
      </c>
      <c r="C185">
        <v>510</v>
      </c>
      <c r="D185" t="s">
        <v>27</v>
      </c>
      <c r="E185" t="s">
        <v>21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</row>
    <row r="186" spans="1:20" x14ac:dyDescent="0.25">
      <c r="A186" t="s">
        <v>29</v>
      </c>
      <c r="B186">
        <v>122</v>
      </c>
      <c r="C186">
        <v>510</v>
      </c>
      <c r="D186" t="s">
        <v>21</v>
      </c>
      <c r="E186" t="s">
        <v>27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</row>
    <row r="187" spans="1:20" x14ac:dyDescent="0.25">
      <c r="A187" t="s">
        <v>33</v>
      </c>
      <c r="B187">
        <v>124</v>
      </c>
      <c r="C187">
        <v>415</v>
      </c>
      <c r="D187" t="s">
        <v>21</v>
      </c>
      <c r="E187" t="s">
        <v>21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</row>
    <row r="188" spans="1:20" x14ac:dyDescent="0.25">
      <c r="A188" t="s">
        <v>43</v>
      </c>
      <c r="B188">
        <v>167</v>
      </c>
      <c r="C188">
        <v>415</v>
      </c>
      <c r="D188" t="s">
        <v>27</v>
      </c>
      <c r="E188" t="s">
        <v>21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</row>
    <row r="189" spans="1:20" x14ac:dyDescent="0.25">
      <c r="A189" t="s">
        <v>30</v>
      </c>
      <c r="B189">
        <v>89</v>
      </c>
      <c r="C189">
        <v>415</v>
      </c>
      <c r="D189" t="s">
        <v>21</v>
      </c>
      <c r="E189" t="s">
        <v>27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</row>
    <row r="190" spans="1:20" x14ac:dyDescent="0.25">
      <c r="A190" t="s">
        <v>33</v>
      </c>
      <c r="B190">
        <v>73</v>
      </c>
      <c r="C190">
        <v>408</v>
      </c>
      <c r="D190" t="s">
        <v>21</v>
      </c>
      <c r="E190" t="s">
        <v>21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</row>
    <row r="191" spans="1:20" x14ac:dyDescent="0.25">
      <c r="A191" t="s">
        <v>49</v>
      </c>
      <c r="B191">
        <v>1</v>
      </c>
      <c r="C191">
        <v>415</v>
      </c>
      <c r="D191" t="s">
        <v>21</v>
      </c>
      <c r="E191" t="s">
        <v>21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</row>
    <row r="192" spans="1:20" x14ac:dyDescent="0.25">
      <c r="A192" t="s">
        <v>36</v>
      </c>
      <c r="B192">
        <v>60</v>
      </c>
      <c r="C192">
        <v>408</v>
      </c>
      <c r="D192" t="s">
        <v>21</v>
      </c>
      <c r="E192" t="s">
        <v>21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</row>
    <row r="193" spans="1:20" x14ac:dyDescent="0.25">
      <c r="A193" t="s">
        <v>66</v>
      </c>
      <c r="B193">
        <v>77</v>
      </c>
      <c r="C193">
        <v>510</v>
      </c>
      <c r="D193" t="s">
        <v>21</v>
      </c>
      <c r="E193" t="s">
        <v>21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</row>
    <row r="194" spans="1:20" x14ac:dyDescent="0.25">
      <c r="A194" t="s">
        <v>61</v>
      </c>
      <c r="B194">
        <v>76</v>
      </c>
      <c r="C194">
        <v>415</v>
      </c>
      <c r="D194" t="s">
        <v>21</v>
      </c>
      <c r="E194" t="s">
        <v>21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</row>
    <row r="195" spans="1:20" x14ac:dyDescent="0.25">
      <c r="A195" t="s">
        <v>71</v>
      </c>
      <c r="B195">
        <v>63</v>
      </c>
      <c r="C195">
        <v>510</v>
      </c>
      <c r="D195" t="s">
        <v>21</v>
      </c>
      <c r="E195" t="s">
        <v>21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</row>
    <row r="196" spans="1:20" x14ac:dyDescent="0.25">
      <c r="A196" t="s">
        <v>32</v>
      </c>
      <c r="B196">
        <v>150</v>
      </c>
      <c r="C196">
        <v>415</v>
      </c>
      <c r="D196" t="s">
        <v>21</v>
      </c>
      <c r="E196" t="s">
        <v>27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</row>
    <row r="197" spans="1:20" x14ac:dyDescent="0.25">
      <c r="A197" t="s">
        <v>33</v>
      </c>
      <c r="B197">
        <v>101</v>
      </c>
      <c r="C197">
        <v>415</v>
      </c>
      <c r="D197" t="s">
        <v>21</v>
      </c>
      <c r="E197" t="s">
        <v>21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</row>
    <row r="198" spans="1:20" x14ac:dyDescent="0.25">
      <c r="A198" t="s">
        <v>26</v>
      </c>
      <c r="B198">
        <v>132</v>
      </c>
      <c r="C198">
        <v>415</v>
      </c>
      <c r="D198" t="s">
        <v>21</v>
      </c>
      <c r="E198" t="s">
        <v>27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</row>
    <row r="199" spans="1:20" x14ac:dyDescent="0.25">
      <c r="A199" t="s">
        <v>39</v>
      </c>
      <c r="B199">
        <v>158</v>
      </c>
      <c r="C199">
        <v>510</v>
      </c>
      <c r="D199" t="s">
        <v>21</v>
      </c>
      <c r="E199" t="s">
        <v>21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</row>
    <row r="200" spans="1:20" x14ac:dyDescent="0.25">
      <c r="A200" t="s">
        <v>49</v>
      </c>
      <c r="B200">
        <v>114</v>
      </c>
      <c r="C200">
        <v>415</v>
      </c>
      <c r="D200" t="s">
        <v>21</v>
      </c>
      <c r="E200" t="s">
        <v>27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</row>
    <row r="201" spans="1:20" x14ac:dyDescent="0.25">
      <c r="A201" t="s">
        <v>69</v>
      </c>
      <c r="B201">
        <v>77</v>
      </c>
      <c r="C201">
        <v>415</v>
      </c>
      <c r="D201" t="s">
        <v>21</v>
      </c>
      <c r="E201" t="s">
        <v>27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</row>
    <row r="202" spans="1:20" x14ac:dyDescent="0.25">
      <c r="A202" t="s">
        <v>64</v>
      </c>
      <c r="B202">
        <v>107</v>
      </c>
      <c r="C202">
        <v>415</v>
      </c>
      <c r="D202" t="s">
        <v>21</v>
      </c>
      <c r="E202" t="s">
        <v>21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</row>
    <row r="203" spans="1:20" x14ac:dyDescent="0.25">
      <c r="A203" t="s">
        <v>64</v>
      </c>
      <c r="B203">
        <v>48</v>
      </c>
      <c r="C203">
        <v>510</v>
      </c>
      <c r="D203" t="s">
        <v>21</v>
      </c>
      <c r="E203" t="s">
        <v>27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</row>
    <row r="204" spans="1:20" x14ac:dyDescent="0.25">
      <c r="A204" t="s">
        <v>70</v>
      </c>
      <c r="B204">
        <v>59</v>
      </c>
      <c r="C204">
        <v>415</v>
      </c>
      <c r="D204" t="s">
        <v>21</v>
      </c>
      <c r="E204" t="s">
        <v>21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</row>
    <row r="205" spans="1:20" x14ac:dyDescent="0.25">
      <c r="A205" t="s">
        <v>58</v>
      </c>
      <c r="B205">
        <v>129</v>
      </c>
      <c r="C205">
        <v>510</v>
      </c>
      <c r="D205" t="s">
        <v>21</v>
      </c>
      <c r="E205" t="s">
        <v>21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</row>
    <row r="206" spans="1:20" x14ac:dyDescent="0.25">
      <c r="A206" t="s">
        <v>48</v>
      </c>
      <c r="B206">
        <v>50</v>
      </c>
      <c r="C206">
        <v>510</v>
      </c>
      <c r="D206" t="s">
        <v>21</v>
      </c>
      <c r="E206" t="s">
        <v>21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</row>
    <row r="207" spans="1:20" x14ac:dyDescent="0.25">
      <c r="A207" t="s">
        <v>28</v>
      </c>
      <c r="B207">
        <v>50</v>
      </c>
      <c r="C207">
        <v>415</v>
      </c>
      <c r="D207" t="s">
        <v>21</v>
      </c>
      <c r="E207" t="s">
        <v>27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</row>
    <row r="208" spans="1:20" x14ac:dyDescent="0.25">
      <c r="A208" t="s">
        <v>49</v>
      </c>
      <c r="B208">
        <v>116</v>
      </c>
      <c r="C208">
        <v>415</v>
      </c>
      <c r="D208" t="s">
        <v>21</v>
      </c>
      <c r="E208" t="s">
        <v>21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</row>
    <row r="209" spans="1:20" x14ac:dyDescent="0.25">
      <c r="A209" t="s">
        <v>55</v>
      </c>
      <c r="B209">
        <v>52</v>
      </c>
      <c r="C209">
        <v>510</v>
      </c>
      <c r="D209" t="s">
        <v>21</v>
      </c>
      <c r="E209" t="s">
        <v>27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</row>
    <row r="210" spans="1:20" x14ac:dyDescent="0.25">
      <c r="A210" t="s">
        <v>68</v>
      </c>
      <c r="B210">
        <v>12</v>
      </c>
      <c r="C210">
        <v>510</v>
      </c>
      <c r="D210" t="s">
        <v>27</v>
      </c>
      <c r="E210" t="s">
        <v>21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</row>
    <row r="211" spans="1:20" x14ac:dyDescent="0.25">
      <c r="A211" t="s">
        <v>68</v>
      </c>
      <c r="B211">
        <v>105</v>
      </c>
      <c r="C211">
        <v>510</v>
      </c>
      <c r="D211" t="s">
        <v>21</v>
      </c>
      <c r="E211" t="s">
        <v>21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</row>
    <row r="212" spans="1:20" x14ac:dyDescent="0.25">
      <c r="A212" t="s">
        <v>23</v>
      </c>
      <c r="B212">
        <v>104</v>
      </c>
      <c r="C212">
        <v>415</v>
      </c>
      <c r="D212" t="s">
        <v>21</v>
      </c>
      <c r="E212" t="s">
        <v>21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</row>
    <row r="213" spans="1:20" x14ac:dyDescent="0.25">
      <c r="A213" t="s">
        <v>66</v>
      </c>
      <c r="B213">
        <v>13</v>
      </c>
      <c r="C213">
        <v>415</v>
      </c>
      <c r="D213" t="s">
        <v>21</v>
      </c>
      <c r="E213" t="s">
        <v>21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</row>
    <row r="214" spans="1:20" x14ac:dyDescent="0.25">
      <c r="A214" t="s">
        <v>66</v>
      </c>
      <c r="B214">
        <v>67</v>
      </c>
      <c r="C214">
        <v>408</v>
      </c>
      <c r="D214" t="s">
        <v>21</v>
      </c>
      <c r="E214" t="s">
        <v>21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</row>
    <row r="215" spans="1:20" x14ac:dyDescent="0.25">
      <c r="A215" t="s">
        <v>61</v>
      </c>
      <c r="B215">
        <v>148</v>
      </c>
      <c r="C215">
        <v>415</v>
      </c>
      <c r="D215" t="s">
        <v>21</v>
      </c>
      <c r="E215" t="s">
        <v>27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</row>
    <row r="216" spans="1:20" x14ac:dyDescent="0.25">
      <c r="A216" t="s">
        <v>32</v>
      </c>
      <c r="B216">
        <v>116</v>
      </c>
      <c r="C216">
        <v>510</v>
      </c>
      <c r="D216" t="s">
        <v>21</v>
      </c>
      <c r="E216" t="s">
        <v>21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</row>
    <row r="217" spans="1:20" x14ac:dyDescent="0.25">
      <c r="A217" t="s">
        <v>58</v>
      </c>
      <c r="B217">
        <v>131</v>
      </c>
      <c r="C217">
        <v>408</v>
      </c>
      <c r="D217" t="s">
        <v>21</v>
      </c>
      <c r="E217" t="s">
        <v>21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</row>
    <row r="218" spans="1:20" x14ac:dyDescent="0.25">
      <c r="A218" t="s">
        <v>33</v>
      </c>
      <c r="B218">
        <v>119</v>
      </c>
      <c r="C218">
        <v>510</v>
      </c>
      <c r="D218" t="s">
        <v>21</v>
      </c>
      <c r="E218" t="s">
        <v>21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</row>
    <row r="219" spans="1:20" x14ac:dyDescent="0.25">
      <c r="A219" t="s">
        <v>23</v>
      </c>
      <c r="B219">
        <v>94</v>
      </c>
      <c r="C219">
        <v>510</v>
      </c>
      <c r="D219" t="s">
        <v>27</v>
      </c>
      <c r="E219" t="s">
        <v>21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</row>
    <row r="220" spans="1:20" x14ac:dyDescent="0.25">
      <c r="A220" t="s">
        <v>48</v>
      </c>
      <c r="B220">
        <v>217</v>
      </c>
      <c r="C220">
        <v>408</v>
      </c>
      <c r="D220" t="s">
        <v>21</v>
      </c>
      <c r="E220" t="s">
        <v>21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</row>
    <row r="221" spans="1:20" x14ac:dyDescent="0.25">
      <c r="A221" t="s">
        <v>47</v>
      </c>
      <c r="B221">
        <v>161</v>
      </c>
      <c r="C221">
        <v>415</v>
      </c>
      <c r="D221" t="s">
        <v>21</v>
      </c>
      <c r="E221" t="s">
        <v>21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</row>
    <row r="222" spans="1:20" x14ac:dyDescent="0.25">
      <c r="A222" t="s">
        <v>52</v>
      </c>
      <c r="B222">
        <v>67</v>
      </c>
      <c r="C222">
        <v>408</v>
      </c>
      <c r="D222" t="s">
        <v>21</v>
      </c>
      <c r="E222" t="s">
        <v>21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</row>
    <row r="223" spans="1:20" x14ac:dyDescent="0.25">
      <c r="A223" t="s">
        <v>68</v>
      </c>
      <c r="B223">
        <v>132</v>
      </c>
      <c r="C223">
        <v>415</v>
      </c>
      <c r="D223" t="s">
        <v>21</v>
      </c>
      <c r="E223" t="s">
        <v>27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</row>
    <row r="224" spans="1:20" x14ac:dyDescent="0.25">
      <c r="A224" t="s">
        <v>67</v>
      </c>
      <c r="B224">
        <v>134</v>
      </c>
      <c r="C224">
        <v>408</v>
      </c>
      <c r="D224" t="s">
        <v>21</v>
      </c>
      <c r="E224" t="s">
        <v>21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</row>
    <row r="225" spans="1:20" x14ac:dyDescent="0.25">
      <c r="A225" t="s">
        <v>23</v>
      </c>
      <c r="B225">
        <v>44</v>
      </c>
      <c r="C225">
        <v>510</v>
      </c>
      <c r="D225" t="s">
        <v>21</v>
      </c>
      <c r="E225" t="s">
        <v>21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</row>
    <row r="226" spans="1:20" x14ac:dyDescent="0.25">
      <c r="A226" t="s">
        <v>50</v>
      </c>
      <c r="B226">
        <v>53</v>
      </c>
      <c r="C226">
        <v>415</v>
      </c>
      <c r="D226" t="s">
        <v>21</v>
      </c>
      <c r="E226" t="s">
        <v>27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</row>
    <row r="227" spans="1:20" x14ac:dyDescent="0.25">
      <c r="A227" t="s">
        <v>23</v>
      </c>
      <c r="B227">
        <v>108</v>
      </c>
      <c r="C227">
        <v>415</v>
      </c>
      <c r="D227" t="s">
        <v>21</v>
      </c>
      <c r="E227" t="s">
        <v>21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</row>
    <row r="228" spans="1:20" x14ac:dyDescent="0.25">
      <c r="A228" t="s">
        <v>62</v>
      </c>
      <c r="B228">
        <v>80</v>
      </c>
      <c r="C228">
        <v>408</v>
      </c>
      <c r="D228" t="s">
        <v>21</v>
      </c>
      <c r="E228" t="s">
        <v>21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</row>
    <row r="229" spans="1:20" x14ac:dyDescent="0.25">
      <c r="A229" t="s">
        <v>54</v>
      </c>
      <c r="B229">
        <v>88</v>
      </c>
      <c r="C229">
        <v>415</v>
      </c>
      <c r="D229" t="s">
        <v>21</v>
      </c>
      <c r="E229" t="s">
        <v>21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</row>
    <row r="230" spans="1:20" x14ac:dyDescent="0.25">
      <c r="A230" t="s">
        <v>59</v>
      </c>
      <c r="B230">
        <v>82</v>
      </c>
      <c r="C230">
        <v>510</v>
      </c>
      <c r="D230" t="s">
        <v>27</v>
      </c>
      <c r="E230" t="s">
        <v>21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</row>
    <row r="231" spans="1:20" x14ac:dyDescent="0.25">
      <c r="A231" t="s">
        <v>26</v>
      </c>
      <c r="B231">
        <v>115</v>
      </c>
      <c r="C231">
        <v>415</v>
      </c>
      <c r="D231" t="s">
        <v>21</v>
      </c>
      <c r="E231" t="s">
        <v>21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</row>
    <row r="232" spans="1:20" x14ac:dyDescent="0.25">
      <c r="A232" t="s">
        <v>57</v>
      </c>
      <c r="B232">
        <v>93</v>
      </c>
      <c r="C232">
        <v>415</v>
      </c>
      <c r="D232" t="s">
        <v>21</v>
      </c>
      <c r="E232" t="s">
        <v>21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</row>
    <row r="233" spans="1:20" x14ac:dyDescent="0.25">
      <c r="A233" t="s">
        <v>44</v>
      </c>
      <c r="B233">
        <v>72</v>
      </c>
      <c r="C233">
        <v>415</v>
      </c>
      <c r="D233" t="s">
        <v>21</v>
      </c>
      <c r="E233" t="s">
        <v>21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</row>
    <row r="234" spans="1:20" x14ac:dyDescent="0.25">
      <c r="A234" t="s">
        <v>58</v>
      </c>
      <c r="B234">
        <v>98</v>
      </c>
      <c r="C234">
        <v>415</v>
      </c>
      <c r="D234" t="s">
        <v>21</v>
      </c>
      <c r="E234" t="s">
        <v>27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</row>
    <row r="235" spans="1:20" x14ac:dyDescent="0.25">
      <c r="A235" t="s">
        <v>29</v>
      </c>
      <c r="B235">
        <v>118</v>
      </c>
      <c r="C235">
        <v>415</v>
      </c>
      <c r="D235" t="s">
        <v>21</v>
      </c>
      <c r="E235" t="s">
        <v>21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</row>
    <row r="236" spans="1:20" x14ac:dyDescent="0.25">
      <c r="A236" t="s">
        <v>43</v>
      </c>
      <c r="B236">
        <v>55</v>
      </c>
      <c r="C236">
        <v>510</v>
      </c>
      <c r="D236" t="s">
        <v>21</v>
      </c>
      <c r="E236" t="s">
        <v>21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</row>
    <row r="237" spans="1:20" x14ac:dyDescent="0.25">
      <c r="A237" t="s">
        <v>63</v>
      </c>
      <c r="B237">
        <v>130</v>
      </c>
      <c r="C237">
        <v>415</v>
      </c>
      <c r="D237" t="s">
        <v>21</v>
      </c>
      <c r="E237" t="s">
        <v>21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</row>
    <row r="238" spans="1:20" x14ac:dyDescent="0.25">
      <c r="A238" t="s">
        <v>51</v>
      </c>
      <c r="B238">
        <v>136</v>
      </c>
      <c r="C238">
        <v>408</v>
      </c>
      <c r="D238" t="s">
        <v>27</v>
      </c>
      <c r="E238" t="s">
        <v>21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</row>
    <row r="239" spans="1:20" x14ac:dyDescent="0.25">
      <c r="A239" t="s">
        <v>36</v>
      </c>
      <c r="B239">
        <v>107</v>
      </c>
      <c r="C239">
        <v>415</v>
      </c>
      <c r="D239" t="s">
        <v>21</v>
      </c>
      <c r="E239" t="s">
        <v>21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</row>
    <row r="240" spans="1:20" x14ac:dyDescent="0.25">
      <c r="A240" t="s">
        <v>28</v>
      </c>
      <c r="B240">
        <v>91</v>
      </c>
      <c r="C240">
        <v>415</v>
      </c>
      <c r="D240" t="s">
        <v>21</v>
      </c>
      <c r="E240" t="s">
        <v>21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</row>
    <row r="241" spans="1:20" x14ac:dyDescent="0.25">
      <c r="A241" t="s">
        <v>23</v>
      </c>
      <c r="B241">
        <v>167</v>
      </c>
      <c r="C241">
        <v>415</v>
      </c>
      <c r="D241" t="s">
        <v>21</v>
      </c>
      <c r="E241" t="s">
        <v>21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</row>
    <row r="242" spans="1:20" x14ac:dyDescent="0.25">
      <c r="A242" t="s">
        <v>52</v>
      </c>
      <c r="B242">
        <v>159</v>
      </c>
      <c r="C242">
        <v>415</v>
      </c>
      <c r="D242" t="s">
        <v>21</v>
      </c>
      <c r="E242" t="s">
        <v>27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</row>
    <row r="243" spans="1:20" x14ac:dyDescent="0.25">
      <c r="A243" t="s">
        <v>67</v>
      </c>
      <c r="B243">
        <v>122</v>
      </c>
      <c r="C243">
        <v>415</v>
      </c>
      <c r="D243" t="s">
        <v>21</v>
      </c>
      <c r="E243" t="s">
        <v>21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</row>
    <row r="244" spans="1:20" x14ac:dyDescent="0.25">
      <c r="A244" t="s">
        <v>28</v>
      </c>
      <c r="B244">
        <v>105</v>
      </c>
      <c r="C244">
        <v>415</v>
      </c>
      <c r="D244" t="s">
        <v>21</v>
      </c>
      <c r="E244" t="s">
        <v>27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</row>
    <row r="245" spans="1:20" x14ac:dyDescent="0.25">
      <c r="A245" t="s">
        <v>45</v>
      </c>
      <c r="B245">
        <v>155</v>
      </c>
      <c r="C245">
        <v>408</v>
      </c>
      <c r="D245" t="s">
        <v>21</v>
      </c>
      <c r="E245" t="s">
        <v>21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</row>
    <row r="246" spans="1:20" x14ac:dyDescent="0.25">
      <c r="A246" t="s">
        <v>40</v>
      </c>
      <c r="B246">
        <v>161</v>
      </c>
      <c r="C246">
        <v>415</v>
      </c>
      <c r="D246" t="s">
        <v>21</v>
      </c>
      <c r="E246" t="s">
        <v>21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</row>
    <row r="247" spans="1:20" x14ac:dyDescent="0.25">
      <c r="A247" t="s">
        <v>23</v>
      </c>
      <c r="B247">
        <v>122</v>
      </c>
      <c r="C247">
        <v>415</v>
      </c>
      <c r="D247" t="s">
        <v>21</v>
      </c>
      <c r="E247" t="s">
        <v>21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</row>
    <row r="248" spans="1:20" x14ac:dyDescent="0.25">
      <c r="A248" t="s">
        <v>65</v>
      </c>
      <c r="B248">
        <v>37</v>
      </c>
      <c r="C248">
        <v>415</v>
      </c>
      <c r="D248" t="s">
        <v>27</v>
      </c>
      <c r="E248" t="s">
        <v>21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</row>
    <row r="249" spans="1:20" x14ac:dyDescent="0.25">
      <c r="A249" t="s">
        <v>52</v>
      </c>
      <c r="B249">
        <v>128</v>
      </c>
      <c r="C249">
        <v>415</v>
      </c>
      <c r="D249" t="s">
        <v>21</v>
      </c>
      <c r="E249" t="s">
        <v>21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</row>
    <row r="250" spans="1:20" x14ac:dyDescent="0.25">
      <c r="A250" t="s">
        <v>58</v>
      </c>
      <c r="B250">
        <v>89</v>
      </c>
      <c r="C250">
        <v>510</v>
      </c>
      <c r="D250" t="s">
        <v>27</v>
      </c>
      <c r="E250" t="s">
        <v>21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</row>
    <row r="251" spans="1:20" x14ac:dyDescent="0.25">
      <c r="A251" t="s">
        <v>22</v>
      </c>
      <c r="B251">
        <v>108</v>
      </c>
      <c r="C251">
        <v>415</v>
      </c>
      <c r="D251" t="s">
        <v>21</v>
      </c>
      <c r="E251" t="s">
        <v>21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</row>
    <row r="252" spans="1:20" x14ac:dyDescent="0.25">
      <c r="A252" t="s">
        <v>33</v>
      </c>
      <c r="B252">
        <v>109</v>
      </c>
      <c r="C252">
        <v>408</v>
      </c>
      <c r="D252" t="s">
        <v>21</v>
      </c>
      <c r="E252" t="s">
        <v>21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</row>
    <row r="253" spans="1:20" x14ac:dyDescent="0.25">
      <c r="A253" t="s">
        <v>40</v>
      </c>
      <c r="B253">
        <v>29</v>
      </c>
      <c r="C253">
        <v>415</v>
      </c>
      <c r="D253" t="s">
        <v>21</v>
      </c>
      <c r="E253" t="s">
        <v>21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</row>
    <row r="254" spans="1:20" x14ac:dyDescent="0.25">
      <c r="A254" t="s">
        <v>46</v>
      </c>
      <c r="B254">
        <v>119</v>
      </c>
      <c r="C254">
        <v>415</v>
      </c>
      <c r="D254" t="s">
        <v>27</v>
      </c>
      <c r="E254" t="s">
        <v>27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</row>
    <row r="255" spans="1:20" x14ac:dyDescent="0.25">
      <c r="A255" t="s">
        <v>43</v>
      </c>
      <c r="B255">
        <v>86</v>
      </c>
      <c r="C255">
        <v>415</v>
      </c>
      <c r="D255" t="s">
        <v>21</v>
      </c>
      <c r="E255" t="s">
        <v>21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</row>
    <row r="256" spans="1:20" x14ac:dyDescent="0.25">
      <c r="A256" t="s">
        <v>71</v>
      </c>
      <c r="B256">
        <v>92</v>
      </c>
      <c r="C256">
        <v>510</v>
      </c>
      <c r="D256" t="s">
        <v>21</v>
      </c>
      <c r="E256" t="s">
        <v>27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</row>
    <row r="257" spans="1:20" x14ac:dyDescent="0.25">
      <c r="A257" t="s">
        <v>40</v>
      </c>
      <c r="B257">
        <v>13</v>
      </c>
      <c r="C257">
        <v>510</v>
      </c>
      <c r="D257" t="s">
        <v>21</v>
      </c>
      <c r="E257" t="s">
        <v>27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</row>
    <row r="258" spans="1:20" x14ac:dyDescent="0.25">
      <c r="A258" t="s">
        <v>56</v>
      </c>
      <c r="B258">
        <v>144</v>
      </c>
      <c r="C258">
        <v>510</v>
      </c>
      <c r="D258" t="s">
        <v>27</v>
      </c>
      <c r="E258" t="s">
        <v>27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</row>
    <row r="259" spans="1:20" x14ac:dyDescent="0.25">
      <c r="A259" t="s">
        <v>45</v>
      </c>
      <c r="B259">
        <v>139</v>
      </c>
      <c r="C259">
        <v>510</v>
      </c>
      <c r="D259" t="s">
        <v>21</v>
      </c>
      <c r="E259" t="s">
        <v>21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</row>
    <row r="260" spans="1:20" x14ac:dyDescent="0.25">
      <c r="A260" t="s">
        <v>20</v>
      </c>
      <c r="B260">
        <v>95</v>
      </c>
      <c r="C260">
        <v>415</v>
      </c>
      <c r="D260" t="s">
        <v>21</v>
      </c>
      <c r="E260" t="s">
        <v>21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</row>
    <row r="261" spans="1:20" x14ac:dyDescent="0.25">
      <c r="A261" t="s">
        <v>62</v>
      </c>
      <c r="B261">
        <v>80</v>
      </c>
      <c r="C261">
        <v>408</v>
      </c>
      <c r="D261" t="s">
        <v>21</v>
      </c>
      <c r="E261" t="s">
        <v>27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</row>
    <row r="262" spans="1:20" x14ac:dyDescent="0.25">
      <c r="A262" t="s">
        <v>34</v>
      </c>
      <c r="B262">
        <v>113</v>
      </c>
      <c r="C262">
        <v>415</v>
      </c>
      <c r="D262" t="s">
        <v>21</v>
      </c>
      <c r="E262" t="s">
        <v>21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</row>
    <row r="263" spans="1:20" x14ac:dyDescent="0.25">
      <c r="A263" t="s">
        <v>29</v>
      </c>
      <c r="B263">
        <v>88</v>
      </c>
      <c r="C263">
        <v>415</v>
      </c>
      <c r="D263" t="s">
        <v>21</v>
      </c>
      <c r="E263" t="s">
        <v>27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</row>
    <row r="264" spans="1:20" x14ac:dyDescent="0.25">
      <c r="A264" t="s">
        <v>59</v>
      </c>
      <c r="B264">
        <v>74</v>
      </c>
      <c r="C264">
        <v>415</v>
      </c>
      <c r="D264" t="s">
        <v>21</v>
      </c>
      <c r="E264" t="s">
        <v>21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</row>
    <row r="265" spans="1:20" x14ac:dyDescent="0.25">
      <c r="A265" t="s">
        <v>63</v>
      </c>
      <c r="B265">
        <v>48</v>
      </c>
      <c r="C265">
        <v>510</v>
      </c>
      <c r="D265" t="s">
        <v>21</v>
      </c>
      <c r="E265" t="s">
        <v>21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</row>
    <row r="266" spans="1:20" x14ac:dyDescent="0.25">
      <c r="A266" t="s">
        <v>38</v>
      </c>
      <c r="B266">
        <v>163</v>
      </c>
      <c r="C266">
        <v>510</v>
      </c>
      <c r="D266" t="s">
        <v>21</v>
      </c>
      <c r="E266" t="s">
        <v>21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</row>
    <row r="267" spans="1:20" x14ac:dyDescent="0.25">
      <c r="A267" t="s">
        <v>29</v>
      </c>
      <c r="B267">
        <v>56</v>
      </c>
      <c r="C267">
        <v>510</v>
      </c>
      <c r="D267" t="s">
        <v>21</v>
      </c>
      <c r="E267" t="s">
        <v>21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</row>
    <row r="268" spans="1:20" x14ac:dyDescent="0.25">
      <c r="A268" t="s">
        <v>48</v>
      </c>
      <c r="B268">
        <v>64</v>
      </c>
      <c r="C268">
        <v>415</v>
      </c>
      <c r="D268" t="s">
        <v>21</v>
      </c>
      <c r="E268" t="s">
        <v>21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</row>
    <row r="269" spans="1:20" x14ac:dyDescent="0.25">
      <c r="A269" t="s">
        <v>34</v>
      </c>
      <c r="B269">
        <v>116</v>
      </c>
      <c r="C269">
        <v>415</v>
      </c>
      <c r="D269" t="s">
        <v>21</v>
      </c>
      <c r="E269" t="s">
        <v>27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</row>
    <row r="270" spans="1:20" x14ac:dyDescent="0.25">
      <c r="A270" t="s">
        <v>67</v>
      </c>
      <c r="B270">
        <v>101</v>
      </c>
      <c r="C270">
        <v>415</v>
      </c>
      <c r="D270" t="s">
        <v>27</v>
      </c>
      <c r="E270" t="s">
        <v>21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</row>
    <row r="271" spans="1:20" x14ac:dyDescent="0.25">
      <c r="A271" t="s">
        <v>57</v>
      </c>
      <c r="B271">
        <v>85</v>
      </c>
      <c r="C271">
        <v>415</v>
      </c>
      <c r="D271" t="s">
        <v>27</v>
      </c>
      <c r="E271" t="s">
        <v>21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</row>
    <row r="272" spans="1:20" x14ac:dyDescent="0.25">
      <c r="A272" t="s">
        <v>45</v>
      </c>
      <c r="B272">
        <v>90</v>
      </c>
      <c r="C272">
        <v>415</v>
      </c>
      <c r="D272" t="s">
        <v>21</v>
      </c>
      <c r="E272" t="s">
        <v>21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</row>
    <row r="273" spans="1:20" x14ac:dyDescent="0.25">
      <c r="A273" t="s">
        <v>59</v>
      </c>
      <c r="B273">
        <v>73</v>
      </c>
      <c r="C273">
        <v>415</v>
      </c>
      <c r="D273" t="s">
        <v>21</v>
      </c>
      <c r="E273" t="s">
        <v>21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</row>
    <row r="274" spans="1:20" x14ac:dyDescent="0.25">
      <c r="A274" t="s">
        <v>45</v>
      </c>
      <c r="B274">
        <v>55</v>
      </c>
      <c r="C274">
        <v>408</v>
      </c>
      <c r="D274" t="s">
        <v>21</v>
      </c>
      <c r="E274" t="s">
        <v>27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</row>
    <row r="275" spans="1:20" x14ac:dyDescent="0.25">
      <c r="A275" t="s">
        <v>26</v>
      </c>
      <c r="B275">
        <v>76</v>
      </c>
      <c r="C275">
        <v>415</v>
      </c>
      <c r="D275" t="s">
        <v>21</v>
      </c>
      <c r="E275" t="s">
        <v>27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</row>
    <row r="276" spans="1:20" x14ac:dyDescent="0.25">
      <c r="A276" t="s">
        <v>38</v>
      </c>
      <c r="B276">
        <v>157</v>
      </c>
      <c r="C276">
        <v>415</v>
      </c>
      <c r="D276" t="s">
        <v>21</v>
      </c>
      <c r="E276" t="s">
        <v>21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</row>
    <row r="277" spans="1:20" x14ac:dyDescent="0.25">
      <c r="A277" t="s">
        <v>64</v>
      </c>
      <c r="B277">
        <v>131</v>
      </c>
      <c r="C277">
        <v>415</v>
      </c>
      <c r="D277" t="s">
        <v>21</v>
      </c>
      <c r="E277" t="s">
        <v>21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</row>
    <row r="278" spans="1:20" x14ac:dyDescent="0.25">
      <c r="A278" t="s">
        <v>28</v>
      </c>
      <c r="B278">
        <v>51</v>
      </c>
      <c r="C278">
        <v>415</v>
      </c>
      <c r="D278" t="s">
        <v>21</v>
      </c>
      <c r="E278" t="s">
        <v>21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</row>
    <row r="279" spans="1:20" x14ac:dyDescent="0.25">
      <c r="A279" t="s">
        <v>29</v>
      </c>
      <c r="B279">
        <v>166</v>
      </c>
      <c r="C279">
        <v>415</v>
      </c>
      <c r="D279" t="s">
        <v>21</v>
      </c>
      <c r="E279" t="s">
        <v>21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</row>
    <row r="280" spans="1:20" x14ac:dyDescent="0.25">
      <c r="A280" t="s">
        <v>47</v>
      </c>
      <c r="B280">
        <v>66</v>
      </c>
      <c r="C280">
        <v>408</v>
      </c>
      <c r="D280" t="s">
        <v>21</v>
      </c>
      <c r="E280" t="s">
        <v>21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</row>
    <row r="281" spans="1:20" x14ac:dyDescent="0.25">
      <c r="A281" t="s">
        <v>59</v>
      </c>
      <c r="B281">
        <v>49</v>
      </c>
      <c r="C281">
        <v>415</v>
      </c>
      <c r="D281" t="s">
        <v>21</v>
      </c>
      <c r="E281" t="s">
        <v>21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</row>
    <row r="282" spans="1:20" x14ac:dyDescent="0.25">
      <c r="A282" t="s">
        <v>20</v>
      </c>
      <c r="B282">
        <v>89</v>
      </c>
      <c r="C282">
        <v>415</v>
      </c>
      <c r="D282" t="s">
        <v>21</v>
      </c>
      <c r="E282" t="s">
        <v>21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</row>
    <row r="283" spans="1:20" x14ac:dyDescent="0.25">
      <c r="A283" t="s">
        <v>31</v>
      </c>
      <c r="B283">
        <v>90</v>
      </c>
      <c r="C283">
        <v>415</v>
      </c>
      <c r="D283" t="s">
        <v>21</v>
      </c>
      <c r="E283" t="s">
        <v>21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</row>
    <row r="284" spans="1:20" x14ac:dyDescent="0.25">
      <c r="A284" t="s">
        <v>29</v>
      </c>
      <c r="B284">
        <v>193</v>
      </c>
      <c r="C284">
        <v>415</v>
      </c>
      <c r="D284" t="s">
        <v>21</v>
      </c>
      <c r="E284" t="s">
        <v>21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</row>
    <row r="285" spans="1:20" x14ac:dyDescent="0.25">
      <c r="A285" t="s">
        <v>70</v>
      </c>
      <c r="B285">
        <v>114</v>
      </c>
      <c r="C285">
        <v>510</v>
      </c>
      <c r="D285" t="s">
        <v>21</v>
      </c>
      <c r="E285" t="s">
        <v>21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</row>
    <row r="286" spans="1:20" x14ac:dyDescent="0.25">
      <c r="A286" t="s">
        <v>60</v>
      </c>
      <c r="B286">
        <v>7</v>
      </c>
      <c r="C286">
        <v>408</v>
      </c>
      <c r="D286" t="s">
        <v>21</v>
      </c>
      <c r="E286" t="s">
        <v>27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</row>
    <row r="287" spans="1:20" x14ac:dyDescent="0.25">
      <c r="A287" t="s">
        <v>50</v>
      </c>
      <c r="B287">
        <v>71</v>
      </c>
      <c r="C287">
        <v>415</v>
      </c>
      <c r="D287" t="s">
        <v>21</v>
      </c>
      <c r="E287" t="s">
        <v>21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</row>
    <row r="288" spans="1:20" x14ac:dyDescent="0.25">
      <c r="A288" t="s">
        <v>63</v>
      </c>
      <c r="B288">
        <v>31</v>
      </c>
      <c r="C288">
        <v>415</v>
      </c>
      <c r="D288" t="s">
        <v>21</v>
      </c>
      <c r="E288" t="s">
        <v>27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</row>
    <row r="289" spans="1:20" x14ac:dyDescent="0.25">
      <c r="A289" t="s">
        <v>35</v>
      </c>
      <c r="B289">
        <v>111</v>
      </c>
      <c r="C289">
        <v>415</v>
      </c>
      <c r="D289" t="s">
        <v>21</v>
      </c>
      <c r="E289" t="s">
        <v>21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</row>
    <row r="290" spans="1:20" x14ac:dyDescent="0.25">
      <c r="A290" t="s">
        <v>38</v>
      </c>
      <c r="B290">
        <v>97</v>
      </c>
      <c r="C290">
        <v>408</v>
      </c>
      <c r="D290" t="s">
        <v>21</v>
      </c>
      <c r="E290" t="s">
        <v>21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</row>
    <row r="291" spans="1:20" x14ac:dyDescent="0.25">
      <c r="A291" t="s">
        <v>68</v>
      </c>
      <c r="B291">
        <v>51</v>
      </c>
      <c r="C291">
        <v>510</v>
      </c>
      <c r="D291" t="s">
        <v>21</v>
      </c>
      <c r="E291" t="s">
        <v>21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</row>
    <row r="292" spans="1:20" x14ac:dyDescent="0.25">
      <c r="A292" t="s">
        <v>54</v>
      </c>
      <c r="B292">
        <v>86</v>
      </c>
      <c r="C292">
        <v>415</v>
      </c>
      <c r="D292" t="s">
        <v>21</v>
      </c>
      <c r="E292" t="s">
        <v>21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</row>
    <row r="293" spans="1:20" x14ac:dyDescent="0.25">
      <c r="A293" t="s">
        <v>68</v>
      </c>
      <c r="B293">
        <v>190</v>
      </c>
      <c r="C293">
        <v>415</v>
      </c>
      <c r="D293" t="s">
        <v>21</v>
      </c>
      <c r="E293" t="s">
        <v>21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</row>
    <row r="294" spans="1:20" x14ac:dyDescent="0.25">
      <c r="A294" t="s">
        <v>56</v>
      </c>
      <c r="B294">
        <v>80</v>
      </c>
      <c r="C294">
        <v>408</v>
      </c>
      <c r="D294" t="s">
        <v>21</v>
      </c>
      <c r="E294" t="s">
        <v>21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</row>
    <row r="295" spans="1:20" x14ac:dyDescent="0.25">
      <c r="A295" t="s">
        <v>43</v>
      </c>
      <c r="B295">
        <v>36</v>
      </c>
      <c r="C295">
        <v>415</v>
      </c>
      <c r="D295" t="s">
        <v>21</v>
      </c>
      <c r="E295" t="s">
        <v>21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</row>
    <row r="296" spans="1:20" x14ac:dyDescent="0.25">
      <c r="A296" t="s">
        <v>64</v>
      </c>
      <c r="B296">
        <v>45</v>
      </c>
      <c r="C296">
        <v>510</v>
      </c>
      <c r="D296" t="s">
        <v>21</v>
      </c>
      <c r="E296" t="s">
        <v>21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</row>
    <row r="297" spans="1:20" x14ac:dyDescent="0.25">
      <c r="A297" t="s">
        <v>53</v>
      </c>
      <c r="B297">
        <v>170</v>
      </c>
      <c r="C297">
        <v>415</v>
      </c>
      <c r="D297" t="s">
        <v>21</v>
      </c>
      <c r="E297" t="s">
        <v>21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</row>
    <row r="298" spans="1:20" x14ac:dyDescent="0.25">
      <c r="A298" t="s">
        <v>59</v>
      </c>
      <c r="B298">
        <v>103</v>
      </c>
      <c r="C298">
        <v>415</v>
      </c>
      <c r="D298" t="s">
        <v>21</v>
      </c>
      <c r="E298" t="s">
        <v>21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</row>
    <row r="299" spans="1:20" x14ac:dyDescent="0.25">
      <c r="A299" t="s">
        <v>31</v>
      </c>
      <c r="B299">
        <v>112</v>
      </c>
      <c r="C299">
        <v>408</v>
      </c>
      <c r="D299" t="s">
        <v>21</v>
      </c>
      <c r="E299" t="s">
        <v>21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</row>
    <row r="300" spans="1:20" x14ac:dyDescent="0.25">
      <c r="A300" t="s">
        <v>34</v>
      </c>
      <c r="B300">
        <v>125</v>
      </c>
      <c r="C300">
        <v>510</v>
      </c>
      <c r="D300" t="s">
        <v>21</v>
      </c>
      <c r="E300" t="s">
        <v>21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</row>
    <row r="301" spans="1:20" x14ac:dyDescent="0.25">
      <c r="A301" t="s">
        <v>49</v>
      </c>
      <c r="B301">
        <v>73</v>
      </c>
      <c r="C301">
        <v>415</v>
      </c>
      <c r="D301" t="s">
        <v>21</v>
      </c>
      <c r="E301" t="s">
        <v>27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</row>
    <row r="302" spans="1:20" x14ac:dyDescent="0.25">
      <c r="A302" t="s">
        <v>46</v>
      </c>
      <c r="B302">
        <v>232</v>
      </c>
      <c r="C302">
        <v>408</v>
      </c>
      <c r="D302" t="s">
        <v>21</v>
      </c>
      <c r="E302" t="s">
        <v>21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</row>
    <row r="303" spans="1:20" x14ac:dyDescent="0.25">
      <c r="A303" t="s">
        <v>54</v>
      </c>
      <c r="B303">
        <v>95</v>
      </c>
      <c r="C303">
        <v>408</v>
      </c>
      <c r="D303" t="s">
        <v>21</v>
      </c>
      <c r="E303" t="s">
        <v>27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</row>
    <row r="304" spans="1:20" x14ac:dyDescent="0.25">
      <c r="A304" t="s">
        <v>30</v>
      </c>
      <c r="B304">
        <v>182</v>
      </c>
      <c r="C304">
        <v>415</v>
      </c>
      <c r="D304" t="s">
        <v>21</v>
      </c>
      <c r="E304" t="s">
        <v>21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</row>
    <row r="305" spans="1:20" x14ac:dyDescent="0.25">
      <c r="A305" t="s">
        <v>46</v>
      </c>
      <c r="B305">
        <v>55</v>
      </c>
      <c r="C305">
        <v>510</v>
      </c>
      <c r="D305" t="s">
        <v>21</v>
      </c>
      <c r="E305" t="s">
        <v>21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</row>
    <row r="306" spans="1:20" x14ac:dyDescent="0.25">
      <c r="A306" t="s">
        <v>30</v>
      </c>
      <c r="B306">
        <v>86</v>
      </c>
      <c r="C306">
        <v>415</v>
      </c>
      <c r="D306" t="s">
        <v>21</v>
      </c>
      <c r="E306" t="s">
        <v>27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</row>
    <row r="307" spans="1:20" x14ac:dyDescent="0.25">
      <c r="A307" t="s">
        <v>64</v>
      </c>
      <c r="B307">
        <v>127</v>
      </c>
      <c r="C307">
        <v>510</v>
      </c>
      <c r="D307" t="s">
        <v>21</v>
      </c>
      <c r="E307" t="s">
        <v>21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</row>
    <row r="308" spans="1:20" x14ac:dyDescent="0.25">
      <c r="A308" t="s">
        <v>70</v>
      </c>
      <c r="B308">
        <v>63</v>
      </c>
      <c r="C308">
        <v>415</v>
      </c>
      <c r="D308" t="s">
        <v>21</v>
      </c>
      <c r="E308" t="s">
        <v>21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</row>
    <row r="309" spans="1:20" x14ac:dyDescent="0.25">
      <c r="A309" t="s">
        <v>28</v>
      </c>
      <c r="B309">
        <v>79</v>
      </c>
      <c r="C309">
        <v>510</v>
      </c>
      <c r="D309" t="s">
        <v>21</v>
      </c>
      <c r="E309" t="s">
        <v>21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</row>
    <row r="310" spans="1:20" x14ac:dyDescent="0.25">
      <c r="A310" t="s">
        <v>20</v>
      </c>
      <c r="B310">
        <v>111</v>
      </c>
      <c r="C310">
        <v>415</v>
      </c>
      <c r="D310" t="s">
        <v>21</v>
      </c>
      <c r="E310" t="s">
        <v>27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</row>
    <row r="311" spans="1:20" x14ac:dyDescent="0.25">
      <c r="A311" t="s">
        <v>45</v>
      </c>
      <c r="B311">
        <v>121</v>
      </c>
      <c r="C311">
        <v>510</v>
      </c>
      <c r="D311" t="s">
        <v>21</v>
      </c>
      <c r="E311" t="s">
        <v>27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</row>
    <row r="312" spans="1:20" x14ac:dyDescent="0.25">
      <c r="A312" t="s">
        <v>57</v>
      </c>
      <c r="B312">
        <v>112</v>
      </c>
      <c r="C312">
        <v>415</v>
      </c>
      <c r="D312" t="s">
        <v>21</v>
      </c>
      <c r="E312" t="s">
        <v>21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</row>
    <row r="313" spans="1:20" x14ac:dyDescent="0.25">
      <c r="A313" t="s">
        <v>20</v>
      </c>
      <c r="B313">
        <v>81</v>
      </c>
      <c r="C313">
        <v>415</v>
      </c>
      <c r="D313" t="s">
        <v>21</v>
      </c>
      <c r="E313" t="s">
        <v>27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</row>
    <row r="314" spans="1:20" x14ac:dyDescent="0.25">
      <c r="A314" t="s">
        <v>38</v>
      </c>
      <c r="B314">
        <v>72</v>
      </c>
      <c r="C314">
        <v>510</v>
      </c>
      <c r="D314" t="s">
        <v>21</v>
      </c>
      <c r="E314" t="s">
        <v>21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</row>
    <row r="315" spans="1:20" x14ac:dyDescent="0.25">
      <c r="A315" t="s">
        <v>24</v>
      </c>
      <c r="B315">
        <v>64</v>
      </c>
      <c r="C315">
        <v>510</v>
      </c>
      <c r="D315" t="s">
        <v>21</v>
      </c>
      <c r="E315" t="s">
        <v>27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</row>
    <row r="316" spans="1:20" x14ac:dyDescent="0.25">
      <c r="A316" t="s">
        <v>65</v>
      </c>
      <c r="B316">
        <v>163</v>
      </c>
      <c r="C316">
        <v>408</v>
      </c>
      <c r="D316" t="s">
        <v>21</v>
      </c>
      <c r="E316" t="s">
        <v>21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</row>
    <row r="317" spans="1:20" x14ac:dyDescent="0.25">
      <c r="A317" t="s">
        <v>40</v>
      </c>
      <c r="B317">
        <v>104</v>
      </c>
      <c r="C317">
        <v>415</v>
      </c>
      <c r="D317" t="s">
        <v>21</v>
      </c>
      <c r="E317" t="s">
        <v>21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</row>
    <row r="318" spans="1:20" x14ac:dyDescent="0.25">
      <c r="A318" t="s">
        <v>39</v>
      </c>
      <c r="B318">
        <v>93</v>
      </c>
      <c r="C318">
        <v>510</v>
      </c>
      <c r="D318" t="s">
        <v>21</v>
      </c>
      <c r="E318" t="s">
        <v>27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</row>
    <row r="319" spans="1:20" x14ac:dyDescent="0.25">
      <c r="A319" t="s">
        <v>64</v>
      </c>
      <c r="B319">
        <v>197</v>
      </c>
      <c r="C319">
        <v>510</v>
      </c>
      <c r="D319" t="s">
        <v>21</v>
      </c>
      <c r="E319" t="s">
        <v>21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</row>
    <row r="320" spans="1:20" x14ac:dyDescent="0.25">
      <c r="A320" t="s">
        <v>69</v>
      </c>
      <c r="B320">
        <v>57</v>
      </c>
      <c r="C320">
        <v>510</v>
      </c>
      <c r="D320" t="s">
        <v>21</v>
      </c>
      <c r="E320" t="s">
        <v>21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</row>
    <row r="321" spans="1:20" x14ac:dyDescent="0.25">
      <c r="A321" t="s">
        <v>56</v>
      </c>
      <c r="B321">
        <v>107</v>
      </c>
      <c r="C321">
        <v>408</v>
      </c>
      <c r="D321" t="s">
        <v>21</v>
      </c>
      <c r="E321" t="s">
        <v>21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</row>
    <row r="322" spans="1:20" x14ac:dyDescent="0.25">
      <c r="A322" t="s">
        <v>54</v>
      </c>
      <c r="B322">
        <v>75</v>
      </c>
      <c r="C322">
        <v>408</v>
      </c>
      <c r="D322" t="s">
        <v>21</v>
      </c>
      <c r="E322" t="s">
        <v>21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</row>
    <row r="323" spans="1:20" x14ac:dyDescent="0.25">
      <c r="A323" t="s">
        <v>51</v>
      </c>
      <c r="B323">
        <v>106</v>
      </c>
      <c r="C323">
        <v>408</v>
      </c>
      <c r="D323" t="s">
        <v>21</v>
      </c>
      <c r="E323" t="s">
        <v>21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</row>
    <row r="324" spans="1:20" x14ac:dyDescent="0.25">
      <c r="A324" t="s">
        <v>49</v>
      </c>
      <c r="B324">
        <v>70</v>
      </c>
      <c r="C324">
        <v>408</v>
      </c>
      <c r="D324" t="s">
        <v>21</v>
      </c>
      <c r="E324" t="s">
        <v>21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</row>
    <row r="325" spans="1:20" x14ac:dyDescent="0.25">
      <c r="A325" t="s">
        <v>35</v>
      </c>
      <c r="B325">
        <v>80</v>
      </c>
      <c r="C325">
        <v>408</v>
      </c>
      <c r="D325" t="s">
        <v>21</v>
      </c>
      <c r="E325" t="s">
        <v>21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</row>
    <row r="326" spans="1:20" x14ac:dyDescent="0.25">
      <c r="A326" t="s">
        <v>33</v>
      </c>
      <c r="B326">
        <v>137</v>
      </c>
      <c r="C326">
        <v>510</v>
      </c>
      <c r="D326" t="s">
        <v>21</v>
      </c>
      <c r="E326" t="s">
        <v>21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</row>
    <row r="327" spans="1:20" x14ac:dyDescent="0.25">
      <c r="A327" t="s">
        <v>63</v>
      </c>
      <c r="B327">
        <v>90</v>
      </c>
      <c r="C327">
        <v>415</v>
      </c>
      <c r="D327" t="s">
        <v>21</v>
      </c>
      <c r="E327" t="s">
        <v>27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</row>
    <row r="328" spans="1:20" x14ac:dyDescent="0.25">
      <c r="A328" t="s">
        <v>56</v>
      </c>
      <c r="B328">
        <v>30</v>
      </c>
      <c r="C328">
        <v>408</v>
      </c>
      <c r="D328" t="s">
        <v>21</v>
      </c>
      <c r="E328" t="s">
        <v>21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</row>
    <row r="329" spans="1:20" x14ac:dyDescent="0.25">
      <c r="A329" t="s">
        <v>52</v>
      </c>
      <c r="B329">
        <v>105</v>
      </c>
      <c r="C329">
        <v>415</v>
      </c>
      <c r="D329" t="s">
        <v>27</v>
      </c>
      <c r="E329" t="s">
        <v>21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</row>
    <row r="330" spans="1:20" x14ac:dyDescent="0.25">
      <c r="A330" t="s">
        <v>35</v>
      </c>
      <c r="B330">
        <v>102</v>
      </c>
      <c r="C330">
        <v>415</v>
      </c>
      <c r="D330" t="s">
        <v>21</v>
      </c>
      <c r="E330" t="s">
        <v>27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</row>
    <row r="331" spans="1:20" x14ac:dyDescent="0.25">
      <c r="A331" t="s">
        <v>64</v>
      </c>
      <c r="B331">
        <v>83</v>
      </c>
      <c r="C331">
        <v>415</v>
      </c>
      <c r="D331" t="s">
        <v>21</v>
      </c>
      <c r="E331" t="s">
        <v>21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</row>
    <row r="332" spans="1:20" x14ac:dyDescent="0.25">
      <c r="A332" t="s">
        <v>69</v>
      </c>
      <c r="B332">
        <v>63</v>
      </c>
      <c r="C332">
        <v>510</v>
      </c>
      <c r="D332" t="s">
        <v>21</v>
      </c>
      <c r="E332" t="s">
        <v>27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</row>
    <row r="333" spans="1:20" x14ac:dyDescent="0.25">
      <c r="A333" t="s">
        <v>49</v>
      </c>
      <c r="B333">
        <v>155</v>
      </c>
      <c r="C333">
        <v>408</v>
      </c>
      <c r="D333" t="s">
        <v>21</v>
      </c>
      <c r="E333" t="s">
        <v>21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</row>
    <row r="334" spans="1:20" x14ac:dyDescent="0.25">
      <c r="A334" t="s">
        <v>62</v>
      </c>
      <c r="B334">
        <v>105</v>
      </c>
      <c r="C334">
        <v>408</v>
      </c>
      <c r="D334" t="s">
        <v>21</v>
      </c>
      <c r="E334" t="s">
        <v>21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</row>
    <row r="335" spans="1:20" x14ac:dyDescent="0.25">
      <c r="A335" t="s">
        <v>71</v>
      </c>
      <c r="B335">
        <v>73</v>
      </c>
      <c r="C335">
        <v>415</v>
      </c>
      <c r="D335" t="s">
        <v>21</v>
      </c>
      <c r="E335" t="s">
        <v>21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</row>
    <row r="336" spans="1:20" x14ac:dyDescent="0.25">
      <c r="A336" t="s">
        <v>46</v>
      </c>
      <c r="B336">
        <v>21</v>
      </c>
      <c r="C336">
        <v>415</v>
      </c>
      <c r="D336" t="s">
        <v>21</v>
      </c>
      <c r="E336" t="s">
        <v>27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</row>
    <row r="337" spans="1:20" x14ac:dyDescent="0.25">
      <c r="A337" t="s">
        <v>48</v>
      </c>
      <c r="B337">
        <v>71</v>
      </c>
      <c r="C337">
        <v>415</v>
      </c>
      <c r="D337" t="s">
        <v>21</v>
      </c>
      <c r="E337" t="s">
        <v>27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</row>
    <row r="338" spans="1:20" x14ac:dyDescent="0.25">
      <c r="A338" t="s">
        <v>36</v>
      </c>
      <c r="B338">
        <v>112</v>
      </c>
      <c r="C338">
        <v>415</v>
      </c>
      <c r="D338" t="s">
        <v>21</v>
      </c>
      <c r="E338" t="s">
        <v>21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</row>
    <row r="339" spans="1:20" x14ac:dyDescent="0.25">
      <c r="A339" t="s">
        <v>38</v>
      </c>
      <c r="B339">
        <v>66</v>
      </c>
      <c r="C339">
        <v>510</v>
      </c>
      <c r="D339" t="s">
        <v>21</v>
      </c>
      <c r="E339" t="s">
        <v>21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</row>
    <row r="340" spans="1:20" x14ac:dyDescent="0.25">
      <c r="A340" t="s">
        <v>70</v>
      </c>
      <c r="B340">
        <v>99</v>
      </c>
      <c r="C340">
        <v>408</v>
      </c>
      <c r="D340" t="s">
        <v>21</v>
      </c>
      <c r="E340" t="s">
        <v>21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</row>
    <row r="341" spans="1:20" x14ac:dyDescent="0.25">
      <c r="A341" t="s">
        <v>66</v>
      </c>
      <c r="B341">
        <v>124</v>
      </c>
      <c r="C341">
        <v>510</v>
      </c>
      <c r="D341" t="s">
        <v>21</v>
      </c>
      <c r="E341" t="s">
        <v>21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</row>
    <row r="342" spans="1:20" x14ac:dyDescent="0.25">
      <c r="A342" t="s">
        <v>56</v>
      </c>
      <c r="B342">
        <v>95</v>
      </c>
      <c r="C342">
        <v>415</v>
      </c>
      <c r="D342" t="s">
        <v>21</v>
      </c>
      <c r="E342" t="s">
        <v>27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</row>
    <row r="343" spans="1:20" x14ac:dyDescent="0.25">
      <c r="A343" t="s">
        <v>45</v>
      </c>
      <c r="B343">
        <v>130</v>
      </c>
      <c r="C343">
        <v>408</v>
      </c>
      <c r="D343" t="s">
        <v>21</v>
      </c>
      <c r="E343" t="s">
        <v>21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</row>
    <row r="344" spans="1:20" x14ac:dyDescent="0.25">
      <c r="A344" t="s">
        <v>65</v>
      </c>
      <c r="B344">
        <v>93</v>
      </c>
      <c r="C344">
        <v>510</v>
      </c>
      <c r="D344" t="s">
        <v>27</v>
      </c>
      <c r="E344" t="s">
        <v>21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</row>
    <row r="345" spans="1:20" x14ac:dyDescent="0.25">
      <c r="A345" t="s">
        <v>66</v>
      </c>
      <c r="B345">
        <v>191</v>
      </c>
      <c r="C345">
        <v>408</v>
      </c>
      <c r="D345" t="s">
        <v>21</v>
      </c>
      <c r="E345" t="s">
        <v>21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</row>
    <row r="346" spans="1:20" x14ac:dyDescent="0.25">
      <c r="A346" t="s">
        <v>36</v>
      </c>
      <c r="B346">
        <v>88</v>
      </c>
      <c r="C346">
        <v>415</v>
      </c>
      <c r="D346" t="s">
        <v>21</v>
      </c>
      <c r="E346" t="s">
        <v>21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</row>
    <row r="347" spans="1:20" x14ac:dyDescent="0.25">
      <c r="A347" t="s">
        <v>50</v>
      </c>
      <c r="B347">
        <v>16</v>
      </c>
      <c r="C347">
        <v>415</v>
      </c>
      <c r="D347" t="s">
        <v>21</v>
      </c>
      <c r="E347" t="s">
        <v>21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</row>
    <row r="348" spans="1:20" x14ac:dyDescent="0.25">
      <c r="A348" t="s">
        <v>72</v>
      </c>
      <c r="B348">
        <v>107</v>
      </c>
      <c r="C348">
        <v>510</v>
      </c>
      <c r="D348" t="s">
        <v>21</v>
      </c>
      <c r="E348" t="s">
        <v>21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</row>
    <row r="349" spans="1:20" x14ac:dyDescent="0.25">
      <c r="A349" t="s">
        <v>26</v>
      </c>
      <c r="B349">
        <v>96</v>
      </c>
      <c r="C349">
        <v>408</v>
      </c>
      <c r="D349" t="s">
        <v>21</v>
      </c>
      <c r="E349" t="s">
        <v>27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</row>
    <row r="350" spans="1:20" x14ac:dyDescent="0.25">
      <c r="A350" t="s">
        <v>56</v>
      </c>
      <c r="B350">
        <v>163</v>
      </c>
      <c r="C350">
        <v>408</v>
      </c>
      <c r="D350" t="s">
        <v>21</v>
      </c>
      <c r="E350" t="s">
        <v>27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</row>
    <row r="351" spans="1:20" x14ac:dyDescent="0.25">
      <c r="A351" t="s">
        <v>47</v>
      </c>
      <c r="B351">
        <v>95</v>
      </c>
      <c r="C351">
        <v>415</v>
      </c>
      <c r="D351" t="s">
        <v>21</v>
      </c>
      <c r="E351" t="s">
        <v>21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</row>
    <row r="352" spans="1:20" x14ac:dyDescent="0.25">
      <c r="A352" t="s">
        <v>55</v>
      </c>
      <c r="B352">
        <v>123</v>
      </c>
      <c r="C352">
        <v>415</v>
      </c>
      <c r="D352" t="s">
        <v>21</v>
      </c>
      <c r="E352" t="s">
        <v>27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</row>
    <row r="353" spans="1:20" x14ac:dyDescent="0.25">
      <c r="A353" t="s">
        <v>35</v>
      </c>
      <c r="B353">
        <v>34</v>
      </c>
      <c r="C353">
        <v>415</v>
      </c>
      <c r="D353" t="s">
        <v>21</v>
      </c>
      <c r="E353" t="s">
        <v>21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</row>
    <row r="354" spans="1:20" x14ac:dyDescent="0.25">
      <c r="A354" t="s">
        <v>58</v>
      </c>
      <c r="B354">
        <v>96</v>
      </c>
      <c r="C354">
        <v>415</v>
      </c>
      <c r="D354" t="s">
        <v>21</v>
      </c>
      <c r="E354" t="s">
        <v>27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</row>
    <row r="355" spans="1:20" x14ac:dyDescent="0.25">
      <c r="A355" t="s">
        <v>42</v>
      </c>
      <c r="B355">
        <v>146</v>
      </c>
      <c r="C355">
        <v>415</v>
      </c>
      <c r="D355" t="s">
        <v>21</v>
      </c>
      <c r="E355" t="s">
        <v>21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</row>
    <row r="356" spans="1:20" x14ac:dyDescent="0.25">
      <c r="A356" t="s">
        <v>29</v>
      </c>
      <c r="B356">
        <v>138</v>
      </c>
      <c r="C356">
        <v>415</v>
      </c>
      <c r="D356" t="s">
        <v>27</v>
      </c>
      <c r="E356" t="s">
        <v>27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</row>
    <row r="357" spans="1:20" x14ac:dyDescent="0.25">
      <c r="A357" t="s">
        <v>43</v>
      </c>
      <c r="B357">
        <v>76</v>
      </c>
      <c r="C357">
        <v>510</v>
      </c>
      <c r="D357" t="s">
        <v>21</v>
      </c>
      <c r="E357" t="s">
        <v>21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</row>
    <row r="358" spans="1:20" x14ac:dyDescent="0.25">
      <c r="A358" t="s">
        <v>53</v>
      </c>
      <c r="B358">
        <v>83</v>
      </c>
      <c r="C358">
        <v>510</v>
      </c>
      <c r="D358" t="s">
        <v>21</v>
      </c>
      <c r="E358" t="s">
        <v>27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</row>
    <row r="359" spans="1:20" x14ac:dyDescent="0.25">
      <c r="A359" t="s">
        <v>25</v>
      </c>
      <c r="B359">
        <v>104</v>
      </c>
      <c r="C359">
        <v>408</v>
      </c>
      <c r="D359" t="s">
        <v>21</v>
      </c>
      <c r="E359" t="s">
        <v>21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</row>
    <row r="360" spans="1:20" x14ac:dyDescent="0.25">
      <c r="A360" t="s">
        <v>64</v>
      </c>
      <c r="B360">
        <v>106</v>
      </c>
      <c r="C360">
        <v>415</v>
      </c>
      <c r="D360" t="s">
        <v>21</v>
      </c>
      <c r="E360" t="s">
        <v>21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</row>
    <row r="361" spans="1:20" x14ac:dyDescent="0.25">
      <c r="A361" t="s">
        <v>49</v>
      </c>
      <c r="B361">
        <v>84</v>
      </c>
      <c r="C361">
        <v>510</v>
      </c>
      <c r="D361" t="s">
        <v>21</v>
      </c>
      <c r="E361" t="s">
        <v>21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</row>
    <row r="362" spans="1:20" x14ac:dyDescent="0.25">
      <c r="A362" t="s">
        <v>32</v>
      </c>
      <c r="B362">
        <v>99</v>
      </c>
      <c r="C362">
        <v>408</v>
      </c>
      <c r="D362" t="s">
        <v>21</v>
      </c>
      <c r="E362" t="s">
        <v>21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</row>
    <row r="363" spans="1:20" x14ac:dyDescent="0.25">
      <c r="A363" t="s">
        <v>57</v>
      </c>
      <c r="B363">
        <v>134</v>
      </c>
      <c r="C363">
        <v>415</v>
      </c>
      <c r="D363" t="s">
        <v>21</v>
      </c>
      <c r="E363" t="s">
        <v>21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</row>
    <row r="364" spans="1:20" x14ac:dyDescent="0.25">
      <c r="A364" t="s">
        <v>64</v>
      </c>
      <c r="B364">
        <v>80</v>
      </c>
      <c r="C364">
        <v>415</v>
      </c>
      <c r="D364" t="s">
        <v>21</v>
      </c>
      <c r="E364" t="s">
        <v>21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</row>
    <row r="365" spans="1:20" x14ac:dyDescent="0.25">
      <c r="A365" t="s">
        <v>32</v>
      </c>
      <c r="B365">
        <v>85</v>
      </c>
      <c r="C365">
        <v>415</v>
      </c>
      <c r="D365" t="s">
        <v>21</v>
      </c>
      <c r="E365" t="s">
        <v>21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</row>
    <row r="366" spans="1:20" x14ac:dyDescent="0.25">
      <c r="A366" t="s">
        <v>31</v>
      </c>
      <c r="B366">
        <v>120</v>
      </c>
      <c r="C366">
        <v>408</v>
      </c>
      <c r="D366" t="s">
        <v>21</v>
      </c>
      <c r="E366" t="s">
        <v>27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</row>
    <row r="367" spans="1:20" x14ac:dyDescent="0.25">
      <c r="A367" t="s">
        <v>52</v>
      </c>
      <c r="B367">
        <v>120</v>
      </c>
      <c r="C367">
        <v>510</v>
      </c>
      <c r="D367" t="s">
        <v>21</v>
      </c>
      <c r="E367" t="s">
        <v>21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</row>
    <row r="368" spans="1:20" x14ac:dyDescent="0.25">
      <c r="A368" t="s">
        <v>64</v>
      </c>
      <c r="B368">
        <v>125</v>
      </c>
      <c r="C368">
        <v>415</v>
      </c>
      <c r="D368" t="s">
        <v>21</v>
      </c>
      <c r="E368" t="s">
        <v>21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</row>
    <row r="369" spans="1:20" x14ac:dyDescent="0.25">
      <c r="A369" t="s">
        <v>68</v>
      </c>
      <c r="B369">
        <v>118</v>
      </c>
      <c r="C369">
        <v>415</v>
      </c>
      <c r="D369" t="s">
        <v>21</v>
      </c>
      <c r="E369" t="s">
        <v>27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</row>
    <row r="370" spans="1:20" x14ac:dyDescent="0.25">
      <c r="A370" t="s">
        <v>50</v>
      </c>
      <c r="B370">
        <v>62</v>
      </c>
      <c r="C370">
        <v>415</v>
      </c>
      <c r="D370" t="s">
        <v>21</v>
      </c>
      <c r="E370" t="s">
        <v>21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</row>
    <row r="371" spans="1:20" x14ac:dyDescent="0.25">
      <c r="A371" t="s">
        <v>20</v>
      </c>
      <c r="B371">
        <v>112</v>
      </c>
      <c r="C371">
        <v>510</v>
      </c>
      <c r="D371" t="s">
        <v>21</v>
      </c>
      <c r="E371" t="s">
        <v>21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</row>
    <row r="372" spans="1:20" x14ac:dyDescent="0.25">
      <c r="A372" t="s">
        <v>44</v>
      </c>
      <c r="B372">
        <v>68</v>
      </c>
      <c r="C372">
        <v>510</v>
      </c>
      <c r="D372" t="s">
        <v>21</v>
      </c>
      <c r="E372" t="s">
        <v>21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</row>
    <row r="373" spans="1:20" x14ac:dyDescent="0.25">
      <c r="A373" t="s">
        <v>48</v>
      </c>
      <c r="B373">
        <v>201</v>
      </c>
      <c r="C373">
        <v>415</v>
      </c>
      <c r="D373" t="s">
        <v>21</v>
      </c>
      <c r="E373" t="s">
        <v>27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</row>
    <row r="374" spans="1:20" x14ac:dyDescent="0.25">
      <c r="A374" t="s">
        <v>69</v>
      </c>
      <c r="B374">
        <v>116</v>
      </c>
      <c r="C374">
        <v>510</v>
      </c>
      <c r="D374" t="s">
        <v>21</v>
      </c>
      <c r="E374" t="s">
        <v>21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</row>
    <row r="375" spans="1:20" x14ac:dyDescent="0.25">
      <c r="A375" t="s">
        <v>72</v>
      </c>
      <c r="B375">
        <v>133</v>
      </c>
      <c r="C375">
        <v>510</v>
      </c>
      <c r="D375" t="s">
        <v>21</v>
      </c>
      <c r="E375" t="s">
        <v>21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</row>
    <row r="376" spans="1:20" x14ac:dyDescent="0.25">
      <c r="A376" t="s">
        <v>36</v>
      </c>
      <c r="B376">
        <v>125</v>
      </c>
      <c r="C376">
        <v>408</v>
      </c>
      <c r="D376" t="s">
        <v>21</v>
      </c>
      <c r="E376" t="s">
        <v>21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</row>
    <row r="377" spans="1:20" x14ac:dyDescent="0.25">
      <c r="A377" t="s">
        <v>41</v>
      </c>
      <c r="B377">
        <v>21</v>
      </c>
      <c r="C377">
        <v>510</v>
      </c>
      <c r="D377" t="s">
        <v>21</v>
      </c>
      <c r="E377" t="s">
        <v>21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</row>
    <row r="378" spans="1:20" x14ac:dyDescent="0.25">
      <c r="A378" t="s">
        <v>68</v>
      </c>
      <c r="B378">
        <v>110</v>
      </c>
      <c r="C378">
        <v>408</v>
      </c>
      <c r="D378" t="s">
        <v>21</v>
      </c>
      <c r="E378" t="s">
        <v>21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</row>
    <row r="379" spans="1:20" x14ac:dyDescent="0.25">
      <c r="A379" t="s">
        <v>45</v>
      </c>
      <c r="B379">
        <v>83</v>
      </c>
      <c r="C379">
        <v>415</v>
      </c>
      <c r="D379" t="s">
        <v>21</v>
      </c>
      <c r="E379" t="s">
        <v>21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</row>
    <row r="380" spans="1:20" x14ac:dyDescent="0.25">
      <c r="A380" t="s">
        <v>22</v>
      </c>
      <c r="B380">
        <v>101</v>
      </c>
      <c r="C380">
        <v>415</v>
      </c>
      <c r="D380" t="s">
        <v>21</v>
      </c>
      <c r="E380" t="s">
        <v>27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</row>
    <row r="381" spans="1:20" x14ac:dyDescent="0.25">
      <c r="A381" t="s">
        <v>47</v>
      </c>
      <c r="B381">
        <v>117</v>
      </c>
      <c r="C381">
        <v>415</v>
      </c>
      <c r="D381" t="s">
        <v>21</v>
      </c>
      <c r="E381" t="s">
        <v>27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</row>
    <row r="382" spans="1:20" x14ac:dyDescent="0.25">
      <c r="A382" t="s">
        <v>42</v>
      </c>
      <c r="B382">
        <v>127</v>
      </c>
      <c r="C382">
        <v>408</v>
      </c>
      <c r="D382" t="s">
        <v>21</v>
      </c>
      <c r="E382" t="s">
        <v>21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</row>
    <row r="383" spans="1:20" x14ac:dyDescent="0.25">
      <c r="A383" t="s">
        <v>52</v>
      </c>
      <c r="B383">
        <v>138</v>
      </c>
      <c r="C383">
        <v>510</v>
      </c>
      <c r="D383" t="s">
        <v>21</v>
      </c>
      <c r="E383" t="s">
        <v>27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</row>
    <row r="384" spans="1:20" x14ac:dyDescent="0.25">
      <c r="A384" t="s">
        <v>48</v>
      </c>
      <c r="B384">
        <v>120</v>
      </c>
      <c r="C384">
        <v>415</v>
      </c>
      <c r="D384" t="s">
        <v>21</v>
      </c>
      <c r="E384" t="s">
        <v>21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</row>
    <row r="385" spans="1:20" x14ac:dyDescent="0.25">
      <c r="A385" t="s">
        <v>61</v>
      </c>
      <c r="B385">
        <v>141</v>
      </c>
      <c r="C385">
        <v>415</v>
      </c>
      <c r="D385" t="s">
        <v>21</v>
      </c>
      <c r="E385" t="s">
        <v>27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</row>
    <row r="386" spans="1:20" x14ac:dyDescent="0.25">
      <c r="A386" t="s">
        <v>47</v>
      </c>
      <c r="B386">
        <v>87</v>
      </c>
      <c r="C386">
        <v>510</v>
      </c>
      <c r="D386" t="s">
        <v>21</v>
      </c>
      <c r="E386" t="s">
        <v>27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</row>
    <row r="387" spans="1:20" x14ac:dyDescent="0.25">
      <c r="A387" t="s">
        <v>40</v>
      </c>
      <c r="B387">
        <v>97</v>
      </c>
      <c r="C387">
        <v>408</v>
      </c>
      <c r="D387" t="s">
        <v>21</v>
      </c>
      <c r="E387" t="s">
        <v>21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</row>
    <row r="388" spans="1:20" x14ac:dyDescent="0.25">
      <c r="A388" t="s">
        <v>53</v>
      </c>
      <c r="B388">
        <v>162</v>
      </c>
      <c r="C388">
        <v>408</v>
      </c>
      <c r="D388" t="s">
        <v>21</v>
      </c>
      <c r="E388" t="s">
        <v>27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</row>
    <row r="389" spans="1:20" x14ac:dyDescent="0.25">
      <c r="A389" t="s">
        <v>48</v>
      </c>
      <c r="B389">
        <v>119</v>
      </c>
      <c r="C389">
        <v>510</v>
      </c>
      <c r="D389" t="s">
        <v>21</v>
      </c>
      <c r="E389" t="s">
        <v>21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</row>
    <row r="390" spans="1:20" x14ac:dyDescent="0.25">
      <c r="A390" t="s">
        <v>31</v>
      </c>
      <c r="B390">
        <v>107</v>
      </c>
      <c r="C390">
        <v>510</v>
      </c>
      <c r="D390" t="s">
        <v>21</v>
      </c>
      <c r="E390" t="s">
        <v>27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</row>
    <row r="391" spans="1:20" x14ac:dyDescent="0.25">
      <c r="A391" t="s">
        <v>24</v>
      </c>
      <c r="B391">
        <v>140</v>
      </c>
      <c r="C391">
        <v>510</v>
      </c>
      <c r="D391" t="s">
        <v>21</v>
      </c>
      <c r="E391" t="s">
        <v>27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</row>
    <row r="392" spans="1:20" x14ac:dyDescent="0.25">
      <c r="A392" t="s">
        <v>54</v>
      </c>
      <c r="B392">
        <v>91</v>
      </c>
      <c r="C392">
        <v>415</v>
      </c>
      <c r="D392" t="s">
        <v>21</v>
      </c>
      <c r="E392" t="s">
        <v>21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</row>
    <row r="393" spans="1:20" x14ac:dyDescent="0.25">
      <c r="A393" t="s">
        <v>42</v>
      </c>
      <c r="B393">
        <v>135</v>
      </c>
      <c r="C393">
        <v>415</v>
      </c>
      <c r="D393" t="s">
        <v>21</v>
      </c>
      <c r="E393" t="s">
        <v>21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</row>
    <row r="394" spans="1:20" x14ac:dyDescent="0.25">
      <c r="A394" t="s">
        <v>25</v>
      </c>
      <c r="B394">
        <v>86</v>
      </c>
      <c r="C394">
        <v>408</v>
      </c>
      <c r="D394" t="s">
        <v>21</v>
      </c>
      <c r="E394" t="s">
        <v>27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</row>
    <row r="395" spans="1:20" x14ac:dyDescent="0.25">
      <c r="A395" t="s">
        <v>36</v>
      </c>
      <c r="B395">
        <v>131</v>
      </c>
      <c r="C395">
        <v>415</v>
      </c>
      <c r="D395" t="s">
        <v>21</v>
      </c>
      <c r="E395" t="s">
        <v>21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</row>
    <row r="396" spans="1:20" x14ac:dyDescent="0.25">
      <c r="A396" t="s">
        <v>42</v>
      </c>
      <c r="B396">
        <v>86</v>
      </c>
      <c r="C396">
        <v>415</v>
      </c>
      <c r="D396" t="s">
        <v>21</v>
      </c>
      <c r="E396" t="s">
        <v>27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</row>
    <row r="397" spans="1:20" x14ac:dyDescent="0.25">
      <c r="A397" t="s">
        <v>44</v>
      </c>
      <c r="B397">
        <v>85</v>
      </c>
      <c r="C397">
        <v>415</v>
      </c>
      <c r="D397" t="s">
        <v>21</v>
      </c>
      <c r="E397" t="s">
        <v>21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</row>
    <row r="398" spans="1:20" x14ac:dyDescent="0.25">
      <c r="A398" t="s">
        <v>33</v>
      </c>
      <c r="B398">
        <v>195</v>
      </c>
      <c r="C398">
        <v>415</v>
      </c>
      <c r="D398" t="s">
        <v>21</v>
      </c>
      <c r="E398" t="s">
        <v>27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</row>
    <row r="399" spans="1:20" x14ac:dyDescent="0.25">
      <c r="A399" t="s">
        <v>68</v>
      </c>
      <c r="B399">
        <v>177</v>
      </c>
      <c r="C399">
        <v>408</v>
      </c>
      <c r="D399" t="s">
        <v>21</v>
      </c>
      <c r="E399" t="s">
        <v>21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</row>
    <row r="400" spans="1:20" x14ac:dyDescent="0.25">
      <c r="A400" t="s">
        <v>40</v>
      </c>
      <c r="B400">
        <v>100</v>
      </c>
      <c r="C400">
        <v>408</v>
      </c>
      <c r="D400" t="s">
        <v>21</v>
      </c>
      <c r="E400" t="s">
        <v>21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</row>
    <row r="401" spans="1:20" x14ac:dyDescent="0.25">
      <c r="A401" t="s">
        <v>56</v>
      </c>
      <c r="B401">
        <v>124</v>
      </c>
      <c r="C401">
        <v>415</v>
      </c>
      <c r="D401" t="s">
        <v>21</v>
      </c>
      <c r="E401" t="s">
        <v>21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</row>
    <row r="402" spans="1:20" x14ac:dyDescent="0.25">
      <c r="A402" t="s">
        <v>58</v>
      </c>
      <c r="B402">
        <v>81</v>
      </c>
      <c r="C402">
        <v>510</v>
      </c>
      <c r="D402" t="s">
        <v>27</v>
      </c>
      <c r="E402" t="s">
        <v>21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</row>
    <row r="403" spans="1:20" x14ac:dyDescent="0.25">
      <c r="A403" t="s">
        <v>25</v>
      </c>
      <c r="B403">
        <v>105</v>
      </c>
      <c r="C403">
        <v>415</v>
      </c>
      <c r="D403" t="s">
        <v>21</v>
      </c>
      <c r="E403" t="s">
        <v>21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</row>
    <row r="404" spans="1:20" x14ac:dyDescent="0.25">
      <c r="A404" t="s">
        <v>28</v>
      </c>
      <c r="B404">
        <v>126</v>
      </c>
      <c r="C404">
        <v>415</v>
      </c>
      <c r="D404" t="s">
        <v>27</v>
      </c>
      <c r="E404" t="s">
        <v>27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</row>
    <row r="405" spans="1:20" x14ac:dyDescent="0.25">
      <c r="A405" t="s">
        <v>68</v>
      </c>
      <c r="B405">
        <v>71</v>
      </c>
      <c r="C405">
        <v>510</v>
      </c>
      <c r="D405" t="s">
        <v>21</v>
      </c>
      <c r="E405" t="s">
        <v>21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</row>
    <row r="406" spans="1:20" x14ac:dyDescent="0.25">
      <c r="A406" t="s">
        <v>41</v>
      </c>
      <c r="B406">
        <v>139</v>
      </c>
      <c r="C406">
        <v>415</v>
      </c>
      <c r="D406" t="s">
        <v>21</v>
      </c>
      <c r="E406" t="s">
        <v>21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</row>
    <row r="407" spans="1:20" x14ac:dyDescent="0.25">
      <c r="A407" t="s">
        <v>41</v>
      </c>
      <c r="B407">
        <v>77</v>
      </c>
      <c r="C407">
        <v>415</v>
      </c>
      <c r="D407" t="s">
        <v>21</v>
      </c>
      <c r="E407" t="s">
        <v>21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</row>
    <row r="408" spans="1:20" x14ac:dyDescent="0.25">
      <c r="A408" t="s">
        <v>36</v>
      </c>
      <c r="B408">
        <v>72</v>
      </c>
      <c r="C408">
        <v>408</v>
      </c>
      <c r="D408" t="s">
        <v>21</v>
      </c>
      <c r="E408" t="s">
        <v>21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</row>
    <row r="409" spans="1:20" x14ac:dyDescent="0.25">
      <c r="A409" t="s">
        <v>52</v>
      </c>
      <c r="B409">
        <v>74</v>
      </c>
      <c r="C409">
        <v>415</v>
      </c>
      <c r="D409" t="s">
        <v>21</v>
      </c>
      <c r="E409" t="s">
        <v>27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</row>
    <row r="410" spans="1:20" x14ac:dyDescent="0.25">
      <c r="A410" t="s">
        <v>68</v>
      </c>
      <c r="B410">
        <v>124</v>
      </c>
      <c r="C410">
        <v>415</v>
      </c>
      <c r="D410" t="s">
        <v>21</v>
      </c>
      <c r="E410" t="s">
        <v>21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</row>
    <row r="411" spans="1:20" x14ac:dyDescent="0.25">
      <c r="A411" t="s">
        <v>36</v>
      </c>
      <c r="B411">
        <v>113</v>
      </c>
      <c r="C411">
        <v>408</v>
      </c>
      <c r="D411" t="s">
        <v>21</v>
      </c>
      <c r="E411" t="s">
        <v>27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</row>
    <row r="412" spans="1:20" x14ac:dyDescent="0.25">
      <c r="A412" t="s">
        <v>62</v>
      </c>
      <c r="B412">
        <v>66</v>
      </c>
      <c r="C412">
        <v>510</v>
      </c>
      <c r="D412" t="s">
        <v>21</v>
      </c>
      <c r="E412" t="s">
        <v>21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</row>
    <row r="413" spans="1:20" x14ac:dyDescent="0.25">
      <c r="A413" t="s">
        <v>34</v>
      </c>
      <c r="B413">
        <v>124</v>
      </c>
      <c r="C413">
        <v>415</v>
      </c>
      <c r="D413" t="s">
        <v>21</v>
      </c>
      <c r="E413" t="s">
        <v>27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</row>
    <row r="414" spans="1:20" x14ac:dyDescent="0.25">
      <c r="A414" t="s">
        <v>63</v>
      </c>
      <c r="B414">
        <v>134</v>
      </c>
      <c r="C414">
        <v>408</v>
      </c>
      <c r="D414" t="s">
        <v>21</v>
      </c>
      <c r="E414" t="s">
        <v>21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</row>
    <row r="415" spans="1:20" x14ac:dyDescent="0.25">
      <c r="A415" t="s">
        <v>62</v>
      </c>
      <c r="B415">
        <v>41</v>
      </c>
      <c r="C415">
        <v>415</v>
      </c>
      <c r="D415" t="s">
        <v>21</v>
      </c>
      <c r="E415" t="s">
        <v>27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</row>
    <row r="416" spans="1:20" x14ac:dyDescent="0.25">
      <c r="A416" t="s">
        <v>24</v>
      </c>
      <c r="B416">
        <v>159</v>
      </c>
      <c r="C416">
        <v>415</v>
      </c>
      <c r="D416" t="s">
        <v>21</v>
      </c>
      <c r="E416" t="s">
        <v>27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</row>
    <row r="417" spans="1:20" x14ac:dyDescent="0.25">
      <c r="A417" t="s">
        <v>63</v>
      </c>
      <c r="B417">
        <v>87</v>
      </c>
      <c r="C417">
        <v>408</v>
      </c>
      <c r="D417" t="s">
        <v>27</v>
      </c>
      <c r="E417" t="s">
        <v>27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</row>
    <row r="418" spans="1:20" x14ac:dyDescent="0.25">
      <c r="A418" t="s">
        <v>40</v>
      </c>
      <c r="B418">
        <v>132</v>
      </c>
      <c r="C418">
        <v>415</v>
      </c>
      <c r="D418" t="s">
        <v>21</v>
      </c>
      <c r="E418" t="s">
        <v>21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</row>
    <row r="419" spans="1:20" x14ac:dyDescent="0.25">
      <c r="A419" t="s">
        <v>41</v>
      </c>
      <c r="B419">
        <v>86</v>
      </c>
      <c r="C419">
        <v>408</v>
      </c>
      <c r="D419" t="s">
        <v>21</v>
      </c>
      <c r="E419" t="s">
        <v>21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</row>
    <row r="420" spans="1:20" x14ac:dyDescent="0.25">
      <c r="A420" t="s">
        <v>63</v>
      </c>
      <c r="B420">
        <v>55</v>
      </c>
      <c r="C420">
        <v>415</v>
      </c>
      <c r="D420" t="s">
        <v>27</v>
      </c>
      <c r="E420" t="s">
        <v>21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</row>
    <row r="421" spans="1:20" x14ac:dyDescent="0.25">
      <c r="A421" t="s">
        <v>33</v>
      </c>
      <c r="B421">
        <v>101</v>
      </c>
      <c r="C421">
        <v>415</v>
      </c>
      <c r="D421" t="s">
        <v>21</v>
      </c>
      <c r="E421" t="s">
        <v>21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</row>
    <row r="422" spans="1:20" x14ac:dyDescent="0.25">
      <c r="A422" t="s">
        <v>52</v>
      </c>
      <c r="B422">
        <v>94</v>
      </c>
      <c r="C422">
        <v>408</v>
      </c>
      <c r="D422" t="s">
        <v>21</v>
      </c>
      <c r="E422" t="s">
        <v>21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</row>
    <row r="423" spans="1:20" x14ac:dyDescent="0.25">
      <c r="A423" t="s">
        <v>68</v>
      </c>
      <c r="B423">
        <v>68</v>
      </c>
      <c r="C423">
        <v>408</v>
      </c>
      <c r="D423" t="s">
        <v>21</v>
      </c>
      <c r="E423" t="s">
        <v>21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</row>
    <row r="424" spans="1:20" x14ac:dyDescent="0.25">
      <c r="A424" t="s">
        <v>37</v>
      </c>
      <c r="B424">
        <v>98</v>
      </c>
      <c r="C424">
        <v>408</v>
      </c>
      <c r="D424" t="s">
        <v>21</v>
      </c>
      <c r="E424" t="s">
        <v>21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</row>
    <row r="425" spans="1:20" x14ac:dyDescent="0.25">
      <c r="A425" t="s">
        <v>48</v>
      </c>
      <c r="B425">
        <v>123</v>
      </c>
      <c r="C425">
        <v>408</v>
      </c>
      <c r="D425" t="s">
        <v>21</v>
      </c>
      <c r="E425" t="s">
        <v>21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</row>
    <row r="426" spans="1:20" x14ac:dyDescent="0.25">
      <c r="A426" t="s">
        <v>39</v>
      </c>
      <c r="B426">
        <v>111</v>
      </c>
      <c r="C426">
        <v>408</v>
      </c>
      <c r="D426" t="s">
        <v>21</v>
      </c>
      <c r="E426" t="s">
        <v>21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</row>
    <row r="427" spans="1:20" x14ac:dyDescent="0.25">
      <c r="A427" t="s">
        <v>49</v>
      </c>
      <c r="B427">
        <v>69</v>
      </c>
      <c r="C427">
        <v>510</v>
      </c>
      <c r="D427" t="s">
        <v>21</v>
      </c>
      <c r="E427" t="s">
        <v>27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</row>
    <row r="428" spans="1:20" x14ac:dyDescent="0.25">
      <c r="A428" t="s">
        <v>57</v>
      </c>
      <c r="B428">
        <v>127</v>
      </c>
      <c r="C428">
        <v>415</v>
      </c>
      <c r="D428" t="s">
        <v>21</v>
      </c>
      <c r="E428" t="s">
        <v>27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</row>
    <row r="429" spans="1:20" x14ac:dyDescent="0.25">
      <c r="A429" t="s">
        <v>46</v>
      </c>
      <c r="B429">
        <v>105</v>
      </c>
      <c r="C429">
        <v>415</v>
      </c>
      <c r="D429" t="s">
        <v>21</v>
      </c>
      <c r="E429" t="s">
        <v>21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</row>
    <row r="430" spans="1:20" x14ac:dyDescent="0.25">
      <c r="A430" t="s">
        <v>30</v>
      </c>
      <c r="B430">
        <v>75</v>
      </c>
      <c r="C430">
        <v>415</v>
      </c>
      <c r="D430" t="s">
        <v>21</v>
      </c>
      <c r="E430" t="s">
        <v>21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</row>
    <row r="431" spans="1:20" x14ac:dyDescent="0.25">
      <c r="A431" t="s">
        <v>48</v>
      </c>
      <c r="B431">
        <v>126</v>
      </c>
      <c r="C431">
        <v>415</v>
      </c>
      <c r="D431" t="s">
        <v>21</v>
      </c>
      <c r="E431" t="s">
        <v>21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</row>
    <row r="432" spans="1:20" x14ac:dyDescent="0.25">
      <c r="A432" t="s">
        <v>46</v>
      </c>
      <c r="B432">
        <v>41</v>
      </c>
      <c r="C432">
        <v>415</v>
      </c>
      <c r="D432" t="s">
        <v>21</v>
      </c>
      <c r="E432" t="s">
        <v>21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</row>
    <row r="433" spans="1:20" x14ac:dyDescent="0.25">
      <c r="A433" t="s">
        <v>57</v>
      </c>
      <c r="B433">
        <v>113</v>
      </c>
      <c r="C433">
        <v>415</v>
      </c>
      <c r="D433" t="s">
        <v>21</v>
      </c>
      <c r="E433" t="s">
        <v>21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</row>
    <row r="434" spans="1:20" x14ac:dyDescent="0.25">
      <c r="A434" t="s">
        <v>23</v>
      </c>
      <c r="B434">
        <v>78</v>
      </c>
      <c r="C434">
        <v>510</v>
      </c>
      <c r="D434" t="s">
        <v>21</v>
      </c>
      <c r="E434" t="s">
        <v>21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</row>
    <row r="435" spans="1:20" x14ac:dyDescent="0.25">
      <c r="A435" t="s">
        <v>40</v>
      </c>
      <c r="B435">
        <v>110</v>
      </c>
      <c r="C435">
        <v>415</v>
      </c>
      <c r="D435" t="s">
        <v>21</v>
      </c>
      <c r="E435" t="s">
        <v>21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</row>
    <row r="436" spans="1:20" x14ac:dyDescent="0.25">
      <c r="A436" t="s">
        <v>41</v>
      </c>
      <c r="B436">
        <v>112</v>
      </c>
      <c r="C436">
        <v>415</v>
      </c>
      <c r="D436" t="s">
        <v>27</v>
      </c>
      <c r="E436" t="s">
        <v>27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</row>
    <row r="437" spans="1:20" x14ac:dyDescent="0.25">
      <c r="A437" t="s">
        <v>29</v>
      </c>
      <c r="B437">
        <v>104</v>
      </c>
      <c r="C437">
        <v>510</v>
      </c>
      <c r="D437" t="s">
        <v>21</v>
      </c>
      <c r="E437" t="s">
        <v>21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</row>
    <row r="438" spans="1:20" x14ac:dyDescent="0.25">
      <c r="A438" t="s">
        <v>66</v>
      </c>
      <c r="B438">
        <v>127</v>
      </c>
      <c r="C438">
        <v>510</v>
      </c>
      <c r="D438" t="s">
        <v>21</v>
      </c>
      <c r="E438" t="s">
        <v>21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</row>
    <row r="439" spans="1:20" x14ac:dyDescent="0.25">
      <c r="A439" t="s">
        <v>41</v>
      </c>
      <c r="B439">
        <v>61</v>
      </c>
      <c r="C439">
        <v>408</v>
      </c>
      <c r="D439" t="s">
        <v>21</v>
      </c>
      <c r="E439" t="s">
        <v>21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</row>
    <row r="440" spans="1:20" x14ac:dyDescent="0.25">
      <c r="A440" t="s">
        <v>57</v>
      </c>
      <c r="B440">
        <v>65</v>
      </c>
      <c r="C440">
        <v>415</v>
      </c>
      <c r="D440" t="s">
        <v>21</v>
      </c>
      <c r="E440" t="s">
        <v>27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</row>
    <row r="441" spans="1:20" x14ac:dyDescent="0.25">
      <c r="A441" t="s">
        <v>56</v>
      </c>
      <c r="B441">
        <v>152</v>
      </c>
      <c r="C441">
        <v>408</v>
      </c>
      <c r="D441" t="s">
        <v>21</v>
      </c>
      <c r="E441" t="s">
        <v>27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</row>
    <row r="442" spans="1:20" x14ac:dyDescent="0.25">
      <c r="A442" t="s">
        <v>57</v>
      </c>
      <c r="B442">
        <v>63</v>
      </c>
      <c r="C442">
        <v>415</v>
      </c>
      <c r="D442" t="s">
        <v>27</v>
      </c>
      <c r="E442" t="s">
        <v>21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</row>
    <row r="443" spans="1:20" x14ac:dyDescent="0.25">
      <c r="A443" t="s">
        <v>71</v>
      </c>
      <c r="B443">
        <v>100</v>
      </c>
      <c r="C443">
        <v>408</v>
      </c>
      <c r="D443" t="s">
        <v>21</v>
      </c>
      <c r="E443" t="s">
        <v>21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</row>
    <row r="444" spans="1:20" x14ac:dyDescent="0.25">
      <c r="A444" t="s">
        <v>49</v>
      </c>
      <c r="B444">
        <v>29</v>
      </c>
      <c r="C444">
        <v>510</v>
      </c>
      <c r="D444" t="s">
        <v>21</v>
      </c>
      <c r="E444" t="s">
        <v>21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</row>
    <row r="445" spans="1:20" x14ac:dyDescent="0.25">
      <c r="A445" t="s">
        <v>62</v>
      </c>
      <c r="B445">
        <v>175</v>
      </c>
      <c r="C445">
        <v>415</v>
      </c>
      <c r="D445" t="s">
        <v>21</v>
      </c>
      <c r="E445" t="s">
        <v>21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</row>
    <row r="446" spans="1:20" x14ac:dyDescent="0.25">
      <c r="A446" t="s">
        <v>49</v>
      </c>
      <c r="B446">
        <v>98</v>
      </c>
      <c r="C446">
        <v>415</v>
      </c>
      <c r="D446" t="s">
        <v>27</v>
      </c>
      <c r="E446" t="s">
        <v>27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</row>
    <row r="447" spans="1:20" x14ac:dyDescent="0.25">
      <c r="A447" t="s">
        <v>30</v>
      </c>
      <c r="B447">
        <v>121</v>
      </c>
      <c r="C447">
        <v>415</v>
      </c>
      <c r="D447" t="s">
        <v>21</v>
      </c>
      <c r="E447" t="s">
        <v>21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</row>
    <row r="448" spans="1:20" x14ac:dyDescent="0.25">
      <c r="A448" t="s">
        <v>67</v>
      </c>
      <c r="B448">
        <v>104</v>
      </c>
      <c r="C448">
        <v>415</v>
      </c>
      <c r="D448" t="s">
        <v>21</v>
      </c>
      <c r="E448" t="s">
        <v>21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</row>
    <row r="449" spans="1:20" x14ac:dyDescent="0.25">
      <c r="A449" t="s">
        <v>41</v>
      </c>
      <c r="B449">
        <v>123</v>
      </c>
      <c r="C449">
        <v>415</v>
      </c>
      <c r="D449" t="s">
        <v>21</v>
      </c>
      <c r="E449" t="s">
        <v>21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</row>
    <row r="450" spans="1:20" x14ac:dyDescent="0.25">
      <c r="A450" t="s">
        <v>28</v>
      </c>
      <c r="B450">
        <v>61</v>
      </c>
      <c r="C450">
        <v>415</v>
      </c>
      <c r="D450" t="s">
        <v>21</v>
      </c>
      <c r="E450" t="s">
        <v>27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</row>
    <row r="451" spans="1:20" x14ac:dyDescent="0.25">
      <c r="A451" t="s">
        <v>65</v>
      </c>
      <c r="B451">
        <v>160</v>
      </c>
      <c r="C451">
        <v>415</v>
      </c>
      <c r="D451" t="s">
        <v>21</v>
      </c>
      <c r="E451" t="s">
        <v>21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</row>
    <row r="452" spans="1:20" x14ac:dyDescent="0.25">
      <c r="A452" t="s">
        <v>69</v>
      </c>
      <c r="B452">
        <v>153</v>
      </c>
      <c r="C452">
        <v>408</v>
      </c>
      <c r="D452" t="s">
        <v>21</v>
      </c>
      <c r="E452" t="s">
        <v>21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</row>
    <row r="453" spans="1:20" x14ac:dyDescent="0.25">
      <c r="A453" t="s">
        <v>51</v>
      </c>
      <c r="B453">
        <v>31</v>
      </c>
      <c r="C453">
        <v>510</v>
      </c>
      <c r="D453" t="s">
        <v>21</v>
      </c>
      <c r="E453" t="s">
        <v>21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</row>
    <row r="454" spans="1:20" x14ac:dyDescent="0.25">
      <c r="A454" t="s">
        <v>36</v>
      </c>
      <c r="B454">
        <v>122</v>
      </c>
      <c r="C454">
        <v>415</v>
      </c>
      <c r="D454" t="s">
        <v>21</v>
      </c>
      <c r="E454" t="s">
        <v>21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</row>
    <row r="455" spans="1:20" x14ac:dyDescent="0.25">
      <c r="A455" t="s">
        <v>22</v>
      </c>
      <c r="B455">
        <v>46</v>
      </c>
      <c r="C455">
        <v>415</v>
      </c>
      <c r="D455" t="s">
        <v>21</v>
      </c>
      <c r="E455" t="s">
        <v>27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</row>
    <row r="456" spans="1:20" x14ac:dyDescent="0.25">
      <c r="A456" t="s">
        <v>51</v>
      </c>
      <c r="B456">
        <v>103</v>
      </c>
      <c r="C456">
        <v>415</v>
      </c>
      <c r="D456" t="s">
        <v>21</v>
      </c>
      <c r="E456" t="s">
        <v>21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</row>
    <row r="457" spans="1:20" x14ac:dyDescent="0.25">
      <c r="A457" t="s">
        <v>63</v>
      </c>
      <c r="B457">
        <v>68</v>
      </c>
      <c r="C457">
        <v>415</v>
      </c>
      <c r="D457" t="s">
        <v>27</v>
      </c>
      <c r="E457" t="s">
        <v>27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</row>
    <row r="458" spans="1:20" x14ac:dyDescent="0.25">
      <c r="A458" t="s">
        <v>44</v>
      </c>
      <c r="B458">
        <v>149</v>
      </c>
      <c r="C458">
        <v>415</v>
      </c>
      <c r="D458" t="s">
        <v>21</v>
      </c>
      <c r="E458" t="s">
        <v>27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</row>
    <row r="459" spans="1:20" x14ac:dyDescent="0.25">
      <c r="A459" t="s">
        <v>34</v>
      </c>
      <c r="B459">
        <v>102</v>
      </c>
      <c r="C459">
        <v>408</v>
      </c>
      <c r="D459" t="s">
        <v>21</v>
      </c>
      <c r="E459" t="s">
        <v>21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</row>
    <row r="460" spans="1:20" x14ac:dyDescent="0.25">
      <c r="A460" t="s">
        <v>31</v>
      </c>
      <c r="B460">
        <v>153</v>
      </c>
      <c r="C460">
        <v>510</v>
      </c>
      <c r="D460" t="s">
        <v>21</v>
      </c>
      <c r="E460" t="s">
        <v>21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</row>
    <row r="461" spans="1:20" x14ac:dyDescent="0.25">
      <c r="A461" t="s">
        <v>23</v>
      </c>
      <c r="B461">
        <v>122</v>
      </c>
      <c r="C461">
        <v>510</v>
      </c>
      <c r="D461" t="s">
        <v>21</v>
      </c>
      <c r="E461" t="s">
        <v>21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</row>
    <row r="462" spans="1:20" x14ac:dyDescent="0.25">
      <c r="A462" t="s">
        <v>50</v>
      </c>
      <c r="B462">
        <v>127</v>
      </c>
      <c r="C462">
        <v>510</v>
      </c>
      <c r="D462" t="s">
        <v>27</v>
      </c>
      <c r="E462" t="s">
        <v>21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</row>
    <row r="463" spans="1:20" x14ac:dyDescent="0.25">
      <c r="A463" t="s">
        <v>23</v>
      </c>
      <c r="B463">
        <v>126</v>
      </c>
      <c r="C463">
        <v>415</v>
      </c>
      <c r="D463" t="s">
        <v>27</v>
      </c>
      <c r="E463" t="s">
        <v>21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</row>
    <row r="464" spans="1:20" x14ac:dyDescent="0.25">
      <c r="A464" t="s">
        <v>37</v>
      </c>
      <c r="B464">
        <v>90</v>
      </c>
      <c r="C464">
        <v>408</v>
      </c>
      <c r="D464" t="s">
        <v>21</v>
      </c>
      <c r="E464" t="s">
        <v>21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</row>
    <row r="465" spans="1:20" x14ac:dyDescent="0.25">
      <c r="A465" t="s">
        <v>39</v>
      </c>
      <c r="B465">
        <v>37</v>
      </c>
      <c r="C465">
        <v>510</v>
      </c>
      <c r="D465" t="s">
        <v>21</v>
      </c>
      <c r="E465" t="s">
        <v>21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</row>
    <row r="466" spans="1:20" x14ac:dyDescent="0.25">
      <c r="A466" t="s">
        <v>37</v>
      </c>
      <c r="B466">
        <v>132</v>
      </c>
      <c r="C466">
        <v>415</v>
      </c>
      <c r="D466" t="s">
        <v>21</v>
      </c>
      <c r="E466" t="s">
        <v>21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</row>
    <row r="467" spans="1:20" x14ac:dyDescent="0.25">
      <c r="A467" t="s">
        <v>36</v>
      </c>
      <c r="B467">
        <v>38</v>
      </c>
      <c r="C467">
        <v>408</v>
      </c>
      <c r="D467" t="s">
        <v>21</v>
      </c>
      <c r="E467" t="s">
        <v>27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</row>
    <row r="468" spans="1:20" x14ac:dyDescent="0.25">
      <c r="A468" t="s">
        <v>29</v>
      </c>
      <c r="B468">
        <v>92</v>
      </c>
      <c r="C468">
        <v>415</v>
      </c>
      <c r="D468" t="s">
        <v>21</v>
      </c>
      <c r="E468" t="s">
        <v>21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</row>
    <row r="469" spans="1:20" x14ac:dyDescent="0.25">
      <c r="A469" t="s">
        <v>25</v>
      </c>
      <c r="B469">
        <v>111</v>
      </c>
      <c r="C469">
        <v>408</v>
      </c>
      <c r="D469" t="s">
        <v>21</v>
      </c>
      <c r="E469" t="s">
        <v>27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</row>
    <row r="470" spans="1:20" x14ac:dyDescent="0.25">
      <c r="A470" t="s">
        <v>48</v>
      </c>
      <c r="B470">
        <v>121</v>
      </c>
      <c r="C470">
        <v>415</v>
      </c>
      <c r="D470" t="s">
        <v>21</v>
      </c>
      <c r="E470" t="s">
        <v>27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</row>
    <row r="471" spans="1:20" x14ac:dyDescent="0.25">
      <c r="A471" t="s">
        <v>72</v>
      </c>
      <c r="B471">
        <v>131</v>
      </c>
      <c r="C471">
        <v>408</v>
      </c>
      <c r="D471" t="s">
        <v>21</v>
      </c>
      <c r="E471" t="s">
        <v>21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</row>
    <row r="472" spans="1:20" x14ac:dyDescent="0.25">
      <c r="A472" t="s">
        <v>62</v>
      </c>
      <c r="B472">
        <v>19</v>
      </c>
      <c r="C472">
        <v>415</v>
      </c>
      <c r="D472" t="s">
        <v>21</v>
      </c>
      <c r="E472" t="s">
        <v>21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</row>
    <row r="473" spans="1:20" x14ac:dyDescent="0.25">
      <c r="A473" t="s">
        <v>42</v>
      </c>
      <c r="B473">
        <v>135</v>
      </c>
      <c r="C473">
        <v>415</v>
      </c>
      <c r="D473" t="s">
        <v>21</v>
      </c>
      <c r="E473" t="s">
        <v>21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</row>
    <row r="474" spans="1:20" x14ac:dyDescent="0.25">
      <c r="A474" t="s">
        <v>70</v>
      </c>
      <c r="B474">
        <v>129</v>
      </c>
      <c r="C474">
        <v>408</v>
      </c>
      <c r="D474" t="s">
        <v>21</v>
      </c>
      <c r="E474" t="s">
        <v>21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</row>
    <row r="475" spans="1:20" x14ac:dyDescent="0.25">
      <c r="A475" t="s">
        <v>33</v>
      </c>
      <c r="B475">
        <v>142</v>
      </c>
      <c r="C475">
        <v>415</v>
      </c>
      <c r="D475" t="s">
        <v>21</v>
      </c>
      <c r="E475" t="s">
        <v>21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</row>
    <row r="476" spans="1:20" x14ac:dyDescent="0.25">
      <c r="A476" t="s">
        <v>65</v>
      </c>
      <c r="B476">
        <v>130</v>
      </c>
      <c r="C476">
        <v>415</v>
      </c>
      <c r="D476" t="s">
        <v>21</v>
      </c>
      <c r="E476" t="s">
        <v>27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</row>
    <row r="477" spans="1:20" x14ac:dyDescent="0.25">
      <c r="A477" t="s">
        <v>41</v>
      </c>
      <c r="B477">
        <v>92</v>
      </c>
      <c r="C477">
        <v>415</v>
      </c>
      <c r="D477" t="s">
        <v>21</v>
      </c>
      <c r="E477" t="s">
        <v>21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</row>
    <row r="478" spans="1:20" x14ac:dyDescent="0.25">
      <c r="A478" t="s">
        <v>50</v>
      </c>
      <c r="B478">
        <v>146</v>
      </c>
      <c r="C478">
        <v>415</v>
      </c>
      <c r="D478" t="s">
        <v>21</v>
      </c>
      <c r="E478" t="s">
        <v>27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</row>
    <row r="479" spans="1:20" x14ac:dyDescent="0.25">
      <c r="A479" t="s">
        <v>66</v>
      </c>
      <c r="B479">
        <v>152</v>
      </c>
      <c r="C479">
        <v>510</v>
      </c>
      <c r="D479" t="s">
        <v>27</v>
      </c>
      <c r="E479" t="s">
        <v>27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</row>
    <row r="480" spans="1:20" x14ac:dyDescent="0.25">
      <c r="A480" t="s">
        <v>49</v>
      </c>
      <c r="B480">
        <v>189</v>
      </c>
      <c r="C480">
        <v>415</v>
      </c>
      <c r="D480" t="s">
        <v>21</v>
      </c>
      <c r="E480" t="s">
        <v>21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</row>
    <row r="481" spans="1:20" x14ac:dyDescent="0.25">
      <c r="A481" t="s">
        <v>42</v>
      </c>
      <c r="B481">
        <v>95</v>
      </c>
      <c r="C481">
        <v>415</v>
      </c>
      <c r="D481" t="s">
        <v>21</v>
      </c>
      <c r="E481" t="s">
        <v>27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</row>
    <row r="482" spans="1:20" x14ac:dyDescent="0.25">
      <c r="A482" t="s">
        <v>26</v>
      </c>
      <c r="B482">
        <v>1</v>
      </c>
      <c r="C482">
        <v>408</v>
      </c>
      <c r="D482" t="s">
        <v>21</v>
      </c>
      <c r="E482" t="s">
        <v>21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</row>
    <row r="483" spans="1:20" x14ac:dyDescent="0.25">
      <c r="A483" t="s">
        <v>22</v>
      </c>
      <c r="B483">
        <v>141</v>
      </c>
      <c r="C483">
        <v>415</v>
      </c>
      <c r="D483" t="s">
        <v>21</v>
      </c>
      <c r="E483" t="s">
        <v>27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</row>
    <row r="484" spans="1:20" x14ac:dyDescent="0.25">
      <c r="A484" t="s">
        <v>40</v>
      </c>
      <c r="B484">
        <v>111</v>
      </c>
      <c r="C484">
        <v>510</v>
      </c>
      <c r="D484" t="s">
        <v>21</v>
      </c>
      <c r="E484" t="s">
        <v>21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</row>
    <row r="485" spans="1:20" x14ac:dyDescent="0.25">
      <c r="A485" t="s">
        <v>57</v>
      </c>
      <c r="B485">
        <v>143</v>
      </c>
      <c r="C485">
        <v>408</v>
      </c>
      <c r="D485" t="s">
        <v>21</v>
      </c>
      <c r="E485" t="s">
        <v>21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</row>
    <row r="486" spans="1:20" x14ac:dyDescent="0.25">
      <c r="A486" t="s">
        <v>44</v>
      </c>
      <c r="B486">
        <v>148</v>
      </c>
      <c r="C486">
        <v>415</v>
      </c>
      <c r="D486" t="s">
        <v>21</v>
      </c>
      <c r="E486" t="s">
        <v>27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</row>
    <row r="487" spans="1:20" x14ac:dyDescent="0.25">
      <c r="A487" t="s">
        <v>34</v>
      </c>
      <c r="B487">
        <v>143</v>
      </c>
      <c r="C487">
        <v>408</v>
      </c>
      <c r="D487" t="s">
        <v>21</v>
      </c>
      <c r="E487" t="s">
        <v>27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</row>
    <row r="488" spans="1:20" x14ac:dyDescent="0.25">
      <c r="A488" t="s">
        <v>46</v>
      </c>
      <c r="B488">
        <v>90</v>
      </c>
      <c r="C488">
        <v>415</v>
      </c>
      <c r="D488" t="s">
        <v>21</v>
      </c>
      <c r="E488" t="s">
        <v>21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</row>
    <row r="489" spans="1:20" x14ac:dyDescent="0.25">
      <c r="A489" t="s">
        <v>42</v>
      </c>
      <c r="B489">
        <v>169</v>
      </c>
      <c r="C489">
        <v>408</v>
      </c>
      <c r="D489" t="s">
        <v>21</v>
      </c>
      <c r="E489" t="s">
        <v>21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</row>
    <row r="490" spans="1:20" x14ac:dyDescent="0.25">
      <c r="A490" t="s">
        <v>20</v>
      </c>
      <c r="B490">
        <v>53</v>
      </c>
      <c r="C490">
        <v>415</v>
      </c>
      <c r="D490" t="s">
        <v>21</v>
      </c>
      <c r="E490" t="s">
        <v>21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</row>
    <row r="491" spans="1:20" x14ac:dyDescent="0.25">
      <c r="A491" t="s">
        <v>43</v>
      </c>
      <c r="B491">
        <v>15</v>
      </c>
      <c r="C491">
        <v>415</v>
      </c>
      <c r="D491" t="s">
        <v>21</v>
      </c>
      <c r="E491" t="s">
        <v>21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</row>
    <row r="492" spans="1:20" x14ac:dyDescent="0.25">
      <c r="A492" t="s">
        <v>61</v>
      </c>
      <c r="B492">
        <v>123</v>
      </c>
      <c r="C492">
        <v>408</v>
      </c>
      <c r="D492" t="s">
        <v>21</v>
      </c>
      <c r="E492" t="s">
        <v>27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</row>
    <row r="493" spans="1:20" x14ac:dyDescent="0.25">
      <c r="A493" t="s">
        <v>70</v>
      </c>
      <c r="B493">
        <v>95</v>
      </c>
      <c r="C493">
        <v>510</v>
      </c>
      <c r="D493" t="s">
        <v>21</v>
      </c>
      <c r="E493" t="s">
        <v>21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</row>
    <row r="494" spans="1:20" x14ac:dyDescent="0.25">
      <c r="A494" t="s">
        <v>40</v>
      </c>
      <c r="B494">
        <v>82</v>
      </c>
      <c r="C494">
        <v>510</v>
      </c>
      <c r="D494" t="s">
        <v>21</v>
      </c>
      <c r="E494" t="s">
        <v>21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</row>
    <row r="495" spans="1:20" x14ac:dyDescent="0.25">
      <c r="A495" t="s">
        <v>57</v>
      </c>
      <c r="B495">
        <v>180</v>
      </c>
      <c r="C495">
        <v>415</v>
      </c>
      <c r="D495" t="s">
        <v>21</v>
      </c>
      <c r="E495" t="s">
        <v>21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</row>
    <row r="496" spans="1:20" x14ac:dyDescent="0.25">
      <c r="A496" t="s">
        <v>57</v>
      </c>
      <c r="B496">
        <v>125</v>
      </c>
      <c r="C496">
        <v>408</v>
      </c>
      <c r="D496" t="s">
        <v>21</v>
      </c>
      <c r="E496" t="s">
        <v>21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</row>
    <row r="497" spans="1:20" x14ac:dyDescent="0.25">
      <c r="A497" t="s">
        <v>47</v>
      </c>
      <c r="B497">
        <v>138</v>
      </c>
      <c r="C497">
        <v>415</v>
      </c>
      <c r="D497" t="s">
        <v>27</v>
      </c>
      <c r="E497" t="s">
        <v>27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</row>
    <row r="498" spans="1:20" x14ac:dyDescent="0.25">
      <c r="A498" t="s">
        <v>35</v>
      </c>
      <c r="B498">
        <v>90</v>
      </c>
      <c r="C498">
        <v>408</v>
      </c>
      <c r="D498" t="s">
        <v>21</v>
      </c>
      <c r="E498" t="s">
        <v>21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</row>
    <row r="499" spans="1:20" x14ac:dyDescent="0.25">
      <c r="A499" t="s">
        <v>53</v>
      </c>
      <c r="B499">
        <v>190</v>
      </c>
      <c r="C499">
        <v>408</v>
      </c>
      <c r="D499" t="s">
        <v>21</v>
      </c>
      <c r="E499" t="s">
        <v>21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</row>
    <row r="500" spans="1:20" x14ac:dyDescent="0.25">
      <c r="A500" t="s">
        <v>71</v>
      </c>
      <c r="B500">
        <v>143</v>
      </c>
      <c r="C500">
        <v>510</v>
      </c>
      <c r="D500" t="s">
        <v>21</v>
      </c>
      <c r="E500" t="s">
        <v>27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</row>
    <row r="501" spans="1:20" x14ac:dyDescent="0.25">
      <c r="A501" t="s">
        <v>63</v>
      </c>
      <c r="B501">
        <v>183</v>
      </c>
      <c r="C501">
        <v>510</v>
      </c>
      <c r="D501" t="s">
        <v>21</v>
      </c>
      <c r="E501" t="s">
        <v>21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</row>
    <row r="502" spans="1:20" x14ac:dyDescent="0.25">
      <c r="A502" t="s">
        <v>36</v>
      </c>
      <c r="B502">
        <v>58</v>
      </c>
      <c r="C502">
        <v>415</v>
      </c>
      <c r="D502" t="s">
        <v>21</v>
      </c>
      <c r="E502" t="s">
        <v>21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</row>
    <row r="503" spans="1:20" x14ac:dyDescent="0.25">
      <c r="A503" t="s">
        <v>70</v>
      </c>
      <c r="B503">
        <v>123</v>
      </c>
      <c r="C503">
        <v>415</v>
      </c>
      <c r="D503" t="s">
        <v>21</v>
      </c>
      <c r="E503" t="s">
        <v>21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</row>
    <row r="504" spans="1:20" x14ac:dyDescent="0.25">
      <c r="A504" t="s">
        <v>72</v>
      </c>
      <c r="B504">
        <v>155</v>
      </c>
      <c r="C504">
        <v>510</v>
      </c>
      <c r="D504" t="s">
        <v>21</v>
      </c>
      <c r="E504" t="s">
        <v>21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</row>
    <row r="505" spans="1:20" x14ac:dyDescent="0.25">
      <c r="A505" t="s">
        <v>32</v>
      </c>
      <c r="B505">
        <v>53</v>
      </c>
      <c r="C505">
        <v>415</v>
      </c>
      <c r="D505" t="s">
        <v>21</v>
      </c>
      <c r="E505" t="s">
        <v>21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</row>
    <row r="506" spans="1:20" x14ac:dyDescent="0.25">
      <c r="A506" t="s">
        <v>34</v>
      </c>
      <c r="B506">
        <v>101</v>
      </c>
      <c r="C506">
        <v>415</v>
      </c>
      <c r="D506" t="s">
        <v>21</v>
      </c>
      <c r="E506" t="s">
        <v>21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</row>
    <row r="507" spans="1:20" x14ac:dyDescent="0.25">
      <c r="A507" t="s">
        <v>68</v>
      </c>
      <c r="B507">
        <v>122</v>
      </c>
      <c r="C507">
        <v>408</v>
      </c>
      <c r="D507" t="s">
        <v>21</v>
      </c>
      <c r="E507" t="s">
        <v>21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</row>
    <row r="508" spans="1:20" x14ac:dyDescent="0.25">
      <c r="A508" t="s">
        <v>30</v>
      </c>
      <c r="B508">
        <v>163</v>
      </c>
      <c r="C508">
        <v>415</v>
      </c>
      <c r="D508" t="s">
        <v>21</v>
      </c>
      <c r="E508" t="s">
        <v>21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</row>
    <row r="509" spans="1:20" x14ac:dyDescent="0.25">
      <c r="A509" t="s">
        <v>68</v>
      </c>
      <c r="B509">
        <v>120</v>
      </c>
      <c r="C509">
        <v>415</v>
      </c>
      <c r="D509" t="s">
        <v>21</v>
      </c>
      <c r="E509" t="s">
        <v>21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</row>
    <row r="510" spans="1:20" x14ac:dyDescent="0.25">
      <c r="A510" t="s">
        <v>70</v>
      </c>
      <c r="B510">
        <v>196</v>
      </c>
      <c r="C510">
        <v>415</v>
      </c>
      <c r="D510" t="s">
        <v>21</v>
      </c>
      <c r="E510" t="s">
        <v>21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</row>
    <row r="511" spans="1:20" x14ac:dyDescent="0.25">
      <c r="A511" t="s">
        <v>41</v>
      </c>
      <c r="B511">
        <v>147</v>
      </c>
      <c r="C511">
        <v>415</v>
      </c>
      <c r="D511" t="s">
        <v>21</v>
      </c>
      <c r="E511" t="s">
        <v>27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</row>
    <row r="512" spans="1:20" x14ac:dyDescent="0.25">
      <c r="A512" t="s">
        <v>22</v>
      </c>
      <c r="B512">
        <v>81</v>
      </c>
      <c r="C512">
        <v>408</v>
      </c>
      <c r="D512" t="s">
        <v>21</v>
      </c>
      <c r="E512" t="s">
        <v>27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</row>
    <row r="513" spans="1:20" x14ac:dyDescent="0.25">
      <c r="A513" t="s">
        <v>47</v>
      </c>
      <c r="B513">
        <v>165</v>
      </c>
      <c r="C513">
        <v>415</v>
      </c>
      <c r="D513" t="s">
        <v>21</v>
      </c>
      <c r="E513" t="s">
        <v>27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</row>
    <row r="514" spans="1:20" x14ac:dyDescent="0.25">
      <c r="A514" t="s">
        <v>70</v>
      </c>
      <c r="B514">
        <v>115</v>
      </c>
      <c r="C514">
        <v>415</v>
      </c>
      <c r="D514" t="s">
        <v>21</v>
      </c>
      <c r="E514" t="s">
        <v>21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</row>
    <row r="515" spans="1:20" x14ac:dyDescent="0.25">
      <c r="A515" t="s">
        <v>48</v>
      </c>
      <c r="B515">
        <v>90</v>
      </c>
      <c r="C515">
        <v>408</v>
      </c>
      <c r="D515" t="s">
        <v>21</v>
      </c>
      <c r="E515" t="s">
        <v>27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</row>
    <row r="516" spans="1:20" x14ac:dyDescent="0.25">
      <c r="A516" t="s">
        <v>70</v>
      </c>
      <c r="B516">
        <v>37</v>
      </c>
      <c r="C516">
        <v>415</v>
      </c>
      <c r="D516" t="s">
        <v>21</v>
      </c>
      <c r="E516" t="s">
        <v>21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</row>
    <row r="517" spans="1:20" x14ac:dyDescent="0.25">
      <c r="A517" t="s">
        <v>53</v>
      </c>
      <c r="B517">
        <v>76</v>
      </c>
      <c r="C517">
        <v>510</v>
      </c>
      <c r="D517" t="s">
        <v>21</v>
      </c>
      <c r="E517" t="s">
        <v>21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</row>
    <row r="518" spans="1:20" x14ac:dyDescent="0.25">
      <c r="A518" t="s">
        <v>34</v>
      </c>
      <c r="B518">
        <v>109</v>
      </c>
      <c r="C518">
        <v>510</v>
      </c>
      <c r="D518" t="s">
        <v>21</v>
      </c>
      <c r="E518" t="s">
        <v>21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</row>
    <row r="519" spans="1:20" x14ac:dyDescent="0.25">
      <c r="A519" t="s">
        <v>25</v>
      </c>
      <c r="B519">
        <v>105</v>
      </c>
      <c r="C519">
        <v>510</v>
      </c>
      <c r="D519" t="s">
        <v>21</v>
      </c>
      <c r="E519" t="s">
        <v>21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</row>
    <row r="520" spans="1:20" x14ac:dyDescent="0.25">
      <c r="A520" t="s">
        <v>28</v>
      </c>
      <c r="B520">
        <v>74</v>
      </c>
      <c r="C520">
        <v>415</v>
      </c>
      <c r="D520" t="s">
        <v>21</v>
      </c>
      <c r="E520" t="s">
        <v>21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</row>
    <row r="521" spans="1:20" x14ac:dyDescent="0.25">
      <c r="A521" t="s">
        <v>44</v>
      </c>
      <c r="B521">
        <v>76</v>
      </c>
      <c r="C521">
        <v>415</v>
      </c>
      <c r="D521" t="s">
        <v>21</v>
      </c>
      <c r="E521" t="s">
        <v>21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</row>
    <row r="522" spans="1:20" x14ac:dyDescent="0.25">
      <c r="A522" t="s">
        <v>56</v>
      </c>
      <c r="B522">
        <v>116</v>
      </c>
      <c r="C522">
        <v>415</v>
      </c>
      <c r="D522" t="s">
        <v>21</v>
      </c>
      <c r="E522" t="s">
        <v>21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</row>
    <row r="523" spans="1:20" x14ac:dyDescent="0.25">
      <c r="A523" t="s">
        <v>59</v>
      </c>
      <c r="B523">
        <v>138</v>
      </c>
      <c r="C523">
        <v>510</v>
      </c>
      <c r="D523" t="s">
        <v>21</v>
      </c>
      <c r="E523" t="s">
        <v>21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</row>
    <row r="524" spans="1:20" x14ac:dyDescent="0.25">
      <c r="A524" t="s">
        <v>61</v>
      </c>
      <c r="B524">
        <v>102</v>
      </c>
      <c r="C524">
        <v>415</v>
      </c>
      <c r="D524" t="s">
        <v>21</v>
      </c>
      <c r="E524" t="s">
        <v>21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</row>
    <row r="525" spans="1:20" x14ac:dyDescent="0.25">
      <c r="A525" t="s">
        <v>59</v>
      </c>
      <c r="B525">
        <v>164</v>
      </c>
      <c r="C525">
        <v>510</v>
      </c>
      <c r="D525" t="s">
        <v>21</v>
      </c>
      <c r="E525" t="s">
        <v>21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</row>
    <row r="526" spans="1:20" x14ac:dyDescent="0.25">
      <c r="A526" t="s">
        <v>32</v>
      </c>
      <c r="B526">
        <v>125</v>
      </c>
      <c r="C526">
        <v>415</v>
      </c>
      <c r="D526" t="s">
        <v>21</v>
      </c>
      <c r="E526" t="s">
        <v>21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</row>
    <row r="527" spans="1:20" x14ac:dyDescent="0.25">
      <c r="A527" t="s">
        <v>24</v>
      </c>
      <c r="B527">
        <v>209</v>
      </c>
      <c r="C527">
        <v>510</v>
      </c>
      <c r="D527" t="s">
        <v>21</v>
      </c>
      <c r="E527" t="s">
        <v>21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</row>
    <row r="528" spans="1:20" x14ac:dyDescent="0.25">
      <c r="A528" t="s">
        <v>45</v>
      </c>
      <c r="B528">
        <v>116</v>
      </c>
      <c r="C528">
        <v>408</v>
      </c>
      <c r="D528" t="s">
        <v>21</v>
      </c>
      <c r="E528" t="s">
        <v>27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</row>
    <row r="529" spans="1:20" x14ac:dyDescent="0.25">
      <c r="A529" t="s">
        <v>65</v>
      </c>
      <c r="B529">
        <v>189</v>
      </c>
      <c r="C529">
        <v>415</v>
      </c>
      <c r="D529" t="s">
        <v>21</v>
      </c>
      <c r="E529" t="s">
        <v>27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</row>
    <row r="530" spans="1:20" x14ac:dyDescent="0.25">
      <c r="A530" t="s">
        <v>55</v>
      </c>
      <c r="B530">
        <v>84</v>
      </c>
      <c r="C530">
        <v>510</v>
      </c>
      <c r="D530" t="s">
        <v>21</v>
      </c>
      <c r="E530" t="s">
        <v>21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</row>
    <row r="531" spans="1:20" x14ac:dyDescent="0.25">
      <c r="A531" t="s">
        <v>64</v>
      </c>
      <c r="B531">
        <v>182</v>
      </c>
      <c r="C531">
        <v>415</v>
      </c>
      <c r="D531" t="s">
        <v>21</v>
      </c>
      <c r="E531" t="s">
        <v>21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</row>
    <row r="532" spans="1:20" x14ac:dyDescent="0.25">
      <c r="A532" t="s">
        <v>25</v>
      </c>
      <c r="B532">
        <v>171</v>
      </c>
      <c r="C532">
        <v>510</v>
      </c>
      <c r="D532" t="s">
        <v>21</v>
      </c>
      <c r="E532" t="s">
        <v>21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</row>
    <row r="533" spans="1:20" x14ac:dyDescent="0.25">
      <c r="A533" t="s">
        <v>58</v>
      </c>
      <c r="B533">
        <v>90</v>
      </c>
      <c r="C533">
        <v>415</v>
      </c>
      <c r="D533" t="s">
        <v>21</v>
      </c>
      <c r="E533" t="s">
        <v>21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</row>
    <row r="534" spans="1:20" x14ac:dyDescent="0.25">
      <c r="A534" t="s">
        <v>44</v>
      </c>
      <c r="B534">
        <v>117</v>
      </c>
      <c r="C534">
        <v>510</v>
      </c>
      <c r="D534" t="s">
        <v>21</v>
      </c>
      <c r="E534" t="s">
        <v>21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</row>
    <row r="535" spans="1:20" x14ac:dyDescent="0.25">
      <c r="A535" t="s">
        <v>52</v>
      </c>
      <c r="B535">
        <v>186</v>
      </c>
      <c r="C535">
        <v>510</v>
      </c>
      <c r="D535" t="s">
        <v>21</v>
      </c>
      <c r="E535" t="s">
        <v>21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</row>
    <row r="536" spans="1:20" x14ac:dyDescent="0.25">
      <c r="A536" t="s">
        <v>26</v>
      </c>
      <c r="B536">
        <v>55</v>
      </c>
      <c r="C536">
        <v>408</v>
      </c>
      <c r="D536" t="s">
        <v>21</v>
      </c>
      <c r="E536" t="s">
        <v>27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</row>
    <row r="537" spans="1:20" x14ac:dyDescent="0.25">
      <c r="A537" t="s">
        <v>31</v>
      </c>
      <c r="B537">
        <v>74</v>
      </c>
      <c r="C537">
        <v>408</v>
      </c>
      <c r="D537" t="s">
        <v>21</v>
      </c>
      <c r="E537" t="s">
        <v>21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</row>
    <row r="538" spans="1:20" x14ac:dyDescent="0.25">
      <c r="A538" t="s">
        <v>22</v>
      </c>
      <c r="B538">
        <v>130</v>
      </c>
      <c r="C538">
        <v>408</v>
      </c>
      <c r="D538" t="s">
        <v>21</v>
      </c>
      <c r="E538" t="s">
        <v>21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</row>
    <row r="539" spans="1:20" x14ac:dyDescent="0.25">
      <c r="A539" t="s">
        <v>61</v>
      </c>
      <c r="B539">
        <v>80</v>
      </c>
      <c r="C539">
        <v>408</v>
      </c>
      <c r="D539" t="s">
        <v>21</v>
      </c>
      <c r="E539" t="s">
        <v>21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</row>
    <row r="540" spans="1:20" x14ac:dyDescent="0.25">
      <c r="A540" t="s">
        <v>49</v>
      </c>
      <c r="B540">
        <v>120</v>
      </c>
      <c r="C540">
        <v>415</v>
      </c>
      <c r="D540" t="s">
        <v>21</v>
      </c>
      <c r="E540" t="s">
        <v>21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</row>
    <row r="541" spans="1:20" x14ac:dyDescent="0.25">
      <c r="A541" t="s">
        <v>45</v>
      </c>
      <c r="B541">
        <v>84</v>
      </c>
      <c r="C541">
        <v>408</v>
      </c>
      <c r="D541" t="s">
        <v>21</v>
      </c>
      <c r="E541" t="s">
        <v>27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</row>
    <row r="542" spans="1:20" x14ac:dyDescent="0.25">
      <c r="A542" t="s">
        <v>64</v>
      </c>
      <c r="B542">
        <v>134</v>
      </c>
      <c r="C542">
        <v>510</v>
      </c>
      <c r="D542" t="s">
        <v>21</v>
      </c>
      <c r="E542" t="s">
        <v>27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</row>
    <row r="543" spans="1:20" x14ac:dyDescent="0.25">
      <c r="A543" t="s">
        <v>33</v>
      </c>
      <c r="B543">
        <v>68</v>
      </c>
      <c r="C543">
        <v>415</v>
      </c>
      <c r="D543" t="s">
        <v>21</v>
      </c>
      <c r="E543" t="s">
        <v>21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</row>
    <row r="544" spans="1:20" x14ac:dyDescent="0.25">
      <c r="A544" t="s">
        <v>65</v>
      </c>
      <c r="B544">
        <v>119</v>
      </c>
      <c r="C544">
        <v>408</v>
      </c>
      <c r="D544" t="s">
        <v>21</v>
      </c>
      <c r="E544" t="s">
        <v>21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</row>
    <row r="545" spans="1:20" x14ac:dyDescent="0.25">
      <c r="A545" t="s">
        <v>52</v>
      </c>
      <c r="B545">
        <v>166</v>
      </c>
      <c r="C545">
        <v>415</v>
      </c>
      <c r="D545" t="s">
        <v>27</v>
      </c>
      <c r="E545" t="s">
        <v>27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</row>
    <row r="546" spans="1:20" x14ac:dyDescent="0.25">
      <c r="A546" t="s">
        <v>45</v>
      </c>
      <c r="B546">
        <v>90</v>
      </c>
      <c r="C546">
        <v>415</v>
      </c>
      <c r="D546" t="s">
        <v>21</v>
      </c>
      <c r="E546" t="s">
        <v>27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</row>
    <row r="547" spans="1:20" x14ac:dyDescent="0.25">
      <c r="A547" t="s">
        <v>38</v>
      </c>
      <c r="B547">
        <v>82</v>
      </c>
      <c r="C547">
        <v>415</v>
      </c>
      <c r="D547" t="s">
        <v>21</v>
      </c>
      <c r="E547" t="s">
        <v>27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</row>
    <row r="548" spans="1:20" x14ac:dyDescent="0.25">
      <c r="A548" t="s">
        <v>29</v>
      </c>
      <c r="B548">
        <v>130</v>
      </c>
      <c r="C548">
        <v>415</v>
      </c>
      <c r="D548" t="s">
        <v>21</v>
      </c>
      <c r="E548" t="s">
        <v>21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</row>
    <row r="549" spans="1:20" x14ac:dyDescent="0.25">
      <c r="A549" t="s">
        <v>48</v>
      </c>
      <c r="B549">
        <v>130</v>
      </c>
      <c r="C549">
        <v>408</v>
      </c>
      <c r="D549" t="s">
        <v>21</v>
      </c>
      <c r="E549" t="s">
        <v>21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</row>
    <row r="550" spans="1:20" x14ac:dyDescent="0.25">
      <c r="A550" t="s">
        <v>57</v>
      </c>
      <c r="B550">
        <v>155</v>
      </c>
      <c r="C550">
        <v>408</v>
      </c>
      <c r="D550" t="s">
        <v>27</v>
      </c>
      <c r="E550" t="s">
        <v>21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</row>
    <row r="551" spans="1:20" x14ac:dyDescent="0.25">
      <c r="A551" t="s">
        <v>47</v>
      </c>
      <c r="B551">
        <v>81</v>
      </c>
      <c r="C551">
        <v>415</v>
      </c>
      <c r="D551" t="s">
        <v>21</v>
      </c>
      <c r="E551" t="s">
        <v>21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</row>
    <row r="552" spans="1:20" x14ac:dyDescent="0.25">
      <c r="A552" t="s">
        <v>53</v>
      </c>
      <c r="B552">
        <v>75</v>
      </c>
      <c r="C552">
        <v>408</v>
      </c>
      <c r="D552" t="s">
        <v>21</v>
      </c>
      <c r="E552" t="s">
        <v>21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</row>
    <row r="553" spans="1:20" x14ac:dyDescent="0.25">
      <c r="A553" t="s">
        <v>46</v>
      </c>
      <c r="B553">
        <v>178</v>
      </c>
      <c r="C553">
        <v>415</v>
      </c>
      <c r="D553" t="s">
        <v>21</v>
      </c>
      <c r="E553" t="s">
        <v>27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</row>
    <row r="554" spans="1:20" x14ac:dyDescent="0.25">
      <c r="A554" t="s">
        <v>24</v>
      </c>
      <c r="B554">
        <v>112</v>
      </c>
      <c r="C554">
        <v>415</v>
      </c>
      <c r="D554" t="s">
        <v>21</v>
      </c>
      <c r="E554" t="s">
        <v>21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</row>
    <row r="555" spans="1:20" x14ac:dyDescent="0.25">
      <c r="A555" t="s">
        <v>38</v>
      </c>
      <c r="B555">
        <v>100</v>
      </c>
      <c r="C555">
        <v>510</v>
      </c>
      <c r="D555" t="s">
        <v>21</v>
      </c>
      <c r="E555" t="s">
        <v>21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</row>
    <row r="556" spans="1:20" x14ac:dyDescent="0.25">
      <c r="A556" t="s">
        <v>66</v>
      </c>
      <c r="B556">
        <v>104</v>
      </c>
      <c r="C556">
        <v>415</v>
      </c>
      <c r="D556" t="s">
        <v>21</v>
      </c>
      <c r="E556" t="s">
        <v>21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</row>
    <row r="557" spans="1:20" x14ac:dyDescent="0.25">
      <c r="A557" t="s">
        <v>23</v>
      </c>
      <c r="B557">
        <v>160</v>
      </c>
      <c r="C557">
        <v>408</v>
      </c>
      <c r="D557" t="s">
        <v>21</v>
      </c>
      <c r="E557" t="s">
        <v>21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</row>
    <row r="558" spans="1:20" x14ac:dyDescent="0.25">
      <c r="A558" t="s">
        <v>66</v>
      </c>
      <c r="B558">
        <v>87</v>
      </c>
      <c r="C558">
        <v>415</v>
      </c>
      <c r="D558" t="s">
        <v>21</v>
      </c>
      <c r="E558" t="s">
        <v>21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</row>
    <row r="559" spans="1:20" x14ac:dyDescent="0.25">
      <c r="A559" t="s">
        <v>46</v>
      </c>
      <c r="B559">
        <v>81</v>
      </c>
      <c r="C559">
        <v>415</v>
      </c>
      <c r="D559" t="s">
        <v>21</v>
      </c>
      <c r="E559" t="s">
        <v>21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</row>
    <row r="560" spans="1:20" x14ac:dyDescent="0.25">
      <c r="A560" t="s">
        <v>62</v>
      </c>
      <c r="B560">
        <v>28</v>
      </c>
      <c r="C560">
        <v>415</v>
      </c>
      <c r="D560" t="s">
        <v>21</v>
      </c>
      <c r="E560" t="s">
        <v>21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</row>
    <row r="561" spans="1:20" x14ac:dyDescent="0.25">
      <c r="A561" t="s">
        <v>31</v>
      </c>
      <c r="B561">
        <v>95</v>
      </c>
      <c r="C561">
        <v>408</v>
      </c>
      <c r="D561" t="s">
        <v>21</v>
      </c>
      <c r="E561" t="s">
        <v>21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</row>
    <row r="562" spans="1:20" x14ac:dyDescent="0.25">
      <c r="A562" t="s">
        <v>64</v>
      </c>
      <c r="B562">
        <v>35</v>
      </c>
      <c r="C562">
        <v>408</v>
      </c>
      <c r="D562" t="s">
        <v>21</v>
      </c>
      <c r="E562" t="s">
        <v>21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</row>
    <row r="563" spans="1:20" x14ac:dyDescent="0.25">
      <c r="A563" t="s">
        <v>50</v>
      </c>
      <c r="B563">
        <v>134</v>
      </c>
      <c r="C563">
        <v>510</v>
      </c>
      <c r="D563" t="s">
        <v>21</v>
      </c>
      <c r="E563" t="s">
        <v>21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</row>
    <row r="564" spans="1:20" x14ac:dyDescent="0.25">
      <c r="A564" t="s">
        <v>69</v>
      </c>
      <c r="B564">
        <v>185</v>
      </c>
      <c r="C564">
        <v>415</v>
      </c>
      <c r="D564" t="s">
        <v>21</v>
      </c>
      <c r="E564" t="s">
        <v>27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</row>
    <row r="565" spans="1:20" x14ac:dyDescent="0.25">
      <c r="A565" t="s">
        <v>67</v>
      </c>
      <c r="B565">
        <v>85</v>
      </c>
      <c r="C565">
        <v>408</v>
      </c>
      <c r="D565" t="s">
        <v>21</v>
      </c>
      <c r="E565" t="s">
        <v>21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</row>
    <row r="566" spans="1:20" x14ac:dyDescent="0.25">
      <c r="A566" t="s">
        <v>70</v>
      </c>
      <c r="B566">
        <v>148</v>
      </c>
      <c r="C566">
        <v>415</v>
      </c>
      <c r="D566" t="s">
        <v>21</v>
      </c>
      <c r="E566" t="s">
        <v>27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</row>
    <row r="567" spans="1:20" x14ac:dyDescent="0.25">
      <c r="A567" t="s">
        <v>56</v>
      </c>
      <c r="B567">
        <v>134</v>
      </c>
      <c r="C567">
        <v>408</v>
      </c>
      <c r="D567" t="s">
        <v>21</v>
      </c>
      <c r="E567" t="s">
        <v>27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</row>
    <row r="568" spans="1:20" x14ac:dyDescent="0.25">
      <c r="A568" t="s">
        <v>35</v>
      </c>
      <c r="B568">
        <v>80</v>
      </c>
      <c r="C568">
        <v>408</v>
      </c>
      <c r="D568" t="s">
        <v>21</v>
      </c>
      <c r="E568" t="s">
        <v>27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</row>
    <row r="569" spans="1:20" x14ac:dyDescent="0.25">
      <c r="A569" t="s">
        <v>42</v>
      </c>
      <c r="B569">
        <v>165</v>
      </c>
      <c r="C569">
        <v>510</v>
      </c>
      <c r="D569" t="s">
        <v>21</v>
      </c>
      <c r="E569" t="s">
        <v>21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</row>
    <row r="570" spans="1:20" x14ac:dyDescent="0.25">
      <c r="A570" t="s">
        <v>52</v>
      </c>
      <c r="B570">
        <v>65</v>
      </c>
      <c r="C570">
        <v>415</v>
      </c>
      <c r="D570" t="s">
        <v>21</v>
      </c>
      <c r="E570" t="s">
        <v>27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</row>
    <row r="571" spans="1:20" x14ac:dyDescent="0.25">
      <c r="A571" t="s">
        <v>55</v>
      </c>
      <c r="B571">
        <v>104</v>
      </c>
      <c r="C571">
        <v>415</v>
      </c>
      <c r="D571" t="s">
        <v>21</v>
      </c>
      <c r="E571" t="s">
        <v>21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</row>
    <row r="572" spans="1:20" x14ac:dyDescent="0.25">
      <c r="A572" t="s">
        <v>59</v>
      </c>
      <c r="B572">
        <v>44</v>
      </c>
      <c r="C572">
        <v>415</v>
      </c>
      <c r="D572" t="s">
        <v>21</v>
      </c>
      <c r="E572" t="s">
        <v>21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</row>
    <row r="573" spans="1:20" x14ac:dyDescent="0.25">
      <c r="A573" t="s">
        <v>42</v>
      </c>
      <c r="B573">
        <v>162</v>
      </c>
      <c r="C573">
        <v>415</v>
      </c>
      <c r="D573" t="s">
        <v>21</v>
      </c>
      <c r="E573" t="s">
        <v>21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</row>
    <row r="574" spans="1:20" x14ac:dyDescent="0.25">
      <c r="A574" t="s">
        <v>40</v>
      </c>
      <c r="B574">
        <v>96</v>
      </c>
      <c r="C574">
        <v>415</v>
      </c>
      <c r="D574" t="s">
        <v>21</v>
      </c>
      <c r="E574" t="s">
        <v>21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</row>
    <row r="575" spans="1:20" x14ac:dyDescent="0.25">
      <c r="A575" t="s">
        <v>22</v>
      </c>
      <c r="B575">
        <v>72</v>
      </c>
      <c r="C575">
        <v>510</v>
      </c>
      <c r="D575" t="s">
        <v>21</v>
      </c>
      <c r="E575" t="s">
        <v>21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</row>
    <row r="576" spans="1:20" x14ac:dyDescent="0.25">
      <c r="A576" t="s">
        <v>41</v>
      </c>
      <c r="B576">
        <v>31</v>
      </c>
      <c r="C576">
        <v>415</v>
      </c>
      <c r="D576" t="s">
        <v>21</v>
      </c>
      <c r="E576" t="s">
        <v>21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</row>
    <row r="577" spans="1:20" x14ac:dyDescent="0.25">
      <c r="A577" t="s">
        <v>44</v>
      </c>
      <c r="B577">
        <v>72</v>
      </c>
      <c r="C577">
        <v>415</v>
      </c>
      <c r="D577" t="s">
        <v>21</v>
      </c>
      <c r="E577" t="s">
        <v>21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</row>
    <row r="578" spans="1:20" x14ac:dyDescent="0.25">
      <c r="A578" t="s">
        <v>67</v>
      </c>
      <c r="B578">
        <v>136</v>
      </c>
      <c r="C578">
        <v>408</v>
      </c>
      <c r="D578" t="s">
        <v>21</v>
      </c>
      <c r="E578" t="s">
        <v>21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</row>
    <row r="579" spans="1:20" x14ac:dyDescent="0.25">
      <c r="A579" t="s">
        <v>47</v>
      </c>
      <c r="B579">
        <v>82</v>
      </c>
      <c r="C579">
        <v>415</v>
      </c>
      <c r="D579" t="s">
        <v>21</v>
      </c>
      <c r="E579" t="s">
        <v>27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</row>
    <row r="580" spans="1:20" x14ac:dyDescent="0.25">
      <c r="A580" t="s">
        <v>32</v>
      </c>
      <c r="B580">
        <v>155</v>
      </c>
      <c r="C580">
        <v>408</v>
      </c>
      <c r="D580" t="s">
        <v>27</v>
      </c>
      <c r="E580" t="s">
        <v>21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</row>
    <row r="581" spans="1:20" x14ac:dyDescent="0.25">
      <c r="A581" t="s">
        <v>72</v>
      </c>
      <c r="B581">
        <v>136</v>
      </c>
      <c r="C581">
        <v>415</v>
      </c>
      <c r="D581" t="s">
        <v>21</v>
      </c>
      <c r="E581" t="s">
        <v>21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</row>
    <row r="582" spans="1:20" x14ac:dyDescent="0.25">
      <c r="A582" t="s">
        <v>48</v>
      </c>
      <c r="B582">
        <v>57</v>
      </c>
      <c r="C582">
        <v>415</v>
      </c>
      <c r="D582" t="s">
        <v>21</v>
      </c>
      <c r="E582" t="s">
        <v>21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</row>
    <row r="583" spans="1:20" x14ac:dyDescent="0.25">
      <c r="A583" t="s">
        <v>46</v>
      </c>
      <c r="B583">
        <v>112</v>
      </c>
      <c r="C583">
        <v>415</v>
      </c>
      <c r="D583" t="s">
        <v>21</v>
      </c>
      <c r="E583" t="s">
        <v>21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</row>
    <row r="584" spans="1:20" x14ac:dyDescent="0.25">
      <c r="A584" t="s">
        <v>53</v>
      </c>
      <c r="B584">
        <v>95</v>
      </c>
      <c r="C584">
        <v>408</v>
      </c>
      <c r="D584" t="s">
        <v>21</v>
      </c>
      <c r="E584" t="s">
        <v>21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</row>
    <row r="585" spans="1:20" x14ac:dyDescent="0.25">
      <c r="A585" t="s">
        <v>29</v>
      </c>
      <c r="B585">
        <v>113</v>
      </c>
      <c r="C585">
        <v>415</v>
      </c>
      <c r="D585" t="s">
        <v>21</v>
      </c>
      <c r="E585" t="s">
        <v>27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</row>
    <row r="586" spans="1:20" x14ac:dyDescent="0.25">
      <c r="A586" t="s">
        <v>31</v>
      </c>
      <c r="B586">
        <v>103</v>
      </c>
      <c r="C586">
        <v>415</v>
      </c>
      <c r="D586" t="s">
        <v>21</v>
      </c>
      <c r="E586" t="s">
        <v>21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</row>
    <row r="587" spans="1:20" x14ac:dyDescent="0.25">
      <c r="A587" t="s">
        <v>24</v>
      </c>
      <c r="B587">
        <v>149</v>
      </c>
      <c r="C587">
        <v>415</v>
      </c>
      <c r="D587" t="s">
        <v>21</v>
      </c>
      <c r="E587" t="s">
        <v>27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</row>
    <row r="588" spans="1:20" x14ac:dyDescent="0.25">
      <c r="A588" t="s">
        <v>60</v>
      </c>
      <c r="B588">
        <v>116</v>
      </c>
      <c r="C588">
        <v>408</v>
      </c>
      <c r="D588" t="s">
        <v>21</v>
      </c>
      <c r="E588" t="s">
        <v>21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</row>
    <row r="589" spans="1:20" x14ac:dyDescent="0.25">
      <c r="A589" t="s">
        <v>41</v>
      </c>
      <c r="B589">
        <v>95</v>
      </c>
      <c r="C589">
        <v>510</v>
      </c>
      <c r="D589" t="s">
        <v>21</v>
      </c>
      <c r="E589" t="s">
        <v>21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</row>
    <row r="590" spans="1:20" x14ac:dyDescent="0.25">
      <c r="A590" t="s">
        <v>59</v>
      </c>
      <c r="B590">
        <v>201</v>
      </c>
      <c r="C590">
        <v>510</v>
      </c>
      <c r="D590" t="s">
        <v>21</v>
      </c>
      <c r="E590" t="s">
        <v>21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</row>
    <row r="591" spans="1:20" x14ac:dyDescent="0.25">
      <c r="A591" t="s">
        <v>25</v>
      </c>
      <c r="B591">
        <v>150</v>
      </c>
      <c r="C591">
        <v>415</v>
      </c>
      <c r="D591" t="s">
        <v>21</v>
      </c>
      <c r="E591" t="s">
        <v>21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</row>
    <row r="592" spans="1:20" x14ac:dyDescent="0.25">
      <c r="A592" t="s">
        <v>28</v>
      </c>
      <c r="B592">
        <v>108</v>
      </c>
      <c r="C592">
        <v>408</v>
      </c>
      <c r="D592" t="s">
        <v>27</v>
      </c>
      <c r="E592" t="s">
        <v>21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</row>
    <row r="593" spans="1:20" x14ac:dyDescent="0.25">
      <c r="A593" t="s">
        <v>43</v>
      </c>
      <c r="B593">
        <v>101</v>
      </c>
      <c r="C593">
        <v>415</v>
      </c>
      <c r="D593" t="s">
        <v>27</v>
      </c>
      <c r="E593" t="s">
        <v>21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</row>
    <row r="594" spans="1:20" x14ac:dyDescent="0.25">
      <c r="A594" t="s">
        <v>44</v>
      </c>
      <c r="B594">
        <v>182</v>
      </c>
      <c r="C594">
        <v>415</v>
      </c>
      <c r="D594" t="s">
        <v>21</v>
      </c>
      <c r="E594" t="s">
        <v>27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</row>
    <row r="595" spans="1:20" x14ac:dyDescent="0.25">
      <c r="A595" t="s">
        <v>33</v>
      </c>
      <c r="B595">
        <v>128</v>
      </c>
      <c r="C595">
        <v>408</v>
      </c>
      <c r="D595" t="s">
        <v>21</v>
      </c>
      <c r="E595" t="s">
        <v>21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</row>
    <row r="596" spans="1:20" x14ac:dyDescent="0.25">
      <c r="A596" t="s">
        <v>30</v>
      </c>
      <c r="B596">
        <v>113</v>
      </c>
      <c r="C596">
        <v>408</v>
      </c>
      <c r="D596" t="s">
        <v>21</v>
      </c>
      <c r="E596" t="s">
        <v>27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</row>
    <row r="597" spans="1:20" x14ac:dyDescent="0.25">
      <c r="A597" t="s">
        <v>57</v>
      </c>
      <c r="B597">
        <v>76</v>
      </c>
      <c r="C597">
        <v>415</v>
      </c>
      <c r="D597" t="s">
        <v>21</v>
      </c>
      <c r="E597" t="s">
        <v>21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</row>
    <row r="598" spans="1:20" x14ac:dyDescent="0.25">
      <c r="A598" t="s">
        <v>65</v>
      </c>
      <c r="B598">
        <v>204</v>
      </c>
      <c r="C598">
        <v>510</v>
      </c>
      <c r="D598" t="s">
        <v>21</v>
      </c>
      <c r="E598" t="s">
        <v>21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</row>
    <row r="599" spans="1:20" x14ac:dyDescent="0.25">
      <c r="A599" t="s">
        <v>42</v>
      </c>
      <c r="B599">
        <v>32</v>
      </c>
      <c r="C599">
        <v>415</v>
      </c>
      <c r="D599" t="s">
        <v>21</v>
      </c>
      <c r="E599" t="s">
        <v>27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</row>
    <row r="600" spans="1:20" x14ac:dyDescent="0.25">
      <c r="A600" t="s">
        <v>37</v>
      </c>
      <c r="B600">
        <v>103</v>
      </c>
      <c r="C600">
        <v>415</v>
      </c>
      <c r="D600" t="s">
        <v>21</v>
      </c>
      <c r="E600" t="s">
        <v>27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</row>
    <row r="601" spans="1:20" x14ac:dyDescent="0.25">
      <c r="A601" t="s">
        <v>59</v>
      </c>
      <c r="B601">
        <v>148</v>
      </c>
      <c r="C601">
        <v>510</v>
      </c>
      <c r="D601" t="s">
        <v>21</v>
      </c>
      <c r="E601" t="s">
        <v>21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</row>
    <row r="602" spans="1:20" x14ac:dyDescent="0.25">
      <c r="A602" t="s">
        <v>37</v>
      </c>
      <c r="B602">
        <v>57</v>
      </c>
      <c r="C602">
        <v>415</v>
      </c>
      <c r="D602" t="s">
        <v>21</v>
      </c>
      <c r="E602" t="s">
        <v>21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</row>
    <row r="603" spans="1:20" x14ac:dyDescent="0.25">
      <c r="A603" t="s">
        <v>36</v>
      </c>
      <c r="B603">
        <v>64</v>
      </c>
      <c r="C603">
        <v>415</v>
      </c>
      <c r="D603" t="s">
        <v>27</v>
      </c>
      <c r="E603" t="s">
        <v>21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</row>
    <row r="604" spans="1:20" x14ac:dyDescent="0.25">
      <c r="A604" t="s">
        <v>61</v>
      </c>
      <c r="B604">
        <v>70</v>
      </c>
      <c r="C604">
        <v>415</v>
      </c>
      <c r="D604" t="s">
        <v>21</v>
      </c>
      <c r="E604" t="s">
        <v>21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</row>
    <row r="605" spans="1:20" x14ac:dyDescent="0.25">
      <c r="A605" t="s">
        <v>35</v>
      </c>
      <c r="B605">
        <v>142</v>
      </c>
      <c r="C605">
        <v>408</v>
      </c>
      <c r="D605" t="s">
        <v>21</v>
      </c>
      <c r="E605" t="s">
        <v>21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</row>
    <row r="606" spans="1:20" x14ac:dyDescent="0.25">
      <c r="A606" t="s">
        <v>38</v>
      </c>
      <c r="B606">
        <v>88</v>
      </c>
      <c r="C606">
        <v>415</v>
      </c>
      <c r="D606" t="s">
        <v>21</v>
      </c>
      <c r="E606" t="s">
        <v>21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</row>
    <row r="607" spans="1:20" x14ac:dyDescent="0.25">
      <c r="A607" t="s">
        <v>63</v>
      </c>
      <c r="B607">
        <v>131</v>
      </c>
      <c r="C607">
        <v>510</v>
      </c>
      <c r="D607" t="s">
        <v>21</v>
      </c>
      <c r="E607" t="s">
        <v>21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</row>
    <row r="608" spans="1:20" x14ac:dyDescent="0.25">
      <c r="A608" t="s">
        <v>37</v>
      </c>
      <c r="B608">
        <v>130</v>
      </c>
      <c r="C608">
        <v>408</v>
      </c>
      <c r="D608" t="s">
        <v>21</v>
      </c>
      <c r="E608" t="s">
        <v>21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</row>
    <row r="609" spans="1:20" x14ac:dyDescent="0.25">
      <c r="A609" t="s">
        <v>47</v>
      </c>
      <c r="B609">
        <v>166</v>
      </c>
      <c r="C609">
        <v>510</v>
      </c>
      <c r="D609" t="s">
        <v>21</v>
      </c>
      <c r="E609" t="s">
        <v>21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</row>
    <row r="610" spans="1:20" x14ac:dyDescent="0.25">
      <c r="A610" t="s">
        <v>49</v>
      </c>
      <c r="B610">
        <v>130</v>
      </c>
      <c r="C610">
        <v>510</v>
      </c>
      <c r="D610" t="s">
        <v>21</v>
      </c>
      <c r="E610" t="s">
        <v>21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</row>
    <row r="611" spans="1:20" x14ac:dyDescent="0.25">
      <c r="A611" t="s">
        <v>24</v>
      </c>
      <c r="B611">
        <v>111</v>
      </c>
      <c r="C611">
        <v>510</v>
      </c>
      <c r="D611" t="s">
        <v>21</v>
      </c>
      <c r="E611" t="s">
        <v>21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</row>
    <row r="612" spans="1:20" x14ac:dyDescent="0.25">
      <c r="A612" t="s">
        <v>22</v>
      </c>
      <c r="B612">
        <v>100</v>
      </c>
      <c r="C612">
        <v>415</v>
      </c>
      <c r="D612" t="s">
        <v>21</v>
      </c>
      <c r="E612" t="s">
        <v>27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</row>
    <row r="613" spans="1:20" x14ac:dyDescent="0.25">
      <c r="A613" t="s">
        <v>62</v>
      </c>
      <c r="B613">
        <v>57</v>
      </c>
      <c r="C613">
        <v>415</v>
      </c>
      <c r="D613" t="s">
        <v>21</v>
      </c>
      <c r="E613" t="s">
        <v>21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</row>
    <row r="614" spans="1:20" x14ac:dyDescent="0.25">
      <c r="A614" t="s">
        <v>58</v>
      </c>
      <c r="B614">
        <v>139</v>
      </c>
      <c r="C614">
        <v>408</v>
      </c>
      <c r="D614" t="s">
        <v>21</v>
      </c>
      <c r="E614" t="s">
        <v>21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</row>
    <row r="615" spans="1:20" x14ac:dyDescent="0.25">
      <c r="A615" t="s">
        <v>47</v>
      </c>
      <c r="B615">
        <v>113</v>
      </c>
      <c r="C615">
        <v>415</v>
      </c>
      <c r="D615" t="s">
        <v>21</v>
      </c>
      <c r="E615" t="s">
        <v>21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</row>
    <row r="616" spans="1:20" x14ac:dyDescent="0.25">
      <c r="A616" t="s">
        <v>64</v>
      </c>
      <c r="B616">
        <v>108</v>
      </c>
      <c r="C616">
        <v>415</v>
      </c>
      <c r="D616" t="s">
        <v>21</v>
      </c>
      <c r="E616" t="s">
        <v>21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</row>
    <row r="617" spans="1:20" x14ac:dyDescent="0.25">
      <c r="A617" t="s">
        <v>34</v>
      </c>
      <c r="B617">
        <v>100</v>
      </c>
      <c r="C617">
        <v>415</v>
      </c>
      <c r="D617" t="s">
        <v>21</v>
      </c>
      <c r="E617" t="s">
        <v>21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</row>
    <row r="618" spans="1:20" x14ac:dyDescent="0.25">
      <c r="A618" t="s">
        <v>66</v>
      </c>
      <c r="B618">
        <v>120</v>
      </c>
      <c r="C618">
        <v>510</v>
      </c>
      <c r="D618" t="s">
        <v>21</v>
      </c>
      <c r="E618" t="s">
        <v>21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</row>
    <row r="619" spans="1:20" x14ac:dyDescent="0.25">
      <c r="A619" t="s">
        <v>64</v>
      </c>
      <c r="B619">
        <v>107</v>
      </c>
      <c r="C619">
        <v>408</v>
      </c>
      <c r="D619" t="s">
        <v>21</v>
      </c>
      <c r="E619" t="s">
        <v>27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</row>
    <row r="620" spans="1:20" x14ac:dyDescent="0.25">
      <c r="A620" t="s">
        <v>22</v>
      </c>
      <c r="B620">
        <v>104</v>
      </c>
      <c r="C620">
        <v>408</v>
      </c>
      <c r="D620" t="s">
        <v>21</v>
      </c>
      <c r="E620" t="s">
        <v>21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</row>
    <row r="621" spans="1:20" x14ac:dyDescent="0.25">
      <c r="A621" t="s">
        <v>46</v>
      </c>
      <c r="B621">
        <v>62</v>
      </c>
      <c r="C621">
        <v>415</v>
      </c>
      <c r="D621" t="s">
        <v>21</v>
      </c>
      <c r="E621" t="s">
        <v>21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</row>
    <row r="622" spans="1:20" x14ac:dyDescent="0.25">
      <c r="A622" t="s">
        <v>34</v>
      </c>
      <c r="B622">
        <v>34</v>
      </c>
      <c r="C622">
        <v>415</v>
      </c>
      <c r="D622" t="s">
        <v>21</v>
      </c>
      <c r="E622" t="s">
        <v>27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</row>
    <row r="623" spans="1:20" x14ac:dyDescent="0.25">
      <c r="A623" t="s">
        <v>46</v>
      </c>
      <c r="B623">
        <v>183</v>
      </c>
      <c r="C623">
        <v>415</v>
      </c>
      <c r="D623" t="s">
        <v>21</v>
      </c>
      <c r="E623" t="s">
        <v>21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</row>
    <row r="624" spans="1:20" x14ac:dyDescent="0.25">
      <c r="A624" t="s">
        <v>63</v>
      </c>
      <c r="B624">
        <v>123</v>
      </c>
      <c r="C624">
        <v>408</v>
      </c>
      <c r="D624" t="s">
        <v>21</v>
      </c>
      <c r="E624" t="s">
        <v>21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</row>
    <row r="625" spans="1:20" x14ac:dyDescent="0.25">
      <c r="A625" t="s">
        <v>22</v>
      </c>
      <c r="B625">
        <v>64</v>
      </c>
      <c r="C625">
        <v>408</v>
      </c>
      <c r="D625" t="s">
        <v>21</v>
      </c>
      <c r="E625" t="s">
        <v>21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</row>
    <row r="626" spans="1:20" x14ac:dyDescent="0.25">
      <c r="A626" t="s">
        <v>68</v>
      </c>
      <c r="B626">
        <v>27</v>
      </c>
      <c r="C626">
        <v>415</v>
      </c>
      <c r="D626" t="s">
        <v>21</v>
      </c>
      <c r="E626" t="s">
        <v>21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</row>
    <row r="627" spans="1:20" x14ac:dyDescent="0.25">
      <c r="A627" t="s">
        <v>45</v>
      </c>
      <c r="B627">
        <v>123</v>
      </c>
      <c r="C627">
        <v>408</v>
      </c>
      <c r="D627" t="s">
        <v>21</v>
      </c>
      <c r="E627" t="s">
        <v>21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</row>
    <row r="628" spans="1:20" x14ac:dyDescent="0.25">
      <c r="A628" t="s">
        <v>46</v>
      </c>
      <c r="B628">
        <v>84</v>
      </c>
      <c r="C628">
        <v>408</v>
      </c>
      <c r="D628" t="s">
        <v>21</v>
      </c>
      <c r="E628" t="s">
        <v>27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</row>
    <row r="629" spans="1:20" x14ac:dyDescent="0.25">
      <c r="A629" t="s">
        <v>20</v>
      </c>
      <c r="B629">
        <v>91</v>
      </c>
      <c r="C629">
        <v>415</v>
      </c>
      <c r="D629" t="s">
        <v>21</v>
      </c>
      <c r="E629" t="s">
        <v>21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</row>
    <row r="630" spans="1:20" x14ac:dyDescent="0.25">
      <c r="A630" t="s">
        <v>36</v>
      </c>
      <c r="B630">
        <v>95</v>
      </c>
      <c r="C630">
        <v>510</v>
      </c>
      <c r="D630" t="s">
        <v>21</v>
      </c>
      <c r="E630" t="s">
        <v>21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</row>
    <row r="631" spans="1:20" x14ac:dyDescent="0.25">
      <c r="A631" t="s">
        <v>66</v>
      </c>
      <c r="B631">
        <v>73</v>
      </c>
      <c r="C631">
        <v>415</v>
      </c>
      <c r="D631" t="s">
        <v>21</v>
      </c>
      <c r="E631" t="s">
        <v>21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</row>
    <row r="632" spans="1:20" x14ac:dyDescent="0.25">
      <c r="A632" t="s">
        <v>66</v>
      </c>
      <c r="B632">
        <v>58</v>
      </c>
      <c r="C632">
        <v>408</v>
      </c>
      <c r="D632" t="s">
        <v>21</v>
      </c>
      <c r="E632" t="s">
        <v>27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</row>
    <row r="633" spans="1:20" x14ac:dyDescent="0.25">
      <c r="A633" t="s">
        <v>71</v>
      </c>
      <c r="B633">
        <v>88</v>
      </c>
      <c r="C633">
        <v>415</v>
      </c>
      <c r="D633" t="s">
        <v>21</v>
      </c>
      <c r="E633" t="s">
        <v>21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</row>
    <row r="634" spans="1:20" x14ac:dyDescent="0.25">
      <c r="A634" t="s">
        <v>41</v>
      </c>
      <c r="B634">
        <v>67</v>
      </c>
      <c r="C634">
        <v>415</v>
      </c>
      <c r="D634" t="s">
        <v>21</v>
      </c>
      <c r="E634" t="s">
        <v>27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</row>
    <row r="635" spans="1:20" x14ac:dyDescent="0.25">
      <c r="A635" t="s">
        <v>40</v>
      </c>
      <c r="B635">
        <v>152</v>
      </c>
      <c r="C635">
        <v>510</v>
      </c>
      <c r="D635" t="s">
        <v>21</v>
      </c>
      <c r="E635" t="s">
        <v>21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</row>
    <row r="636" spans="1:20" x14ac:dyDescent="0.25">
      <c r="A636" t="s">
        <v>67</v>
      </c>
      <c r="B636">
        <v>142</v>
      </c>
      <c r="C636">
        <v>510</v>
      </c>
      <c r="D636" t="s">
        <v>21</v>
      </c>
      <c r="E636" t="s">
        <v>27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</row>
    <row r="637" spans="1:20" x14ac:dyDescent="0.25">
      <c r="A637" t="s">
        <v>29</v>
      </c>
      <c r="B637">
        <v>105</v>
      </c>
      <c r="C637">
        <v>408</v>
      </c>
      <c r="D637" t="s">
        <v>21</v>
      </c>
      <c r="E637" t="s">
        <v>21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</row>
    <row r="638" spans="1:20" x14ac:dyDescent="0.25">
      <c r="A638" t="s">
        <v>61</v>
      </c>
      <c r="B638">
        <v>93</v>
      </c>
      <c r="C638">
        <v>408</v>
      </c>
      <c r="D638" t="s">
        <v>21</v>
      </c>
      <c r="E638" t="s">
        <v>27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</row>
    <row r="639" spans="1:20" x14ac:dyDescent="0.25">
      <c r="A639" t="s">
        <v>36</v>
      </c>
      <c r="B639">
        <v>79</v>
      </c>
      <c r="C639">
        <v>415</v>
      </c>
      <c r="D639" t="s">
        <v>21</v>
      </c>
      <c r="E639" t="s">
        <v>21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</row>
    <row r="640" spans="1:20" x14ac:dyDescent="0.25">
      <c r="A640" t="s">
        <v>24</v>
      </c>
      <c r="B640">
        <v>88</v>
      </c>
      <c r="C640">
        <v>408</v>
      </c>
      <c r="D640" t="s">
        <v>21</v>
      </c>
      <c r="E640" t="s">
        <v>21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</row>
    <row r="641" spans="1:20" x14ac:dyDescent="0.25">
      <c r="A641" t="s">
        <v>53</v>
      </c>
      <c r="B641">
        <v>110</v>
      </c>
      <c r="C641">
        <v>408</v>
      </c>
      <c r="D641" t="s">
        <v>21</v>
      </c>
      <c r="E641" t="s">
        <v>21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</row>
    <row r="642" spans="1:20" x14ac:dyDescent="0.25">
      <c r="A642" t="s">
        <v>23</v>
      </c>
      <c r="B642">
        <v>209</v>
      </c>
      <c r="C642">
        <v>415</v>
      </c>
      <c r="D642" t="s">
        <v>21</v>
      </c>
      <c r="E642" t="s">
        <v>21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</row>
    <row r="643" spans="1:20" x14ac:dyDescent="0.25">
      <c r="A643" t="s">
        <v>47</v>
      </c>
      <c r="B643">
        <v>27</v>
      </c>
      <c r="C643">
        <v>510</v>
      </c>
      <c r="D643" t="s">
        <v>21</v>
      </c>
      <c r="E643" t="s">
        <v>21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</row>
    <row r="644" spans="1:20" x14ac:dyDescent="0.25">
      <c r="A644" t="s">
        <v>63</v>
      </c>
      <c r="B644">
        <v>117</v>
      </c>
      <c r="C644">
        <v>415</v>
      </c>
      <c r="D644" t="s">
        <v>21</v>
      </c>
      <c r="E644" t="s">
        <v>21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</row>
    <row r="645" spans="1:20" x14ac:dyDescent="0.25">
      <c r="A645" t="s">
        <v>35</v>
      </c>
      <c r="B645">
        <v>87</v>
      </c>
      <c r="C645">
        <v>408</v>
      </c>
      <c r="D645" t="s">
        <v>21</v>
      </c>
      <c r="E645" t="s">
        <v>21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</row>
    <row r="646" spans="1:20" x14ac:dyDescent="0.25">
      <c r="A646" t="s">
        <v>56</v>
      </c>
      <c r="B646">
        <v>129</v>
      </c>
      <c r="C646">
        <v>510</v>
      </c>
      <c r="D646" t="s">
        <v>21</v>
      </c>
      <c r="E646" t="s">
        <v>27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</row>
    <row r="647" spans="1:20" x14ac:dyDescent="0.25">
      <c r="A647" t="s">
        <v>31</v>
      </c>
      <c r="B647">
        <v>142</v>
      </c>
      <c r="C647">
        <v>510</v>
      </c>
      <c r="D647" t="s">
        <v>21</v>
      </c>
      <c r="E647" t="s">
        <v>21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</row>
    <row r="648" spans="1:20" x14ac:dyDescent="0.25">
      <c r="A648" t="s">
        <v>55</v>
      </c>
      <c r="B648">
        <v>112</v>
      </c>
      <c r="C648">
        <v>415</v>
      </c>
      <c r="D648" t="s">
        <v>21</v>
      </c>
      <c r="E648" t="s">
        <v>21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</row>
    <row r="649" spans="1:20" x14ac:dyDescent="0.25">
      <c r="A649" t="s">
        <v>38</v>
      </c>
      <c r="B649">
        <v>97</v>
      </c>
      <c r="C649">
        <v>408</v>
      </c>
      <c r="D649" t="s">
        <v>21</v>
      </c>
      <c r="E649" t="s">
        <v>27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</row>
    <row r="650" spans="1:20" x14ac:dyDescent="0.25">
      <c r="A650" t="s">
        <v>52</v>
      </c>
      <c r="B650">
        <v>101</v>
      </c>
      <c r="C650">
        <v>415</v>
      </c>
      <c r="D650" t="s">
        <v>21</v>
      </c>
      <c r="E650" t="s">
        <v>21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</row>
    <row r="651" spans="1:20" x14ac:dyDescent="0.25">
      <c r="A651" t="s">
        <v>52</v>
      </c>
      <c r="B651">
        <v>127</v>
      </c>
      <c r="C651">
        <v>415</v>
      </c>
      <c r="D651" t="s">
        <v>21</v>
      </c>
      <c r="E651" t="s">
        <v>27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</row>
    <row r="652" spans="1:20" x14ac:dyDescent="0.25">
      <c r="A652" t="s">
        <v>50</v>
      </c>
      <c r="B652">
        <v>148</v>
      </c>
      <c r="C652">
        <v>408</v>
      </c>
      <c r="D652" t="s">
        <v>21</v>
      </c>
      <c r="E652" t="s">
        <v>21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</row>
    <row r="653" spans="1:20" x14ac:dyDescent="0.25">
      <c r="A653" t="s">
        <v>55</v>
      </c>
      <c r="B653">
        <v>138</v>
      </c>
      <c r="C653">
        <v>510</v>
      </c>
      <c r="D653" t="s">
        <v>21</v>
      </c>
      <c r="E653" t="s">
        <v>27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</row>
    <row r="654" spans="1:20" x14ac:dyDescent="0.25">
      <c r="A654" t="s">
        <v>40</v>
      </c>
      <c r="B654">
        <v>84</v>
      </c>
      <c r="C654">
        <v>415</v>
      </c>
      <c r="D654" t="s">
        <v>21</v>
      </c>
      <c r="E654" t="s">
        <v>21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</row>
    <row r="655" spans="1:20" x14ac:dyDescent="0.25">
      <c r="A655" t="s">
        <v>65</v>
      </c>
      <c r="B655">
        <v>133</v>
      </c>
      <c r="C655">
        <v>510</v>
      </c>
      <c r="D655" t="s">
        <v>21</v>
      </c>
      <c r="E655" t="s">
        <v>21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</row>
    <row r="656" spans="1:20" x14ac:dyDescent="0.25">
      <c r="A656" t="s">
        <v>23</v>
      </c>
      <c r="B656">
        <v>120</v>
      </c>
      <c r="C656">
        <v>510</v>
      </c>
      <c r="D656" t="s">
        <v>21</v>
      </c>
      <c r="E656" t="s">
        <v>27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</row>
    <row r="657" spans="1:20" x14ac:dyDescent="0.25">
      <c r="A657" t="s">
        <v>31</v>
      </c>
      <c r="B657">
        <v>87</v>
      </c>
      <c r="C657">
        <v>415</v>
      </c>
      <c r="D657" t="s">
        <v>21</v>
      </c>
      <c r="E657" t="s">
        <v>21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</row>
    <row r="658" spans="1:20" x14ac:dyDescent="0.25">
      <c r="A658" t="s">
        <v>26</v>
      </c>
      <c r="B658">
        <v>99</v>
      </c>
      <c r="C658">
        <v>510</v>
      </c>
      <c r="D658" t="s">
        <v>21</v>
      </c>
      <c r="E658" t="s">
        <v>21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</row>
    <row r="659" spans="1:20" x14ac:dyDescent="0.25">
      <c r="A659" t="s">
        <v>38</v>
      </c>
      <c r="B659">
        <v>48</v>
      </c>
      <c r="C659">
        <v>415</v>
      </c>
      <c r="D659" t="s">
        <v>21</v>
      </c>
      <c r="E659" t="s">
        <v>27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</row>
    <row r="660" spans="1:20" x14ac:dyDescent="0.25">
      <c r="A660" t="s">
        <v>52</v>
      </c>
      <c r="B660">
        <v>57</v>
      </c>
      <c r="C660">
        <v>415</v>
      </c>
      <c r="D660" t="s">
        <v>21</v>
      </c>
      <c r="E660" t="s">
        <v>21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</row>
    <row r="661" spans="1:20" x14ac:dyDescent="0.25">
      <c r="A661" t="s">
        <v>39</v>
      </c>
      <c r="B661">
        <v>127</v>
      </c>
      <c r="C661">
        <v>510</v>
      </c>
      <c r="D661" t="s">
        <v>21</v>
      </c>
      <c r="E661" t="s">
        <v>21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</row>
    <row r="662" spans="1:20" x14ac:dyDescent="0.25">
      <c r="A662" t="s">
        <v>22</v>
      </c>
      <c r="B662">
        <v>114</v>
      </c>
      <c r="C662">
        <v>408</v>
      </c>
      <c r="D662" t="s">
        <v>21</v>
      </c>
      <c r="E662" t="s">
        <v>21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</row>
    <row r="663" spans="1:20" x14ac:dyDescent="0.25">
      <c r="A663" t="s">
        <v>39</v>
      </c>
      <c r="B663">
        <v>84</v>
      </c>
      <c r="C663">
        <v>415</v>
      </c>
      <c r="D663" t="s">
        <v>21</v>
      </c>
      <c r="E663" t="s">
        <v>21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</row>
    <row r="664" spans="1:20" x14ac:dyDescent="0.25">
      <c r="A664" t="s">
        <v>31</v>
      </c>
      <c r="B664">
        <v>114</v>
      </c>
      <c r="C664">
        <v>415</v>
      </c>
      <c r="D664" t="s">
        <v>21</v>
      </c>
      <c r="E664" t="s">
        <v>27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</row>
    <row r="665" spans="1:20" x14ac:dyDescent="0.25">
      <c r="A665" t="s">
        <v>44</v>
      </c>
      <c r="B665">
        <v>106</v>
      </c>
      <c r="C665">
        <v>408</v>
      </c>
      <c r="D665" t="s">
        <v>21</v>
      </c>
      <c r="E665" t="s">
        <v>27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</row>
    <row r="666" spans="1:20" x14ac:dyDescent="0.25">
      <c r="A666" t="s">
        <v>33</v>
      </c>
      <c r="B666">
        <v>60</v>
      </c>
      <c r="C666">
        <v>415</v>
      </c>
      <c r="D666" t="s">
        <v>21</v>
      </c>
      <c r="E666" t="s">
        <v>21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</row>
    <row r="667" spans="1:20" x14ac:dyDescent="0.25">
      <c r="A667" t="s">
        <v>66</v>
      </c>
      <c r="B667">
        <v>159</v>
      </c>
      <c r="C667">
        <v>415</v>
      </c>
      <c r="D667" t="s">
        <v>21</v>
      </c>
      <c r="E667" t="s">
        <v>21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</row>
    <row r="668" spans="1:20" x14ac:dyDescent="0.25">
      <c r="A668" t="s">
        <v>56</v>
      </c>
      <c r="B668">
        <v>184</v>
      </c>
      <c r="C668">
        <v>510</v>
      </c>
      <c r="D668" t="s">
        <v>27</v>
      </c>
      <c r="E668" t="s">
        <v>21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</row>
    <row r="669" spans="1:20" x14ac:dyDescent="0.25">
      <c r="A669" t="s">
        <v>120</v>
      </c>
      <c r="B669">
        <f>SUBTOTAL(104,Table13[Account length])</f>
        <v>232</v>
      </c>
      <c r="F669">
        <f>SUBTOTAL(104,Table13[Number vmail messages])</f>
        <v>51</v>
      </c>
      <c r="G669">
        <f>SUBTOTAL(104,Table13[Total day minutes])</f>
        <v>334.3</v>
      </c>
      <c r="H669">
        <f>SUBTOTAL(104,Table13[Total day calls])</f>
        <v>165</v>
      </c>
      <c r="I669">
        <f>SUBTOTAL(101,Table13[Total day charge])</f>
        <v>30.761769115442267</v>
      </c>
      <c r="J669">
        <f>SUBTOTAL(101,Table13[Total eve minutes])</f>
        <v>203.35532233883055</v>
      </c>
      <c r="K669">
        <f>SUBTOTAL(101,Table13[Total eve calls])</f>
        <v>100.4767616191904</v>
      </c>
      <c r="L669">
        <f>SUBTOTAL(101,Table13[Total eve charge])</f>
        <v>17.285262368815594</v>
      </c>
      <c r="M669">
        <f>SUBTOTAL(101,Table13[Total night minutes])</f>
        <v>199.68530734632685</v>
      </c>
      <c r="N669">
        <f>SUBTOTAL(101,Table13[Total night calls])</f>
        <v>100.11394302848576</v>
      </c>
      <c r="O669">
        <f>SUBTOTAL(101,Table13[Total night charge])</f>
        <v>8.9859070464767559</v>
      </c>
      <c r="P669">
        <f>SUBTOTAL(101,Table13[Total intl minutes])</f>
        <v>10.23838080959521</v>
      </c>
      <c r="Q669">
        <f>SUBTOTAL(101,Table13[Total intl calls])</f>
        <v>4.5277361319340326</v>
      </c>
      <c r="R669">
        <f>SUBTOTAL(101,Table13[Total intl charge])</f>
        <v>2.7649475262368814</v>
      </c>
      <c r="T669">
        <f>SUBTOTAL(103,Table13[Churn])</f>
        <v>667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5A0D-54EC-4849-ACAB-222D90555501}">
  <dimension ref="A1:L669"/>
  <sheetViews>
    <sheetView topLeftCell="B651" workbookViewId="0">
      <selection activeCell="H655" sqref="H655"/>
    </sheetView>
  </sheetViews>
  <sheetFormatPr defaultRowHeight="15" x14ac:dyDescent="0.25"/>
  <cols>
    <col min="1" max="1" width="16.7109375" customWidth="1"/>
    <col min="3" max="3" width="14.28515625" customWidth="1"/>
    <col min="4" max="4" width="16.42578125" customWidth="1"/>
    <col min="5" max="5" width="16.7109375" customWidth="1"/>
    <col min="6" max="6" width="12.42578125" bestFit="1" customWidth="1"/>
    <col min="7" max="7" width="14.7109375" bestFit="1" customWidth="1"/>
    <col min="8" max="8" width="23.5703125" bestFit="1" customWidth="1"/>
    <col min="9" max="9" width="22" bestFit="1" customWidth="1"/>
    <col min="10" max="11" width="10.5703125" customWidth="1"/>
    <col min="12" max="12" width="12.7109375" customWidth="1"/>
  </cols>
  <sheetData>
    <row r="1" spans="1:12" x14ac:dyDescent="0.25">
      <c r="A1" s="6" t="s">
        <v>73</v>
      </c>
      <c r="B1" s="7" t="s">
        <v>19</v>
      </c>
      <c r="C1" s="7" t="s">
        <v>74</v>
      </c>
      <c r="D1" s="7" t="s">
        <v>75</v>
      </c>
      <c r="E1" s="7" t="s">
        <v>76</v>
      </c>
      <c r="F1" s="7" t="s">
        <v>77</v>
      </c>
      <c r="G1" s="7" t="s">
        <v>78</v>
      </c>
      <c r="H1" s="7" t="s">
        <v>79</v>
      </c>
      <c r="I1" s="7" t="s">
        <v>80</v>
      </c>
      <c r="J1" s="7" t="s">
        <v>81</v>
      </c>
      <c r="K1" s="7" t="s">
        <v>82</v>
      </c>
      <c r="L1" s="8" t="s">
        <v>83</v>
      </c>
    </row>
    <row r="2" spans="1:12" x14ac:dyDescent="0.25">
      <c r="A2" s="4" t="str">
        <f>Raw_Data!A2</f>
        <v>LA</v>
      </c>
      <c r="B2" s="1" t="b">
        <f>Raw_Data!T2</f>
        <v>0</v>
      </c>
      <c r="C2" s="1" t="str">
        <f>IF(B2=TRUE,"Churned","Retained")</f>
        <v>Retained</v>
      </c>
      <c r="D2" s="1" t="str">
        <f>IF(Raw_Data!S2=0,"Low Contact",IF(Raw_Data!S2&lt;=2,"Normal Contact","High Contact"))</f>
        <v>Normal Contact</v>
      </c>
      <c r="E2" s="1" t="str">
        <f>IF(AND(Raw_Data!G2&gt;200,Raw_Data!H2&gt;100),"High Usage","Normal Usage")</f>
        <v>Normal Usage</v>
      </c>
      <c r="F2" s="1" t="str" cm="1">
        <f t="array" ref="F2">_xlfn.IFS(B2=TRUE,"High Risk",AND(Raw_Data!S2&gt;=3,Raw_Data!G2&gt;200),"High Risk",Raw_Data!S2&gt;=2,"Medium Risk",TRUE,"Low Risk")</f>
        <v>Low Risk</v>
      </c>
      <c r="G2" s="1" t="str">
        <f>IF(OR(Raw_Data!D2="Yes",Raw_Data!E2="Yes"),"Has Plan","No Special Plan")</f>
        <v>No Special Plan</v>
      </c>
      <c r="H2" s="1" t="str">
        <f>IF(NOT(Raw_Data!S2&gt;=3),"Normal Service Contact","Frequent Service Contact")</f>
        <v>Normal Service Contact</v>
      </c>
      <c r="I2" s="1" t="str" cm="1">
        <f t="array" ref="I2">_xlfn.SWITCH(Raw_Data!D2,"Yes","International Customer","No","Domestic Plan","Unknown")</f>
        <v>Domestic Plan</v>
      </c>
      <c r="J2" s="1" t="str">
        <f>IF(ISERROR(Raw_Data!G2/0),"Error","Valid")</f>
        <v>Error</v>
      </c>
      <c r="K2" s="1" t="str">
        <f>IF(ISBLANK(Raw_Data!A2),"Missing","Available")</f>
        <v>Available</v>
      </c>
      <c r="L2" s="5" t="str">
        <f>IF(ISNUMBER(Raw_Data!G2),"Numeric","Not Numeric")</f>
        <v>Numeric</v>
      </c>
    </row>
    <row r="3" spans="1:12" x14ac:dyDescent="0.25">
      <c r="A3" s="4" t="str">
        <f>Raw_Data!A3</f>
        <v>IN</v>
      </c>
      <c r="B3" s="1" t="b">
        <f>Raw_Data!T3</f>
        <v>1</v>
      </c>
      <c r="C3" s="1" t="str">
        <f t="shared" ref="C3:C66" si="0">IF(B3=TRUE,"Churned","Retained")</f>
        <v>Churned</v>
      </c>
      <c r="D3" s="1" t="str">
        <f>IF(Raw_Data!S3=0,"Low Contact",IF(Raw_Data!S3&lt;=2,"Normal Contact","High Contact"))</f>
        <v>High Contact</v>
      </c>
      <c r="E3" s="1" t="str">
        <f>IF(AND(Raw_Data!G3&gt;200,Raw_Data!H3&gt;100),"High Usage","Normal Usage")</f>
        <v>Normal Usage</v>
      </c>
      <c r="F3" s="1" t="str" cm="1">
        <f t="array" ref="F3">_xlfn.IFS(B3=TRUE,"High Risk",AND(Raw_Data!S3&gt;=3,Raw_Data!G3&gt;200),"High Risk",Raw_Data!S3&gt;=2,"Medium Risk",TRUE,"Low Risk")</f>
        <v>High Risk</v>
      </c>
      <c r="G3" s="1" t="str">
        <f>IF(OR(Raw_Data!D3="Yes",Raw_Data!E3="Yes"),"Has Plan","No Special Plan")</f>
        <v>No Special Plan</v>
      </c>
      <c r="H3" s="1" t="str">
        <f>IF(NOT(Raw_Data!S3&gt;=3),"Normal Service Contact","Frequent Service Contact")</f>
        <v>Frequent Service Contact</v>
      </c>
      <c r="I3" s="1" t="str" cm="1">
        <f t="array" ref="I3">_xlfn.SWITCH(Raw_Data!D3,"Yes","International Customer","No","Domestic Plan","Unknown")</f>
        <v>Domestic Plan</v>
      </c>
      <c r="J3" s="1" t="str">
        <f>IF(ISERROR(Raw_Data!G3/0),"Error","Valid")</f>
        <v>Error</v>
      </c>
      <c r="K3" s="1" t="str">
        <f>IF(ISBLANK(Raw_Data!A3),"Missing","Available")</f>
        <v>Available</v>
      </c>
      <c r="L3" s="5" t="str">
        <f>IF(ISNUMBER(Raw_Data!G3),"Numeric","Not Numeric")</f>
        <v>Numeric</v>
      </c>
    </row>
    <row r="4" spans="1:12" x14ac:dyDescent="0.25">
      <c r="A4" s="4" t="str">
        <f>Raw_Data!A4</f>
        <v>NY</v>
      </c>
      <c r="B4" s="1" t="b">
        <f>Raw_Data!T4</f>
        <v>1</v>
      </c>
      <c r="C4" s="1" t="str">
        <f t="shared" si="0"/>
        <v>Churned</v>
      </c>
      <c r="D4" s="1" t="str">
        <f>IF(Raw_Data!S4=0,"Low Contact",IF(Raw_Data!S4&lt;=2,"Normal Contact","High Contact"))</f>
        <v>High Contact</v>
      </c>
      <c r="E4" s="1" t="str">
        <f>IF(AND(Raw_Data!G4&gt;200,Raw_Data!H4&gt;100),"High Usage","Normal Usage")</f>
        <v>Normal Usage</v>
      </c>
      <c r="F4" s="1" t="str" cm="1">
        <f t="array" ref="F4">_xlfn.IFS(B4=TRUE,"High Risk",AND(Raw_Data!S4&gt;=3,Raw_Data!G4&gt;200),"High Risk",Raw_Data!S4&gt;=2,"Medium Risk",TRUE,"Low Risk")</f>
        <v>High Risk</v>
      </c>
      <c r="G4" s="1" t="str">
        <f>IF(OR(Raw_Data!D4="Yes",Raw_Data!E4="Yes"),"Has Plan","No Special Plan")</f>
        <v>No Special Plan</v>
      </c>
      <c r="H4" s="1" t="str">
        <f>IF(NOT(Raw_Data!S4&gt;=3),"Normal Service Contact","Frequent Service Contact")</f>
        <v>Frequent Service Contact</v>
      </c>
      <c r="I4" s="1" t="str" cm="1">
        <f t="array" ref="I4">_xlfn.SWITCH(Raw_Data!D4,"Yes","International Customer","No","Domestic Plan","Unknown")</f>
        <v>Domestic Plan</v>
      </c>
      <c r="J4" s="1" t="str">
        <f>IF(ISERROR(Raw_Data!G4/0),"Error","Valid")</f>
        <v>Error</v>
      </c>
      <c r="K4" s="1" t="str">
        <f>IF(ISBLANK(Raw_Data!A4),"Missing","Available")</f>
        <v>Available</v>
      </c>
      <c r="L4" s="5" t="str">
        <f>IF(ISNUMBER(Raw_Data!G4),"Numeric","Not Numeric")</f>
        <v>Numeric</v>
      </c>
    </row>
    <row r="5" spans="1:12" x14ac:dyDescent="0.25">
      <c r="A5" s="4" t="str">
        <f>Raw_Data!A5</f>
        <v>SC</v>
      </c>
      <c r="B5" s="1" t="b">
        <f>Raw_Data!T5</f>
        <v>0</v>
      </c>
      <c r="C5" s="1" t="str">
        <f t="shared" si="0"/>
        <v>Retained</v>
      </c>
      <c r="D5" s="1" t="str">
        <f>IF(Raw_Data!S5=0,"Low Contact",IF(Raw_Data!S5&lt;=2,"Normal Contact","High Contact"))</f>
        <v>Normal Contact</v>
      </c>
      <c r="E5" s="1" t="str">
        <f>IF(AND(Raw_Data!G5&gt;200,Raw_Data!H5&gt;100),"High Usage","Normal Usage")</f>
        <v>Normal Usage</v>
      </c>
      <c r="F5" s="1" t="str" cm="1">
        <f t="array" ref="F5">_xlfn.IFS(B5=TRUE,"High Risk",AND(Raw_Data!S5&gt;=3,Raw_Data!G5&gt;200),"High Risk",Raw_Data!S5&gt;=2,"Medium Risk",TRUE,"Low Risk")</f>
        <v>Medium Risk</v>
      </c>
      <c r="G5" s="1" t="str">
        <f>IF(OR(Raw_Data!D5="Yes",Raw_Data!E5="Yes"),"Has Plan","No Special Plan")</f>
        <v>No Special Plan</v>
      </c>
      <c r="H5" s="1" t="str">
        <f>IF(NOT(Raw_Data!S5&gt;=3),"Normal Service Contact","Frequent Service Contact")</f>
        <v>Normal Service Contact</v>
      </c>
      <c r="I5" s="1" t="str" cm="1">
        <f t="array" ref="I5">_xlfn.SWITCH(Raw_Data!D5,"Yes","International Customer","No","Domestic Plan","Unknown")</f>
        <v>Domestic Plan</v>
      </c>
      <c r="J5" s="1" t="str">
        <f>IF(ISERROR(Raw_Data!G5/0),"Error","Valid")</f>
        <v>Error</v>
      </c>
      <c r="K5" s="1" t="str">
        <f>IF(ISBLANK(Raw_Data!A5),"Missing","Available")</f>
        <v>Available</v>
      </c>
      <c r="L5" s="5" t="str">
        <f>IF(ISNUMBER(Raw_Data!G5),"Numeric","Not Numeric")</f>
        <v>Numeric</v>
      </c>
    </row>
    <row r="6" spans="1:12" x14ac:dyDescent="0.25">
      <c r="A6" s="4" t="str">
        <f>Raw_Data!A6</f>
        <v>HI</v>
      </c>
      <c r="B6" s="1" t="b">
        <f>Raw_Data!T6</f>
        <v>0</v>
      </c>
      <c r="C6" s="1" t="str">
        <f t="shared" si="0"/>
        <v>Retained</v>
      </c>
      <c r="D6" s="1" t="str">
        <f>IF(Raw_Data!S6=0,"Low Contact",IF(Raw_Data!S6&lt;=2,"Normal Contact","High Contact"))</f>
        <v>Normal Contact</v>
      </c>
      <c r="E6" s="1" t="str">
        <f>IF(AND(Raw_Data!G6&gt;200,Raw_Data!H6&gt;100),"High Usage","Normal Usage")</f>
        <v>Normal Usage</v>
      </c>
      <c r="F6" s="1" t="str" cm="1">
        <f t="array" ref="F6">_xlfn.IFS(B6=TRUE,"High Risk",AND(Raw_Data!S6&gt;=3,Raw_Data!G6&gt;200),"High Risk",Raw_Data!S6&gt;=2,"Medium Risk",TRUE,"Low Risk")</f>
        <v>Low Risk</v>
      </c>
      <c r="G6" s="1" t="str">
        <f>IF(OR(Raw_Data!D6="Yes",Raw_Data!E6="Yes"),"Has Plan","No Special Plan")</f>
        <v>No Special Plan</v>
      </c>
      <c r="H6" s="1" t="str">
        <f>IF(NOT(Raw_Data!S6&gt;=3),"Normal Service Contact","Frequent Service Contact")</f>
        <v>Normal Service Contact</v>
      </c>
      <c r="I6" s="1" t="str" cm="1">
        <f t="array" ref="I6">_xlfn.SWITCH(Raw_Data!D6,"Yes","International Customer","No","Domestic Plan","Unknown")</f>
        <v>Domestic Plan</v>
      </c>
      <c r="J6" s="1" t="str">
        <f>IF(ISERROR(Raw_Data!G6/0),"Error","Valid")</f>
        <v>Error</v>
      </c>
      <c r="K6" s="1" t="str">
        <f>IF(ISBLANK(Raw_Data!A6),"Missing","Available")</f>
        <v>Available</v>
      </c>
      <c r="L6" s="5" t="str">
        <f>IF(ISNUMBER(Raw_Data!G6),"Numeric","Not Numeric")</f>
        <v>Numeric</v>
      </c>
    </row>
    <row r="7" spans="1:12" x14ac:dyDescent="0.25">
      <c r="A7" s="4" t="str">
        <f>Raw_Data!A7</f>
        <v>AK</v>
      </c>
      <c r="B7" s="1" t="b">
        <f>Raw_Data!T7</f>
        <v>0</v>
      </c>
      <c r="C7" s="1" t="str">
        <f t="shared" si="0"/>
        <v>Retained</v>
      </c>
      <c r="D7" s="1" t="str">
        <f>IF(Raw_Data!S7=0,"Low Contact",IF(Raw_Data!S7&lt;=2,"Normal Contact","High Contact"))</f>
        <v>Low Contact</v>
      </c>
      <c r="E7" s="1" t="str">
        <f>IF(AND(Raw_Data!G7&gt;200,Raw_Data!H7&gt;100),"High Usage","Normal Usage")</f>
        <v>Normal Usage</v>
      </c>
      <c r="F7" s="1" t="str" cm="1">
        <f t="array" ref="F7">_xlfn.IFS(B7=TRUE,"High Risk",AND(Raw_Data!S7&gt;=3,Raw_Data!G7&gt;200),"High Risk",Raw_Data!S7&gt;=2,"Medium Risk",TRUE,"Low Risk")</f>
        <v>Low Risk</v>
      </c>
      <c r="G7" s="1" t="str">
        <f>IF(OR(Raw_Data!D7="Yes",Raw_Data!E7="Yes"),"Has Plan","No Special Plan")</f>
        <v>Has Plan</v>
      </c>
      <c r="H7" s="1" t="str">
        <f>IF(NOT(Raw_Data!S7&gt;=3),"Normal Service Contact","Frequent Service Contact")</f>
        <v>Normal Service Contact</v>
      </c>
      <c r="I7" s="1" t="str" cm="1">
        <f t="array" ref="I7">_xlfn.SWITCH(Raw_Data!D7,"Yes","International Customer","No","Domestic Plan","Unknown")</f>
        <v>Domestic Plan</v>
      </c>
      <c r="J7" s="1" t="str">
        <f>IF(ISERROR(Raw_Data!G7/0),"Error","Valid")</f>
        <v>Error</v>
      </c>
      <c r="K7" s="1" t="str">
        <f>IF(ISBLANK(Raw_Data!A7),"Missing","Available")</f>
        <v>Available</v>
      </c>
      <c r="L7" s="5" t="str">
        <f>IF(ISNUMBER(Raw_Data!G7),"Numeric","Not Numeric")</f>
        <v>Numeric</v>
      </c>
    </row>
    <row r="8" spans="1:12" x14ac:dyDescent="0.25">
      <c r="A8" s="4" t="str">
        <f>Raw_Data!A8</f>
        <v>MI</v>
      </c>
      <c r="B8" s="1" t="b">
        <f>Raw_Data!T8</f>
        <v>0</v>
      </c>
      <c r="C8" s="1" t="str">
        <f t="shared" si="0"/>
        <v>Retained</v>
      </c>
      <c r="D8" s="1" t="str">
        <f>IF(Raw_Data!S8=0,"Low Contact",IF(Raw_Data!S8&lt;=2,"Normal Contact","High Contact"))</f>
        <v>High Contact</v>
      </c>
      <c r="E8" s="1" t="str">
        <f>IF(AND(Raw_Data!G8&gt;200,Raw_Data!H8&gt;100),"High Usage","Normal Usage")</f>
        <v>High Usage</v>
      </c>
      <c r="F8" s="1" t="str" cm="1">
        <f t="array" ref="F8">_xlfn.IFS(B8=TRUE,"High Risk",AND(Raw_Data!S8&gt;=3,Raw_Data!G8&gt;200),"High Risk",Raw_Data!S8&gt;=2,"Medium Risk",TRUE,"Low Risk")</f>
        <v>High Risk</v>
      </c>
      <c r="G8" s="1" t="str">
        <f>IF(OR(Raw_Data!D8="Yes",Raw_Data!E8="Yes"),"Has Plan","No Special Plan")</f>
        <v>No Special Plan</v>
      </c>
      <c r="H8" s="1" t="str">
        <f>IF(NOT(Raw_Data!S8&gt;=3),"Normal Service Contact","Frequent Service Contact")</f>
        <v>Frequent Service Contact</v>
      </c>
      <c r="I8" s="1" t="str" cm="1">
        <f t="array" ref="I8">_xlfn.SWITCH(Raw_Data!D8,"Yes","International Customer","No","Domestic Plan","Unknown")</f>
        <v>Domestic Plan</v>
      </c>
      <c r="J8" s="1" t="str">
        <f>IF(ISERROR(Raw_Data!G8/0),"Error","Valid")</f>
        <v>Error</v>
      </c>
      <c r="K8" s="1" t="str">
        <f>IF(ISBLANK(Raw_Data!A8),"Missing","Available")</f>
        <v>Available</v>
      </c>
      <c r="L8" s="5" t="str">
        <f>IF(ISNUMBER(Raw_Data!G8),"Numeric","Not Numeric")</f>
        <v>Numeric</v>
      </c>
    </row>
    <row r="9" spans="1:12" x14ac:dyDescent="0.25">
      <c r="A9" s="4" t="str">
        <f>Raw_Data!A9</f>
        <v>ID</v>
      </c>
      <c r="B9" s="1" t="b">
        <f>Raw_Data!T9</f>
        <v>1</v>
      </c>
      <c r="C9" s="1" t="str">
        <f t="shared" si="0"/>
        <v>Churned</v>
      </c>
      <c r="D9" s="1" t="str">
        <f>IF(Raw_Data!S9=0,"Low Contact",IF(Raw_Data!S9&lt;=2,"Normal Contact","High Contact"))</f>
        <v>High Contact</v>
      </c>
      <c r="E9" s="1" t="str">
        <f>IF(AND(Raw_Data!G9&gt;200,Raw_Data!H9&gt;100),"High Usage","Normal Usage")</f>
        <v>Normal Usage</v>
      </c>
      <c r="F9" s="1" t="str" cm="1">
        <f t="array" ref="F9">_xlfn.IFS(B9=TRUE,"High Risk",AND(Raw_Data!S9&gt;=3,Raw_Data!G9&gt;200),"High Risk",Raw_Data!S9&gt;=2,"Medium Risk",TRUE,"Low Risk")</f>
        <v>High Risk</v>
      </c>
      <c r="G9" s="1" t="str">
        <f>IF(OR(Raw_Data!D9="Yes",Raw_Data!E9="Yes"),"Has Plan","No Special Plan")</f>
        <v>No Special Plan</v>
      </c>
      <c r="H9" s="1" t="str">
        <f>IF(NOT(Raw_Data!S9&gt;=3),"Normal Service Contact","Frequent Service Contact")</f>
        <v>Frequent Service Contact</v>
      </c>
      <c r="I9" s="1" t="str" cm="1">
        <f t="array" ref="I9">_xlfn.SWITCH(Raw_Data!D9,"Yes","International Customer","No","Domestic Plan","Unknown")</f>
        <v>Domestic Plan</v>
      </c>
      <c r="J9" s="1" t="str">
        <f>IF(ISERROR(Raw_Data!G9/0),"Error","Valid")</f>
        <v>Error</v>
      </c>
      <c r="K9" s="1" t="str">
        <f>IF(ISBLANK(Raw_Data!A9),"Missing","Available")</f>
        <v>Available</v>
      </c>
      <c r="L9" s="5" t="str">
        <f>IF(ISNUMBER(Raw_Data!G9),"Numeric","Not Numeric")</f>
        <v>Numeric</v>
      </c>
    </row>
    <row r="10" spans="1:12" x14ac:dyDescent="0.25">
      <c r="A10" s="4" t="str">
        <f>Raw_Data!A10</f>
        <v>VA</v>
      </c>
      <c r="B10" s="1" t="b">
        <f>Raw_Data!T10</f>
        <v>0</v>
      </c>
      <c r="C10" s="1" t="str">
        <f t="shared" si="0"/>
        <v>Retained</v>
      </c>
      <c r="D10" s="1" t="str">
        <f>IF(Raw_Data!S10=0,"Low Contact",IF(Raw_Data!S10&lt;=2,"Normal Contact","High Contact"))</f>
        <v>Normal Contact</v>
      </c>
      <c r="E10" s="1" t="str">
        <f>IF(AND(Raw_Data!G10&gt;200,Raw_Data!H10&gt;100),"High Usage","Normal Usage")</f>
        <v>Normal Usage</v>
      </c>
      <c r="F10" s="1" t="str" cm="1">
        <f t="array" ref="F10">_xlfn.IFS(B10=TRUE,"High Risk",AND(Raw_Data!S10&gt;=3,Raw_Data!G10&gt;200),"High Risk",Raw_Data!S10&gt;=2,"Medium Risk",TRUE,"Low Risk")</f>
        <v>Medium Risk</v>
      </c>
      <c r="G10" s="1" t="str">
        <f>IF(OR(Raw_Data!D10="Yes",Raw_Data!E10="Yes"),"Has Plan","No Special Plan")</f>
        <v>No Special Plan</v>
      </c>
      <c r="H10" s="1" t="str">
        <f>IF(NOT(Raw_Data!S10&gt;=3),"Normal Service Contact","Frequent Service Contact")</f>
        <v>Normal Service Contact</v>
      </c>
      <c r="I10" s="1" t="str" cm="1">
        <f t="array" ref="I10">_xlfn.SWITCH(Raw_Data!D10,"Yes","International Customer","No","Domestic Plan","Unknown")</f>
        <v>Domestic Plan</v>
      </c>
      <c r="J10" s="1" t="str">
        <f>IF(ISERROR(Raw_Data!G10/0),"Error","Valid")</f>
        <v>Error</v>
      </c>
      <c r="K10" s="1" t="str">
        <f>IF(ISBLANK(Raw_Data!A10),"Missing","Available")</f>
        <v>Available</v>
      </c>
      <c r="L10" s="5" t="str">
        <f>IF(ISNUMBER(Raw_Data!G10),"Numeric","Not Numeric")</f>
        <v>Numeric</v>
      </c>
    </row>
    <row r="11" spans="1:12" x14ac:dyDescent="0.25">
      <c r="A11" s="4" t="str">
        <f>Raw_Data!A11</f>
        <v>WI</v>
      </c>
      <c r="B11" s="1" t="b">
        <f>Raw_Data!T11</f>
        <v>0</v>
      </c>
      <c r="C11" s="1" t="str">
        <f t="shared" si="0"/>
        <v>Retained</v>
      </c>
      <c r="D11" s="1" t="str">
        <f>IF(Raw_Data!S11=0,"Low Contact",IF(Raw_Data!S11&lt;=2,"Normal Contact","High Contact"))</f>
        <v>High Contact</v>
      </c>
      <c r="E11" s="1" t="str">
        <f>IF(AND(Raw_Data!G11&gt;200,Raw_Data!H11&gt;100),"High Usage","Normal Usage")</f>
        <v>Normal Usage</v>
      </c>
      <c r="F11" s="1" t="str" cm="1">
        <f t="array" ref="F11">_xlfn.IFS(B11=TRUE,"High Risk",AND(Raw_Data!S11&gt;=3,Raw_Data!G11&gt;200),"High Risk",Raw_Data!S11&gt;=2,"Medium Risk",TRUE,"Low Risk")</f>
        <v>Medium Risk</v>
      </c>
      <c r="G11" s="1" t="str">
        <f>IF(OR(Raw_Data!D11="Yes",Raw_Data!E11="Yes"),"Has Plan","No Special Plan")</f>
        <v>No Special Plan</v>
      </c>
      <c r="H11" s="1" t="str">
        <f>IF(NOT(Raw_Data!S11&gt;=3),"Normal Service Contact","Frequent Service Contact")</f>
        <v>Frequent Service Contact</v>
      </c>
      <c r="I11" s="1" t="str" cm="1">
        <f t="array" ref="I11">_xlfn.SWITCH(Raw_Data!D11,"Yes","International Customer","No","Domestic Plan","Unknown")</f>
        <v>Domestic Plan</v>
      </c>
      <c r="J11" s="1" t="str">
        <f>IF(ISERROR(Raw_Data!G11/0),"Error","Valid")</f>
        <v>Error</v>
      </c>
      <c r="K11" s="1" t="str">
        <f>IF(ISBLANK(Raw_Data!A11),"Missing","Available")</f>
        <v>Available</v>
      </c>
      <c r="L11" s="5" t="str">
        <f>IF(ISNUMBER(Raw_Data!G11),"Numeric","Not Numeric")</f>
        <v>Numeric</v>
      </c>
    </row>
    <row r="12" spans="1:12" x14ac:dyDescent="0.25">
      <c r="A12" s="4" t="str">
        <f>Raw_Data!A12</f>
        <v>MN</v>
      </c>
      <c r="B12" s="1" t="b">
        <f>Raw_Data!T12</f>
        <v>0</v>
      </c>
      <c r="C12" s="1" t="str">
        <f t="shared" si="0"/>
        <v>Retained</v>
      </c>
      <c r="D12" s="1" t="str">
        <f>IF(Raw_Data!S12=0,"Low Contact",IF(Raw_Data!S12&lt;=2,"Normal Contact","High Contact"))</f>
        <v>Normal Contact</v>
      </c>
      <c r="E12" s="1" t="str">
        <f>IF(AND(Raw_Data!G12&gt;200,Raw_Data!H12&gt;100),"High Usage","Normal Usage")</f>
        <v>Normal Usage</v>
      </c>
      <c r="F12" s="1" t="str" cm="1">
        <f t="array" ref="F12">_xlfn.IFS(B12=TRUE,"High Risk",AND(Raw_Data!S12&gt;=3,Raw_Data!G12&gt;200),"High Risk",Raw_Data!S12&gt;=2,"Medium Risk",TRUE,"Low Risk")</f>
        <v>Medium Risk</v>
      </c>
      <c r="G12" s="1" t="str">
        <f>IF(OR(Raw_Data!D12="Yes",Raw_Data!E12="Yes"),"Has Plan","No Special Plan")</f>
        <v>Has Plan</v>
      </c>
      <c r="H12" s="1" t="str">
        <f>IF(NOT(Raw_Data!S12&gt;=3),"Normal Service Contact","Frequent Service Contact")</f>
        <v>Normal Service Contact</v>
      </c>
      <c r="I12" s="1" t="str" cm="1">
        <f t="array" ref="I12">_xlfn.SWITCH(Raw_Data!D12,"Yes","International Customer","No","Domestic Plan","Unknown")</f>
        <v>Domestic Plan</v>
      </c>
      <c r="J12" s="1" t="str">
        <f>IF(ISERROR(Raw_Data!G12/0),"Error","Valid")</f>
        <v>Error</v>
      </c>
      <c r="K12" s="1" t="str">
        <f>IF(ISBLANK(Raw_Data!A12),"Missing","Available")</f>
        <v>Available</v>
      </c>
      <c r="L12" s="5" t="str">
        <f>IF(ISNUMBER(Raw_Data!G12),"Numeric","Not Numeric")</f>
        <v>Numeric</v>
      </c>
    </row>
    <row r="13" spans="1:12" x14ac:dyDescent="0.25">
      <c r="A13" s="4" t="str">
        <f>Raw_Data!A13</f>
        <v>HI</v>
      </c>
      <c r="B13" s="1" t="b">
        <f>Raw_Data!T13</f>
        <v>0</v>
      </c>
      <c r="C13" s="1" t="str">
        <f t="shared" si="0"/>
        <v>Retained</v>
      </c>
      <c r="D13" s="1" t="str">
        <f>IF(Raw_Data!S13=0,"Low Contact",IF(Raw_Data!S13&lt;=2,"Normal Contact","High Contact"))</f>
        <v>Low Contact</v>
      </c>
      <c r="E13" s="1" t="str">
        <f>IF(AND(Raw_Data!G13&gt;200,Raw_Data!H13&gt;100),"High Usage","Normal Usage")</f>
        <v>High Usage</v>
      </c>
      <c r="F13" s="1" t="str" cm="1">
        <f t="array" ref="F13">_xlfn.IFS(B13=TRUE,"High Risk",AND(Raw_Data!S13&gt;=3,Raw_Data!G13&gt;200),"High Risk",Raw_Data!S13&gt;=2,"Medium Risk",TRUE,"Low Risk")</f>
        <v>Low Risk</v>
      </c>
      <c r="G13" s="1" t="str">
        <f>IF(OR(Raw_Data!D13="Yes",Raw_Data!E13="Yes"),"Has Plan","No Special Plan")</f>
        <v>No Special Plan</v>
      </c>
      <c r="H13" s="1" t="str">
        <f>IF(NOT(Raw_Data!S13&gt;=3),"Normal Service Contact","Frequent Service Contact")</f>
        <v>Normal Service Contact</v>
      </c>
      <c r="I13" s="1" t="str" cm="1">
        <f t="array" ref="I13">_xlfn.SWITCH(Raw_Data!D13,"Yes","International Customer","No","Domestic Plan","Unknown")</f>
        <v>Domestic Plan</v>
      </c>
      <c r="J13" s="1" t="str">
        <f>IF(ISERROR(Raw_Data!G13/0),"Error","Valid")</f>
        <v>Error</v>
      </c>
      <c r="K13" s="1" t="str">
        <f>IF(ISBLANK(Raw_Data!A13),"Missing","Available")</f>
        <v>Available</v>
      </c>
      <c r="L13" s="5" t="str">
        <f>IF(ISNUMBER(Raw_Data!G13),"Numeric","Not Numeric")</f>
        <v>Numeric</v>
      </c>
    </row>
    <row r="14" spans="1:12" x14ac:dyDescent="0.25">
      <c r="A14" s="4" t="str">
        <f>Raw_Data!A14</f>
        <v>MN</v>
      </c>
      <c r="B14" s="1" t="b">
        <f>Raw_Data!T14</f>
        <v>0</v>
      </c>
      <c r="C14" s="1" t="str">
        <f t="shared" si="0"/>
        <v>Retained</v>
      </c>
      <c r="D14" s="1" t="str">
        <f>IF(Raw_Data!S14=0,"Low Contact",IF(Raw_Data!S14&lt;=2,"Normal Contact","High Contact"))</f>
        <v>Normal Contact</v>
      </c>
      <c r="E14" s="1" t="str">
        <f>IF(AND(Raw_Data!G14&gt;200,Raw_Data!H14&gt;100),"High Usage","Normal Usage")</f>
        <v>Normal Usage</v>
      </c>
      <c r="F14" s="1" t="str" cm="1">
        <f t="array" ref="F14">_xlfn.IFS(B14=TRUE,"High Risk",AND(Raw_Data!S14&gt;=3,Raw_Data!G14&gt;200),"High Risk",Raw_Data!S14&gt;=2,"Medium Risk",TRUE,"Low Risk")</f>
        <v>Medium Risk</v>
      </c>
      <c r="G14" s="1" t="str">
        <f>IF(OR(Raw_Data!D14="Yes",Raw_Data!E14="Yes"),"Has Plan","No Special Plan")</f>
        <v>No Special Plan</v>
      </c>
      <c r="H14" s="1" t="str">
        <f>IF(NOT(Raw_Data!S14&gt;=3),"Normal Service Contact","Frequent Service Contact")</f>
        <v>Normal Service Contact</v>
      </c>
      <c r="I14" s="1" t="str" cm="1">
        <f t="array" ref="I14">_xlfn.SWITCH(Raw_Data!D14,"Yes","International Customer","No","Domestic Plan","Unknown")</f>
        <v>Domestic Plan</v>
      </c>
      <c r="J14" s="1" t="str">
        <f>IF(ISERROR(Raw_Data!G14/0),"Error","Valid")</f>
        <v>Error</v>
      </c>
      <c r="K14" s="1" t="str">
        <f>IF(ISBLANK(Raw_Data!A14),"Missing","Available")</f>
        <v>Available</v>
      </c>
      <c r="L14" s="5" t="str">
        <f>IF(ISNUMBER(Raw_Data!G14),"Numeric","Not Numeric")</f>
        <v>Numeric</v>
      </c>
    </row>
    <row r="15" spans="1:12" x14ac:dyDescent="0.25">
      <c r="A15" s="4" t="str">
        <f>Raw_Data!A15</f>
        <v>VT</v>
      </c>
      <c r="B15" s="1" t="b">
        <f>Raw_Data!T15</f>
        <v>0</v>
      </c>
      <c r="C15" s="1" t="str">
        <f t="shared" si="0"/>
        <v>Retained</v>
      </c>
      <c r="D15" s="1" t="str">
        <f>IF(Raw_Data!S15=0,"Low Contact",IF(Raw_Data!S15&lt;=2,"Normal Contact","High Contact"))</f>
        <v>Low Contact</v>
      </c>
      <c r="E15" s="1" t="str">
        <f>IF(AND(Raw_Data!G15&gt;200,Raw_Data!H15&gt;100),"High Usage","Normal Usage")</f>
        <v>Normal Usage</v>
      </c>
      <c r="F15" s="1" t="str" cm="1">
        <f t="array" ref="F15">_xlfn.IFS(B15=TRUE,"High Risk",AND(Raw_Data!S15&gt;=3,Raw_Data!G15&gt;200),"High Risk",Raw_Data!S15&gt;=2,"Medium Risk",TRUE,"Low Risk")</f>
        <v>Low Risk</v>
      </c>
      <c r="G15" s="1" t="str">
        <f>IF(OR(Raw_Data!D15="Yes",Raw_Data!E15="Yes"),"Has Plan","No Special Plan")</f>
        <v>Has Plan</v>
      </c>
      <c r="H15" s="1" t="str">
        <f>IF(NOT(Raw_Data!S15&gt;=3),"Normal Service Contact","Frequent Service Contact")</f>
        <v>Normal Service Contact</v>
      </c>
      <c r="I15" s="1" t="str" cm="1">
        <f t="array" ref="I15">_xlfn.SWITCH(Raw_Data!D15,"Yes","International Customer","No","Domestic Plan","Unknown")</f>
        <v>Domestic Plan</v>
      </c>
      <c r="J15" s="1" t="str">
        <f>IF(ISERROR(Raw_Data!G15/0),"Error","Valid")</f>
        <v>Error</v>
      </c>
      <c r="K15" s="1" t="str">
        <f>IF(ISBLANK(Raw_Data!A15),"Missing","Available")</f>
        <v>Available</v>
      </c>
      <c r="L15" s="5" t="str">
        <f>IF(ISNUMBER(Raw_Data!G15),"Numeric","Not Numeric")</f>
        <v>Numeric</v>
      </c>
    </row>
    <row r="16" spans="1:12" x14ac:dyDescent="0.25">
      <c r="A16" s="4" t="str">
        <f>Raw_Data!A16</f>
        <v>LA</v>
      </c>
      <c r="B16" s="1" t="b">
        <f>Raw_Data!T16</f>
        <v>1</v>
      </c>
      <c r="C16" s="1" t="str">
        <f t="shared" si="0"/>
        <v>Churned</v>
      </c>
      <c r="D16" s="1" t="str">
        <f>IF(Raw_Data!S16=0,"Low Contact",IF(Raw_Data!S16&lt;=2,"Normal Contact","High Contact"))</f>
        <v>Low Contact</v>
      </c>
      <c r="E16" s="1" t="str">
        <f>IF(AND(Raw_Data!G16&gt;200,Raw_Data!H16&gt;100),"High Usage","Normal Usage")</f>
        <v>Normal Usage</v>
      </c>
      <c r="F16" s="1" t="str" cm="1">
        <f t="array" ref="F16">_xlfn.IFS(B16=TRUE,"High Risk",AND(Raw_Data!S16&gt;=3,Raw_Data!G16&gt;200),"High Risk",Raw_Data!S16&gt;=2,"Medium Risk",TRUE,"Low Risk")</f>
        <v>High Risk</v>
      </c>
      <c r="G16" s="1" t="str">
        <f>IF(OR(Raw_Data!D16="Yes",Raw_Data!E16="Yes"),"Has Plan","No Special Plan")</f>
        <v>No Special Plan</v>
      </c>
      <c r="H16" s="1" t="str">
        <f>IF(NOT(Raw_Data!S16&gt;=3),"Normal Service Contact","Frequent Service Contact")</f>
        <v>Normal Service Contact</v>
      </c>
      <c r="I16" s="1" t="str" cm="1">
        <f t="array" ref="I16">_xlfn.SWITCH(Raw_Data!D16,"Yes","International Customer","No","Domestic Plan","Unknown")</f>
        <v>Domestic Plan</v>
      </c>
      <c r="J16" s="1" t="str">
        <f>IF(ISERROR(Raw_Data!G16/0),"Error","Valid")</f>
        <v>Error</v>
      </c>
      <c r="K16" s="1" t="str">
        <f>IF(ISBLANK(Raw_Data!A16),"Missing","Available")</f>
        <v>Available</v>
      </c>
      <c r="L16" s="5" t="str">
        <f>IF(ISNUMBER(Raw_Data!G16),"Numeric","Not Numeric")</f>
        <v>Numeric</v>
      </c>
    </row>
    <row r="17" spans="1:12" x14ac:dyDescent="0.25">
      <c r="A17" s="4" t="str">
        <f>Raw_Data!A17</f>
        <v>MT</v>
      </c>
      <c r="B17" s="1" t="b">
        <f>Raw_Data!T17</f>
        <v>0</v>
      </c>
      <c r="C17" s="1" t="str">
        <f t="shared" si="0"/>
        <v>Retained</v>
      </c>
      <c r="D17" s="1" t="str">
        <f>IF(Raw_Data!S17=0,"Low Contact",IF(Raw_Data!S17&lt;=2,"Normal Contact","High Contact"))</f>
        <v>Low Contact</v>
      </c>
      <c r="E17" s="1" t="str">
        <f>IF(AND(Raw_Data!G17&gt;200,Raw_Data!H17&gt;100),"High Usage","Normal Usage")</f>
        <v>Normal Usage</v>
      </c>
      <c r="F17" s="1" t="str" cm="1">
        <f t="array" ref="F17">_xlfn.IFS(B17=TRUE,"High Risk",AND(Raw_Data!S17&gt;=3,Raw_Data!G17&gt;200),"High Risk",Raw_Data!S17&gt;=2,"Medium Risk",TRUE,"Low Risk")</f>
        <v>Low Risk</v>
      </c>
      <c r="G17" s="1" t="str">
        <f>IF(OR(Raw_Data!D17="Yes",Raw_Data!E17="Yes"),"Has Plan","No Special Plan")</f>
        <v>No Special Plan</v>
      </c>
      <c r="H17" s="1" t="str">
        <f>IF(NOT(Raw_Data!S17&gt;=3),"Normal Service Contact","Frequent Service Contact")</f>
        <v>Normal Service Contact</v>
      </c>
      <c r="I17" s="1" t="str" cm="1">
        <f t="array" ref="I17">_xlfn.SWITCH(Raw_Data!D17,"Yes","International Customer","No","Domestic Plan","Unknown")</f>
        <v>Domestic Plan</v>
      </c>
      <c r="J17" s="1" t="str">
        <f>IF(ISERROR(Raw_Data!G17/0),"Error","Valid")</f>
        <v>Error</v>
      </c>
      <c r="K17" s="1" t="str">
        <f>IF(ISBLANK(Raw_Data!A17),"Missing","Available")</f>
        <v>Available</v>
      </c>
      <c r="L17" s="5" t="str">
        <f>IF(ISNUMBER(Raw_Data!G17),"Numeric","Not Numeric")</f>
        <v>Numeric</v>
      </c>
    </row>
    <row r="18" spans="1:12" x14ac:dyDescent="0.25">
      <c r="A18" s="4" t="str">
        <f>Raw_Data!A18</f>
        <v>ID</v>
      </c>
      <c r="B18" s="1" t="b">
        <f>Raw_Data!T18</f>
        <v>1</v>
      </c>
      <c r="C18" s="1" t="str">
        <f t="shared" si="0"/>
        <v>Churned</v>
      </c>
      <c r="D18" s="1" t="str">
        <f>IF(Raw_Data!S18=0,"Low Contact",IF(Raw_Data!S18&lt;=2,"Normal Contact","High Contact"))</f>
        <v>Normal Contact</v>
      </c>
      <c r="E18" s="1" t="str">
        <f>IF(AND(Raw_Data!G18&gt;200,Raw_Data!H18&gt;100),"High Usage","Normal Usage")</f>
        <v>Normal Usage</v>
      </c>
      <c r="F18" s="1" t="str" cm="1">
        <f t="array" ref="F18">_xlfn.IFS(B18=TRUE,"High Risk",AND(Raw_Data!S18&gt;=3,Raw_Data!G18&gt;200),"High Risk",Raw_Data!S18&gt;=2,"Medium Risk",TRUE,"Low Risk")</f>
        <v>High Risk</v>
      </c>
      <c r="G18" s="1" t="str">
        <f>IF(OR(Raw_Data!D18="Yes",Raw_Data!E18="Yes"),"Has Plan","No Special Plan")</f>
        <v>No Special Plan</v>
      </c>
      <c r="H18" s="1" t="str">
        <f>IF(NOT(Raw_Data!S18&gt;=3),"Normal Service Contact","Frequent Service Contact")</f>
        <v>Normal Service Contact</v>
      </c>
      <c r="I18" s="1" t="str" cm="1">
        <f t="array" ref="I18">_xlfn.SWITCH(Raw_Data!D18,"Yes","International Customer","No","Domestic Plan","Unknown")</f>
        <v>Domestic Plan</v>
      </c>
      <c r="J18" s="1" t="str">
        <f>IF(ISERROR(Raw_Data!G18/0),"Error","Valid")</f>
        <v>Error</v>
      </c>
      <c r="K18" s="1" t="str">
        <f>IF(ISBLANK(Raw_Data!A18),"Missing","Available")</f>
        <v>Available</v>
      </c>
      <c r="L18" s="5" t="str">
        <f>IF(ISNUMBER(Raw_Data!G18),"Numeric","Not Numeric")</f>
        <v>Numeric</v>
      </c>
    </row>
    <row r="19" spans="1:12" x14ac:dyDescent="0.25">
      <c r="A19" s="4" t="str">
        <f>Raw_Data!A19</f>
        <v>MA</v>
      </c>
      <c r="B19" s="1" t="b">
        <f>Raw_Data!T19</f>
        <v>0</v>
      </c>
      <c r="C19" s="1" t="str">
        <f t="shared" si="0"/>
        <v>Retained</v>
      </c>
      <c r="D19" s="1" t="str">
        <f>IF(Raw_Data!S19=0,"Low Contact",IF(Raw_Data!S19&lt;=2,"Normal Contact","High Contact"))</f>
        <v>Low Contact</v>
      </c>
      <c r="E19" s="1" t="str">
        <f>IF(AND(Raw_Data!G19&gt;200,Raw_Data!H19&gt;100),"High Usage","Normal Usage")</f>
        <v>Normal Usage</v>
      </c>
      <c r="F19" s="1" t="str" cm="1">
        <f t="array" ref="F19">_xlfn.IFS(B19=TRUE,"High Risk",AND(Raw_Data!S19&gt;=3,Raw_Data!G19&gt;200),"High Risk",Raw_Data!S19&gt;=2,"Medium Risk",TRUE,"Low Risk")</f>
        <v>Low Risk</v>
      </c>
      <c r="G19" s="1" t="str">
        <f>IF(OR(Raw_Data!D19="Yes",Raw_Data!E19="Yes"),"Has Plan","No Special Plan")</f>
        <v>No Special Plan</v>
      </c>
      <c r="H19" s="1" t="str">
        <f>IF(NOT(Raw_Data!S19&gt;=3),"Normal Service Contact","Frequent Service Contact")</f>
        <v>Normal Service Contact</v>
      </c>
      <c r="I19" s="1" t="str" cm="1">
        <f t="array" ref="I19">_xlfn.SWITCH(Raw_Data!D19,"Yes","International Customer","No","Domestic Plan","Unknown")</f>
        <v>Domestic Plan</v>
      </c>
      <c r="J19" s="1" t="str">
        <f>IF(ISERROR(Raw_Data!G19/0),"Error","Valid")</f>
        <v>Error</v>
      </c>
      <c r="K19" s="1" t="str">
        <f>IF(ISBLANK(Raw_Data!A19),"Missing","Available")</f>
        <v>Available</v>
      </c>
      <c r="L19" s="5" t="str">
        <f>IF(ISNUMBER(Raw_Data!G19),"Numeric","Not Numeric")</f>
        <v>Numeric</v>
      </c>
    </row>
    <row r="20" spans="1:12" x14ac:dyDescent="0.25">
      <c r="A20" s="4" t="str">
        <f>Raw_Data!A20</f>
        <v>KY</v>
      </c>
      <c r="B20" s="1" t="b">
        <f>Raw_Data!T20</f>
        <v>0</v>
      </c>
      <c r="C20" s="1" t="str">
        <f t="shared" si="0"/>
        <v>Retained</v>
      </c>
      <c r="D20" s="1" t="str">
        <f>IF(Raw_Data!S20=0,"Low Contact",IF(Raw_Data!S20&lt;=2,"Normal Contact","High Contact"))</f>
        <v>Normal Contact</v>
      </c>
      <c r="E20" s="1" t="str">
        <f>IF(AND(Raw_Data!G20&gt;200,Raw_Data!H20&gt;100),"High Usage","Normal Usage")</f>
        <v>Normal Usage</v>
      </c>
      <c r="F20" s="1" t="str" cm="1">
        <f t="array" ref="F20">_xlfn.IFS(B20=TRUE,"High Risk",AND(Raw_Data!S20&gt;=3,Raw_Data!G20&gt;200),"High Risk",Raw_Data!S20&gt;=2,"Medium Risk",TRUE,"Low Risk")</f>
        <v>Low Risk</v>
      </c>
      <c r="G20" s="1" t="str">
        <f>IF(OR(Raw_Data!D20="Yes",Raw_Data!E20="Yes"),"Has Plan","No Special Plan")</f>
        <v>No Special Plan</v>
      </c>
      <c r="H20" s="1" t="str">
        <f>IF(NOT(Raw_Data!S20&gt;=3),"Normal Service Contact","Frequent Service Contact")</f>
        <v>Normal Service Contact</v>
      </c>
      <c r="I20" s="1" t="str" cm="1">
        <f t="array" ref="I20">_xlfn.SWITCH(Raw_Data!D20,"Yes","International Customer","No","Domestic Plan","Unknown")</f>
        <v>Domestic Plan</v>
      </c>
      <c r="J20" s="1" t="str">
        <f>IF(ISERROR(Raw_Data!G20/0),"Error","Valid")</f>
        <v>Error</v>
      </c>
      <c r="K20" s="1" t="str">
        <f>IF(ISBLANK(Raw_Data!A20),"Missing","Available")</f>
        <v>Available</v>
      </c>
      <c r="L20" s="5" t="str">
        <f>IF(ISNUMBER(Raw_Data!G20),"Numeric","Not Numeric")</f>
        <v>Numeric</v>
      </c>
    </row>
    <row r="21" spans="1:12" x14ac:dyDescent="0.25">
      <c r="A21" s="4" t="str">
        <f>Raw_Data!A21</f>
        <v>MI</v>
      </c>
      <c r="B21" s="1" t="b">
        <f>Raw_Data!T21</f>
        <v>0</v>
      </c>
      <c r="C21" s="1" t="str">
        <f t="shared" si="0"/>
        <v>Retained</v>
      </c>
      <c r="D21" s="1" t="str">
        <f>IF(Raw_Data!S21=0,"Low Contact",IF(Raw_Data!S21&lt;=2,"Normal Contact","High Contact"))</f>
        <v>Normal Contact</v>
      </c>
      <c r="E21" s="1" t="str">
        <f>IF(AND(Raw_Data!G21&gt;200,Raw_Data!H21&gt;100),"High Usage","Normal Usage")</f>
        <v>High Usage</v>
      </c>
      <c r="F21" s="1" t="str" cm="1">
        <f t="array" ref="F21">_xlfn.IFS(B21=TRUE,"High Risk",AND(Raw_Data!S21&gt;=3,Raw_Data!G21&gt;200),"High Risk",Raw_Data!S21&gt;=2,"Medium Risk",TRUE,"Low Risk")</f>
        <v>Medium Risk</v>
      </c>
      <c r="G21" s="1" t="str">
        <f>IF(OR(Raw_Data!D21="Yes",Raw_Data!E21="Yes"),"Has Plan","No Special Plan")</f>
        <v>Has Plan</v>
      </c>
      <c r="H21" s="1" t="str">
        <f>IF(NOT(Raw_Data!S21&gt;=3),"Normal Service Contact","Frequent Service Contact")</f>
        <v>Normal Service Contact</v>
      </c>
      <c r="I21" s="1" t="str" cm="1">
        <f t="array" ref="I21">_xlfn.SWITCH(Raw_Data!D21,"Yes","International Customer","No","Domestic Plan","Unknown")</f>
        <v>Domestic Plan</v>
      </c>
      <c r="J21" s="1" t="str">
        <f>IF(ISERROR(Raw_Data!G21/0),"Error","Valid")</f>
        <v>Error</v>
      </c>
      <c r="K21" s="1" t="str">
        <f>IF(ISBLANK(Raw_Data!A21),"Missing","Available")</f>
        <v>Available</v>
      </c>
      <c r="L21" s="5" t="str">
        <f>IF(ISNUMBER(Raw_Data!G21),"Numeric","Not Numeric")</f>
        <v>Numeric</v>
      </c>
    </row>
    <row r="22" spans="1:12" x14ac:dyDescent="0.25">
      <c r="A22" s="4" t="str">
        <f>Raw_Data!A22</f>
        <v>CO</v>
      </c>
      <c r="B22" s="1" t="b">
        <f>Raw_Data!T22</f>
        <v>0</v>
      </c>
      <c r="C22" s="1" t="str">
        <f t="shared" si="0"/>
        <v>Retained</v>
      </c>
      <c r="D22" s="1" t="str">
        <f>IF(Raw_Data!S22=0,"Low Contact",IF(Raw_Data!S22&lt;=2,"Normal Contact","High Contact"))</f>
        <v>Normal Contact</v>
      </c>
      <c r="E22" s="1" t="str">
        <f>IF(AND(Raw_Data!G22&gt;200,Raw_Data!H22&gt;100),"High Usage","Normal Usage")</f>
        <v>Normal Usage</v>
      </c>
      <c r="F22" s="1" t="str" cm="1">
        <f t="array" ref="F22">_xlfn.IFS(B22=TRUE,"High Risk",AND(Raw_Data!S22&gt;=3,Raw_Data!G22&gt;200),"High Risk",Raw_Data!S22&gt;=2,"Medium Risk",TRUE,"Low Risk")</f>
        <v>Low Risk</v>
      </c>
      <c r="G22" s="1" t="str">
        <f>IF(OR(Raw_Data!D22="Yes",Raw_Data!E22="Yes"),"Has Plan","No Special Plan")</f>
        <v>Has Plan</v>
      </c>
      <c r="H22" s="1" t="str">
        <f>IF(NOT(Raw_Data!S22&gt;=3),"Normal Service Contact","Frequent Service Contact")</f>
        <v>Normal Service Contact</v>
      </c>
      <c r="I22" s="1" t="str" cm="1">
        <f t="array" ref="I22">_xlfn.SWITCH(Raw_Data!D22,"Yes","International Customer","No","Domestic Plan","Unknown")</f>
        <v>Domestic Plan</v>
      </c>
      <c r="J22" s="1" t="str">
        <f>IF(ISERROR(Raw_Data!G22/0),"Error","Valid")</f>
        <v>Error</v>
      </c>
      <c r="K22" s="1" t="str">
        <f>IF(ISBLANK(Raw_Data!A22),"Missing","Available")</f>
        <v>Available</v>
      </c>
      <c r="L22" s="5" t="str">
        <f>IF(ISNUMBER(Raw_Data!G22),"Numeric","Not Numeric")</f>
        <v>Numeric</v>
      </c>
    </row>
    <row r="23" spans="1:12" x14ac:dyDescent="0.25">
      <c r="A23" s="4" t="str">
        <f>Raw_Data!A23</f>
        <v>AZ</v>
      </c>
      <c r="B23" s="1" t="b">
        <f>Raw_Data!T23</f>
        <v>0</v>
      </c>
      <c r="C23" s="1" t="str">
        <f t="shared" si="0"/>
        <v>Retained</v>
      </c>
      <c r="D23" s="1" t="str">
        <f>IF(Raw_Data!S23=0,"Low Contact",IF(Raw_Data!S23&lt;=2,"Normal Contact","High Contact"))</f>
        <v>Normal Contact</v>
      </c>
      <c r="E23" s="1" t="str">
        <f>IF(AND(Raw_Data!G23&gt;200,Raw_Data!H23&gt;100),"High Usage","Normal Usage")</f>
        <v>Normal Usage</v>
      </c>
      <c r="F23" s="1" t="str" cm="1">
        <f t="array" ref="F23">_xlfn.IFS(B23=TRUE,"High Risk",AND(Raw_Data!S23&gt;=3,Raw_Data!G23&gt;200),"High Risk",Raw_Data!S23&gt;=2,"Medium Risk",TRUE,"Low Risk")</f>
        <v>Low Risk</v>
      </c>
      <c r="G23" s="1" t="str">
        <f>IF(OR(Raw_Data!D23="Yes",Raw_Data!E23="Yes"),"Has Plan","No Special Plan")</f>
        <v>No Special Plan</v>
      </c>
      <c r="H23" s="1" t="str">
        <f>IF(NOT(Raw_Data!S23&gt;=3),"Normal Service Contact","Frequent Service Contact")</f>
        <v>Normal Service Contact</v>
      </c>
      <c r="I23" s="1" t="str" cm="1">
        <f t="array" ref="I23">_xlfn.SWITCH(Raw_Data!D23,"Yes","International Customer","No","Domestic Plan","Unknown")</f>
        <v>Domestic Plan</v>
      </c>
      <c r="J23" s="1" t="str">
        <f>IF(ISERROR(Raw_Data!G23/0),"Error","Valid")</f>
        <v>Error</v>
      </c>
      <c r="K23" s="1" t="str">
        <f>IF(ISBLANK(Raw_Data!A23),"Missing","Available")</f>
        <v>Available</v>
      </c>
      <c r="L23" s="5" t="str">
        <f>IF(ISNUMBER(Raw_Data!G23),"Numeric","Not Numeric")</f>
        <v>Numeric</v>
      </c>
    </row>
    <row r="24" spans="1:12" x14ac:dyDescent="0.25">
      <c r="A24" s="4" t="str">
        <f>Raw_Data!A24</f>
        <v>ID</v>
      </c>
      <c r="B24" s="1" t="b">
        <f>Raw_Data!T24</f>
        <v>0</v>
      </c>
      <c r="C24" s="1" t="str">
        <f t="shared" si="0"/>
        <v>Retained</v>
      </c>
      <c r="D24" s="1" t="str">
        <f>IF(Raw_Data!S24=0,"Low Contact",IF(Raw_Data!S24&lt;=2,"Normal Contact","High Contact"))</f>
        <v>Normal Contact</v>
      </c>
      <c r="E24" s="1" t="str">
        <f>IF(AND(Raw_Data!G24&gt;200,Raw_Data!H24&gt;100),"High Usage","Normal Usage")</f>
        <v>High Usage</v>
      </c>
      <c r="F24" s="1" t="str" cm="1">
        <f t="array" ref="F24">_xlfn.IFS(B24=TRUE,"High Risk",AND(Raw_Data!S24&gt;=3,Raw_Data!G24&gt;200),"High Risk",Raw_Data!S24&gt;=2,"Medium Risk",TRUE,"Low Risk")</f>
        <v>Medium Risk</v>
      </c>
      <c r="G24" s="1" t="str">
        <f>IF(OR(Raw_Data!D24="Yes",Raw_Data!E24="Yes"),"Has Plan","No Special Plan")</f>
        <v>No Special Plan</v>
      </c>
      <c r="H24" s="1" t="str">
        <f>IF(NOT(Raw_Data!S24&gt;=3),"Normal Service Contact","Frequent Service Contact")</f>
        <v>Normal Service Contact</v>
      </c>
      <c r="I24" s="1" t="str" cm="1">
        <f t="array" ref="I24">_xlfn.SWITCH(Raw_Data!D24,"Yes","International Customer","No","Domestic Plan","Unknown")</f>
        <v>Domestic Plan</v>
      </c>
      <c r="J24" s="1" t="str">
        <f>IF(ISERROR(Raw_Data!G24/0),"Error","Valid")</f>
        <v>Error</v>
      </c>
      <c r="K24" s="1" t="str">
        <f>IF(ISBLANK(Raw_Data!A24),"Missing","Available")</f>
        <v>Available</v>
      </c>
      <c r="L24" s="5" t="str">
        <f>IF(ISNUMBER(Raw_Data!G24),"Numeric","Not Numeric")</f>
        <v>Numeric</v>
      </c>
    </row>
    <row r="25" spans="1:12" x14ac:dyDescent="0.25">
      <c r="A25" s="4" t="str">
        <f>Raw_Data!A25</f>
        <v>CA</v>
      </c>
      <c r="B25" s="1" t="b">
        <f>Raw_Data!T25</f>
        <v>0</v>
      </c>
      <c r="C25" s="1" t="str">
        <f t="shared" si="0"/>
        <v>Retained</v>
      </c>
      <c r="D25" s="1" t="str">
        <f>IF(Raw_Data!S25=0,"Low Contact",IF(Raw_Data!S25&lt;=2,"Normal Contact","High Contact"))</f>
        <v>Normal Contact</v>
      </c>
      <c r="E25" s="1" t="str">
        <f>IF(AND(Raw_Data!G25&gt;200,Raw_Data!H25&gt;100),"High Usage","Normal Usage")</f>
        <v>Normal Usage</v>
      </c>
      <c r="F25" s="1" t="str" cm="1">
        <f t="array" ref="F25">_xlfn.IFS(B25=TRUE,"High Risk",AND(Raw_Data!S25&gt;=3,Raw_Data!G25&gt;200),"High Risk",Raw_Data!S25&gt;=2,"Medium Risk",TRUE,"Low Risk")</f>
        <v>Low Risk</v>
      </c>
      <c r="G25" s="1" t="str">
        <f>IF(OR(Raw_Data!D25="Yes",Raw_Data!E25="Yes"),"Has Plan","No Special Plan")</f>
        <v>No Special Plan</v>
      </c>
      <c r="H25" s="1" t="str">
        <f>IF(NOT(Raw_Data!S25&gt;=3),"Normal Service Contact","Frequent Service Contact")</f>
        <v>Normal Service Contact</v>
      </c>
      <c r="I25" s="1" t="str" cm="1">
        <f t="array" ref="I25">_xlfn.SWITCH(Raw_Data!D25,"Yes","International Customer","No","Domestic Plan","Unknown")</f>
        <v>Domestic Plan</v>
      </c>
      <c r="J25" s="1" t="str">
        <f>IF(ISERROR(Raw_Data!G25/0),"Error","Valid")</f>
        <v>Error</v>
      </c>
      <c r="K25" s="1" t="str">
        <f>IF(ISBLANK(Raw_Data!A25),"Missing","Available")</f>
        <v>Available</v>
      </c>
      <c r="L25" s="5" t="str">
        <f>IF(ISNUMBER(Raw_Data!G25),"Numeric","Not Numeric")</f>
        <v>Numeric</v>
      </c>
    </row>
    <row r="26" spans="1:12" x14ac:dyDescent="0.25">
      <c r="A26" s="4" t="str">
        <f>Raw_Data!A26</f>
        <v>WA</v>
      </c>
      <c r="B26" s="1" t="b">
        <f>Raw_Data!T26</f>
        <v>0</v>
      </c>
      <c r="C26" s="1" t="str">
        <f t="shared" si="0"/>
        <v>Retained</v>
      </c>
      <c r="D26" s="1" t="str">
        <f>IF(Raw_Data!S26=0,"Low Contact",IF(Raw_Data!S26&lt;=2,"Normal Contact","High Contact"))</f>
        <v>Normal Contact</v>
      </c>
      <c r="E26" s="1" t="str">
        <f>IF(AND(Raw_Data!G26&gt;200,Raw_Data!H26&gt;100),"High Usage","Normal Usage")</f>
        <v>Normal Usage</v>
      </c>
      <c r="F26" s="1" t="str" cm="1">
        <f t="array" ref="F26">_xlfn.IFS(B26=TRUE,"High Risk",AND(Raw_Data!S26&gt;=3,Raw_Data!G26&gt;200),"High Risk",Raw_Data!S26&gt;=2,"Medium Risk",TRUE,"Low Risk")</f>
        <v>Low Risk</v>
      </c>
      <c r="G26" s="1" t="str">
        <f>IF(OR(Raw_Data!D26="Yes",Raw_Data!E26="Yes"),"Has Plan","No Special Plan")</f>
        <v>No Special Plan</v>
      </c>
      <c r="H26" s="1" t="str">
        <f>IF(NOT(Raw_Data!S26&gt;=3),"Normal Service Contact","Frequent Service Contact")</f>
        <v>Normal Service Contact</v>
      </c>
      <c r="I26" s="1" t="str" cm="1">
        <f t="array" ref="I26">_xlfn.SWITCH(Raw_Data!D26,"Yes","International Customer","No","Domestic Plan","Unknown")</f>
        <v>Domestic Plan</v>
      </c>
      <c r="J26" s="1" t="str">
        <f>IF(ISERROR(Raw_Data!G26/0),"Error","Valid")</f>
        <v>Error</v>
      </c>
      <c r="K26" s="1" t="str">
        <f>IF(ISBLANK(Raw_Data!A26),"Missing","Available")</f>
        <v>Available</v>
      </c>
      <c r="L26" s="5" t="str">
        <f>IF(ISNUMBER(Raw_Data!G26),"Numeric","Not Numeric")</f>
        <v>Numeric</v>
      </c>
    </row>
    <row r="27" spans="1:12" x14ac:dyDescent="0.25">
      <c r="A27" s="4" t="str">
        <f>Raw_Data!A27</f>
        <v>LA</v>
      </c>
      <c r="B27" s="1" t="b">
        <f>Raw_Data!T27</f>
        <v>0</v>
      </c>
      <c r="C27" s="1" t="str">
        <f t="shared" si="0"/>
        <v>Retained</v>
      </c>
      <c r="D27" s="1" t="str">
        <f>IF(Raw_Data!S27=0,"Low Contact",IF(Raw_Data!S27&lt;=2,"Normal Contact","High Contact"))</f>
        <v>Normal Contact</v>
      </c>
      <c r="E27" s="1" t="str">
        <f>IF(AND(Raw_Data!G27&gt;200,Raw_Data!H27&gt;100),"High Usage","Normal Usage")</f>
        <v>Normal Usage</v>
      </c>
      <c r="F27" s="1" t="str" cm="1">
        <f t="array" ref="F27">_xlfn.IFS(B27=TRUE,"High Risk",AND(Raw_Data!S27&gt;=3,Raw_Data!G27&gt;200),"High Risk",Raw_Data!S27&gt;=2,"Medium Risk",TRUE,"Low Risk")</f>
        <v>Low Risk</v>
      </c>
      <c r="G27" s="1" t="str">
        <f>IF(OR(Raw_Data!D27="Yes",Raw_Data!E27="Yes"),"Has Plan","No Special Plan")</f>
        <v>No Special Plan</v>
      </c>
      <c r="H27" s="1" t="str">
        <f>IF(NOT(Raw_Data!S27&gt;=3),"Normal Service Contact","Frequent Service Contact")</f>
        <v>Normal Service Contact</v>
      </c>
      <c r="I27" s="1" t="str" cm="1">
        <f t="array" ref="I27">_xlfn.SWITCH(Raw_Data!D27,"Yes","International Customer","No","Domestic Plan","Unknown")</f>
        <v>Domestic Plan</v>
      </c>
      <c r="J27" s="1" t="str">
        <f>IF(ISERROR(Raw_Data!G27/0),"Error","Valid")</f>
        <v>Error</v>
      </c>
      <c r="K27" s="1" t="str">
        <f>IF(ISBLANK(Raw_Data!A27),"Missing","Available")</f>
        <v>Available</v>
      </c>
      <c r="L27" s="5" t="str">
        <f>IF(ISNUMBER(Raw_Data!G27),"Numeric","Not Numeric")</f>
        <v>Numeric</v>
      </c>
    </row>
    <row r="28" spans="1:12" x14ac:dyDescent="0.25">
      <c r="A28" s="4" t="str">
        <f>Raw_Data!A28</f>
        <v>NE</v>
      </c>
      <c r="B28" s="1" t="b">
        <f>Raw_Data!T28</f>
        <v>0</v>
      </c>
      <c r="C28" s="1" t="str">
        <f t="shared" si="0"/>
        <v>Retained</v>
      </c>
      <c r="D28" s="1" t="str">
        <f>IF(Raw_Data!S28=0,"Low Contact",IF(Raw_Data!S28&lt;=2,"Normal Contact","High Contact"))</f>
        <v>Normal Contact</v>
      </c>
      <c r="E28" s="1" t="str">
        <f>IF(AND(Raw_Data!G28&gt;200,Raw_Data!H28&gt;100),"High Usage","Normal Usage")</f>
        <v>Normal Usage</v>
      </c>
      <c r="F28" s="1" t="str" cm="1">
        <f t="array" ref="F28">_xlfn.IFS(B28=TRUE,"High Risk",AND(Raw_Data!S28&gt;=3,Raw_Data!G28&gt;200),"High Risk",Raw_Data!S28&gt;=2,"Medium Risk",TRUE,"Low Risk")</f>
        <v>Low Risk</v>
      </c>
      <c r="G28" s="1" t="str">
        <f>IF(OR(Raw_Data!D28="Yes",Raw_Data!E28="Yes"),"Has Plan","No Special Plan")</f>
        <v>No Special Plan</v>
      </c>
      <c r="H28" s="1" t="str">
        <f>IF(NOT(Raw_Data!S28&gt;=3),"Normal Service Contact","Frequent Service Contact")</f>
        <v>Normal Service Contact</v>
      </c>
      <c r="I28" s="1" t="str" cm="1">
        <f t="array" ref="I28">_xlfn.SWITCH(Raw_Data!D28,"Yes","International Customer","No","Domestic Plan","Unknown")</f>
        <v>Domestic Plan</v>
      </c>
      <c r="J28" s="1" t="str">
        <f>IF(ISERROR(Raw_Data!G28/0),"Error","Valid")</f>
        <v>Error</v>
      </c>
      <c r="K28" s="1" t="str">
        <f>IF(ISBLANK(Raw_Data!A28),"Missing","Available")</f>
        <v>Available</v>
      </c>
      <c r="L28" s="5" t="str">
        <f>IF(ISNUMBER(Raw_Data!G28),"Numeric","Not Numeric")</f>
        <v>Numeric</v>
      </c>
    </row>
    <row r="29" spans="1:12" x14ac:dyDescent="0.25">
      <c r="A29" s="4" t="str">
        <f>Raw_Data!A29</f>
        <v>OH</v>
      </c>
      <c r="B29" s="1" t="b">
        <f>Raw_Data!T29</f>
        <v>0</v>
      </c>
      <c r="C29" s="1" t="str">
        <f t="shared" si="0"/>
        <v>Retained</v>
      </c>
      <c r="D29" s="1" t="str">
        <f>IF(Raw_Data!S29=0,"Low Contact",IF(Raw_Data!S29&lt;=2,"Normal Contact","High Contact"))</f>
        <v>Normal Contact</v>
      </c>
      <c r="E29" s="1" t="str">
        <f>IF(AND(Raw_Data!G29&gt;200,Raw_Data!H29&gt;100),"High Usage","Normal Usage")</f>
        <v>Normal Usage</v>
      </c>
      <c r="F29" s="1" t="str" cm="1">
        <f t="array" ref="F29">_xlfn.IFS(B29=TRUE,"High Risk",AND(Raw_Data!S29&gt;=3,Raw_Data!G29&gt;200),"High Risk",Raw_Data!S29&gt;=2,"Medium Risk",TRUE,"Low Risk")</f>
        <v>Low Risk</v>
      </c>
      <c r="G29" s="1" t="str">
        <f>IF(OR(Raw_Data!D29="Yes",Raw_Data!E29="Yes"),"Has Plan","No Special Plan")</f>
        <v>No Special Plan</v>
      </c>
      <c r="H29" s="1" t="str">
        <f>IF(NOT(Raw_Data!S29&gt;=3),"Normal Service Contact","Frequent Service Contact")</f>
        <v>Normal Service Contact</v>
      </c>
      <c r="I29" s="1" t="str" cm="1">
        <f t="array" ref="I29">_xlfn.SWITCH(Raw_Data!D29,"Yes","International Customer","No","Domestic Plan","Unknown")</f>
        <v>Domestic Plan</v>
      </c>
      <c r="J29" s="1" t="str">
        <f>IF(ISERROR(Raw_Data!G29/0),"Error","Valid")</f>
        <v>Error</v>
      </c>
      <c r="K29" s="1" t="str">
        <f>IF(ISBLANK(Raw_Data!A29),"Missing","Available")</f>
        <v>Available</v>
      </c>
      <c r="L29" s="5" t="str">
        <f>IF(ISNUMBER(Raw_Data!G29),"Numeric","Not Numeric")</f>
        <v>Numeric</v>
      </c>
    </row>
    <row r="30" spans="1:12" x14ac:dyDescent="0.25">
      <c r="A30" s="4" t="str">
        <f>Raw_Data!A30</f>
        <v>MO</v>
      </c>
      <c r="B30" s="1" t="b">
        <f>Raw_Data!T30</f>
        <v>0</v>
      </c>
      <c r="C30" s="1" t="str">
        <f t="shared" si="0"/>
        <v>Retained</v>
      </c>
      <c r="D30" s="1" t="str">
        <f>IF(Raw_Data!S30=0,"Low Contact",IF(Raw_Data!S30&lt;=2,"Normal Contact","High Contact"))</f>
        <v>Normal Contact</v>
      </c>
      <c r="E30" s="1" t="str">
        <f>IF(AND(Raw_Data!G30&gt;200,Raw_Data!H30&gt;100),"High Usage","Normal Usage")</f>
        <v>Normal Usage</v>
      </c>
      <c r="F30" s="1" t="str" cm="1">
        <f t="array" ref="F30">_xlfn.IFS(B30=TRUE,"High Risk",AND(Raw_Data!S30&gt;=3,Raw_Data!G30&gt;200),"High Risk",Raw_Data!S30&gt;=2,"Medium Risk",TRUE,"Low Risk")</f>
        <v>Low Risk</v>
      </c>
      <c r="G30" s="1" t="str">
        <f>IF(OR(Raw_Data!D30="Yes",Raw_Data!E30="Yes"),"Has Plan","No Special Plan")</f>
        <v>No Special Plan</v>
      </c>
      <c r="H30" s="1" t="str">
        <f>IF(NOT(Raw_Data!S30&gt;=3),"Normal Service Contact","Frequent Service Contact")</f>
        <v>Normal Service Contact</v>
      </c>
      <c r="I30" s="1" t="str" cm="1">
        <f t="array" ref="I30">_xlfn.SWITCH(Raw_Data!D30,"Yes","International Customer","No","Domestic Plan","Unknown")</f>
        <v>Domestic Plan</v>
      </c>
      <c r="J30" s="1" t="str">
        <f>IF(ISERROR(Raw_Data!G30/0),"Error","Valid")</f>
        <v>Error</v>
      </c>
      <c r="K30" s="1" t="str">
        <f>IF(ISBLANK(Raw_Data!A30),"Missing","Available")</f>
        <v>Available</v>
      </c>
      <c r="L30" s="5" t="str">
        <f>IF(ISNUMBER(Raw_Data!G30),"Numeric","Not Numeric")</f>
        <v>Numeric</v>
      </c>
    </row>
    <row r="31" spans="1:12" x14ac:dyDescent="0.25">
      <c r="A31" s="4" t="str">
        <f>Raw_Data!A31</f>
        <v>AL</v>
      </c>
      <c r="B31" s="1" t="b">
        <f>Raw_Data!T31</f>
        <v>0</v>
      </c>
      <c r="C31" s="1" t="str">
        <f t="shared" si="0"/>
        <v>Retained</v>
      </c>
      <c r="D31" s="1" t="str">
        <f>IF(Raw_Data!S31=0,"Low Contact",IF(Raw_Data!S31&lt;=2,"Normal Contact","High Contact"))</f>
        <v>Low Contact</v>
      </c>
      <c r="E31" s="1" t="str">
        <f>IF(AND(Raw_Data!G31&gt;200,Raw_Data!H31&gt;100),"High Usage","Normal Usage")</f>
        <v>Normal Usage</v>
      </c>
      <c r="F31" s="1" t="str" cm="1">
        <f t="array" ref="F31">_xlfn.IFS(B31=TRUE,"High Risk",AND(Raw_Data!S31&gt;=3,Raw_Data!G31&gt;200),"High Risk",Raw_Data!S31&gt;=2,"Medium Risk",TRUE,"Low Risk")</f>
        <v>Low Risk</v>
      </c>
      <c r="G31" s="1" t="str">
        <f>IF(OR(Raw_Data!D31="Yes",Raw_Data!E31="Yes"),"Has Plan","No Special Plan")</f>
        <v>No Special Plan</v>
      </c>
      <c r="H31" s="1" t="str">
        <f>IF(NOT(Raw_Data!S31&gt;=3),"Normal Service Contact","Frequent Service Contact")</f>
        <v>Normal Service Contact</v>
      </c>
      <c r="I31" s="1" t="str" cm="1">
        <f t="array" ref="I31">_xlfn.SWITCH(Raw_Data!D31,"Yes","International Customer","No","Domestic Plan","Unknown")</f>
        <v>Domestic Plan</v>
      </c>
      <c r="J31" s="1" t="str">
        <f>IF(ISERROR(Raw_Data!G31/0),"Error","Valid")</f>
        <v>Error</v>
      </c>
      <c r="K31" s="1" t="str">
        <f>IF(ISBLANK(Raw_Data!A31),"Missing","Available")</f>
        <v>Available</v>
      </c>
      <c r="L31" s="5" t="str">
        <f>IF(ISNUMBER(Raw_Data!G31),"Numeric","Not Numeric")</f>
        <v>Numeric</v>
      </c>
    </row>
    <row r="32" spans="1:12" x14ac:dyDescent="0.25">
      <c r="A32" s="4" t="str">
        <f>Raw_Data!A32</f>
        <v>NH</v>
      </c>
      <c r="B32" s="1" t="b">
        <f>Raw_Data!T32</f>
        <v>0</v>
      </c>
      <c r="C32" s="1" t="str">
        <f t="shared" si="0"/>
        <v>Retained</v>
      </c>
      <c r="D32" s="1" t="str">
        <f>IF(Raw_Data!S32=0,"Low Contact",IF(Raw_Data!S32&lt;=2,"Normal Contact","High Contact"))</f>
        <v>Normal Contact</v>
      </c>
      <c r="E32" s="1" t="str">
        <f>IF(AND(Raw_Data!G32&gt;200,Raw_Data!H32&gt;100),"High Usage","Normal Usage")</f>
        <v>Normal Usage</v>
      </c>
      <c r="F32" s="1" t="str" cm="1">
        <f t="array" ref="F32">_xlfn.IFS(B32=TRUE,"High Risk",AND(Raw_Data!S32&gt;=3,Raw_Data!G32&gt;200),"High Risk",Raw_Data!S32&gt;=2,"Medium Risk",TRUE,"Low Risk")</f>
        <v>Medium Risk</v>
      </c>
      <c r="G32" s="1" t="str">
        <f>IF(OR(Raw_Data!D32="Yes",Raw_Data!E32="Yes"),"Has Plan","No Special Plan")</f>
        <v>Has Plan</v>
      </c>
      <c r="H32" s="1" t="str">
        <f>IF(NOT(Raw_Data!S32&gt;=3),"Normal Service Contact","Frequent Service Contact")</f>
        <v>Normal Service Contact</v>
      </c>
      <c r="I32" s="1" t="str" cm="1">
        <f t="array" ref="I32">_xlfn.SWITCH(Raw_Data!D32,"Yes","International Customer","No","Domestic Plan","Unknown")</f>
        <v>Domestic Plan</v>
      </c>
      <c r="J32" s="1" t="str">
        <f>IF(ISERROR(Raw_Data!G32/0),"Error","Valid")</f>
        <v>Error</v>
      </c>
      <c r="K32" s="1" t="str">
        <f>IF(ISBLANK(Raw_Data!A32),"Missing","Available")</f>
        <v>Available</v>
      </c>
      <c r="L32" s="5" t="str">
        <f>IF(ISNUMBER(Raw_Data!G32),"Numeric","Not Numeric")</f>
        <v>Numeric</v>
      </c>
    </row>
    <row r="33" spans="1:12" x14ac:dyDescent="0.25">
      <c r="A33" s="4" t="str">
        <f>Raw_Data!A33</f>
        <v>NM</v>
      </c>
      <c r="B33" s="1" t="b">
        <f>Raw_Data!T33</f>
        <v>0</v>
      </c>
      <c r="C33" s="1" t="str">
        <f t="shared" si="0"/>
        <v>Retained</v>
      </c>
      <c r="D33" s="1" t="str">
        <f>IF(Raw_Data!S33=0,"Low Contact",IF(Raw_Data!S33&lt;=2,"Normal Contact","High Contact"))</f>
        <v>High Contact</v>
      </c>
      <c r="E33" s="1" t="str">
        <f>IF(AND(Raw_Data!G33&gt;200,Raw_Data!H33&gt;100),"High Usage","Normal Usage")</f>
        <v>Normal Usage</v>
      </c>
      <c r="F33" s="1" t="str" cm="1">
        <f t="array" ref="F33">_xlfn.IFS(B33=TRUE,"High Risk",AND(Raw_Data!S33&gt;=3,Raw_Data!G33&gt;200),"High Risk",Raw_Data!S33&gt;=2,"Medium Risk",TRUE,"Low Risk")</f>
        <v>Medium Risk</v>
      </c>
      <c r="G33" s="1" t="str">
        <f>IF(OR(Raw_Data!D33="Yes",Raw_Data!E33="Yes"),"Has Plan","No Special Plan")</f>
        <v>No Special Plan</v>
      </c>
      <c r="H33" s="1" t="str">
        <f>IF(NOT(Raw_Data!S33&gt;=3),"Normal Service Contact","Frequent Service Contact")</f>
        <v>Frequent Service Contact</v>
      </c>
      <c r="I33" s="1" t="str" cm="1">
        <f t="array" ref="I33">_xlfn.SWITCH(Raw_Data!D33,"Yes","International Customer","No","Domestic Plan","Unknown")</f>
        <v>Domestic Plan</v>
      </c>
      <c r="J33" s="1" t="str">
        <f>IF(ISERROR(Raw_Data!G33/0),"Error","Valid")</f>
        <v>Error</v>
      </c>
      <c r="K33" s="1" t="str">
        <f>IF(ISBLANK(Raw_Data!A33),"Missing","Available")</f>
        <v>Available</v>
      </c>
      <c r="L33" s="5" t="str">
        <f>IF(ISNUMBER(Raw_Data!G33),"Numeric","Not Numeric")</f>
        <v>Numeric</v>
      </c>
    </row>
    <row r="34" spans="1:12" x14ac:dyDescent="0.25">
      <c r="A34" s="4" t="str">
        <f>Raw_Data!A34</f>
        <v>OR</v>
      </c>
      <c r="B34" s="1" t="b">
        <f>Raw_Data!T34</f>
        <v>0</v>
      </c>
      <c r="C34" s="1" t="str">
        <f t="shared" si="0"/>
        <v>Retained</v>
      </c>
      <c r="D34" s="1" t="str">
        <f>IF(Raw_Data!S34=0,"Low Contact",IF(Raw_Data!S34&lt;=2,"Normal Contact","High Contact"))</f>
        <v>Normal Contact</v>
      </c>
      <c r="E34" s="1" t="str">
        <f>IF(AND(Raw_Data!G34&gt;200,Raw_Data!H34&gt;100),"High Usage","Normal Usage")</f>
        <v>Normal Usage</v>
      </c>
      <c r="F34" s="1" t="str" cm="1">
        <f t="array" ref="F34">_xlfn.IFS(B34=TRUE,"High Risk",AND(Raw_Data!S34&gt;=3,Raw_Data!G34&gt;200),"High Risk",Raw_Data!S34&gt;=2,"Medium Risk",TRUE,"Low Risk")</f>
        <v>Low Risk</v>
      </c>
      <c r="G34" s="1" t="str">
        <f>IF(OR(Raw_Data!D34="Yes",Raw_Data!E34="Yes"),"Has Plan","No Special Plan")</f>
        <v>No Special Plan</v>
      </c>
      <c r="H34" s="1" t="str">
        <f>IF(NOT(Raw_Data!S34&gt;=3),"Normal Service Contact","Frequent Service Contact")</f>
        <v>Normal Service Contact</v>
      </c>
      <c r="I34" s="1" t="str" cm="1">
        <f t="array" ref="I34">_xlfn.SWITCH(Raw_Data!D34,"Yes","International Customer","No","Domestic Plan","Unknown")</f>
        <v>Domestic Plan</v>
      </c>
      <c r="J34" s="1" t="str">
        <f>IF(ISERROR(Raw_Data!G34/0),"Error","Valid")</f>
        <v>Error</v>
      </c>
      <c r="K34" s="1" t="str">
        <f>IF(ISBLANK(Raw_Data!A34),"Missing","Available")</f>
        <v>Available</v>
      </c>
      <c r="L34" s="5" t="str">
        <f>IF(ISNUMBER(Raw_Data!G34),"Numeric","Not Numeric")</f>
        <v>Numeric</v>
      </c>
    </row>
    <row r="35" spans="1:12" x14ac:dyDescent="0.25">
      <c r="A35" s="4" t="str">
        <f>Raw_Data!A35</f>
        <v>MI</v>
      </c>
      <c r="B35" s="1" t="b">
        <f>Raw_Data!T35</f>
        <v>0</v>
      </c>
      <c r="C35" s="1" t="str">
        <f t="shared" si="0"/>
        <v>Retained</v>
      </c>
      <c r="D35" s="1" t="str">
        <f>IF(Raw_Data!S35=0,"Low Contact",IF(Raw_Data!S35&lt;=2,"Normal Contact","High Contact"))</f>
        <v>Normal Contact</v>
      </c>
      <c r="E35" s="1" t="str">
        <f>IF(AND(Raw_Data!G35&gt;200,Raw_Data!H35&gt;100),"High Usage","Normal Usage")</f>
        <v>High Usage</v>
      </c>
      <c r="F35" s="1" t="str" cm="1">
        <f t="array" ref="F35">_xlfn.IFS(B35=TRUE,"High Risk",AND(Raw_Data!S35&gt;=3,Raw_Data!G35&gt;200),"High Risk",Raw_Data!S35&gt;=2,"Medium Risk",TRUE,"Low Risk")</f>
        <v>Medium Risk</v>
      </c>
      <c r="G35" s="1" t="str">
        <f>IF(OR(Raw_Data!D35="Yes",Raw_Data!E35="Yes"),"Has Plan","No Special Plan")</f>
        <v>No Special Plan</v>
      </c>
      <c r="H35" s="1" t="str">
        <f>IF(NOT(Raw_Data!S35&gt;=3),"Normal Service Contact","Frequent Service Contact")</f>
        <v>Normal Service Contact</v>
      </c>
      <c r="I35" s="1" t="str" cm="1">
        <f t="array" ref="I35">_xlfn.SWITCH(Raw_Data!D35,"Yes","International Customer","No","Domestic Plan","Unknown")</f>
        <v>Domestic Plan</v>
      </c>
      <c r="J35" s="1" t="str">
        <f>IF(ISERROR(Raw_Data!G35/0),"Error","Valid")</f>
        <v>Error</v>
      </c>
      <c r="K35" s="1" t="str">
        <f>IF(ISBLANK(Raw_Data!A35),"Missing","Available")</f>
        <v>Available</v>
      </c>
      <c r="L35" s="5" t="str">
        <f>IF(ISNUMBER(Raw_Data!G35),"Numeric","Not Numeric")</f>
        <v>Numeric</v>
      </c>
    </row>
    <row r="36" spans="1:12" x14ac:dyDescent="0.25">
      <c r="A36" s="4" t="str">
        <f>Raw_Data!A36</f>
        <v>AZ</v>
      </c>
      <c r="B36" s="1" t="b">
        <f>Raw_Data!T36</f>
        <v>0</v>
      </c>
      <c r="C36" s="1" t="str">
        <f t="shared" si="0"/>
        <v>Retained</v>
      </c>
      <c r="D36" s="1" t="str">
        <f>IF(Raw_Data!S36=0,"Low Contact",IF(Raw_Data!S36&lt;=2,"Normal Contact","High Contact"))</f>
        <v>Normal Contact</v>
      </c>
      <c r="E36" s="1" t="str">
        <f>IF(AND(Raw_Data!G36&gt;200,Raw_Data!H36&gt;100),"High Usage","Normal Usage")</f>
        <v>Normal Usage</v>
      </c>
      <c r="F36" s="1" t="str" cm="1">
        <f t="array" ref="F36">_xlfn.IFS(B36=TRUE,"High Risk",AND(Raw_Data!S36&gt;=3,Raw_Data!G36&gt;200),"High Risk",Raw_Data!S36&gt;=2,"Medium Risk",TRUE,"Low Risk")</f>
        <v>Medium Risk</v>
      </c>
      <c r="G36" s="1" t="str">
        <f>IF(OR(Raw_Data!D36="Yes",Raw_Data!E36="Yes"),"Has Plan","No Special Plan")</f>
        <v>No Special Plan</v>
      </c>
      <c r="H36" s="1" t="str">
        <f>IF(NOT(Raw_Data!S36&gt;=3),"Normal Service Contact","Frequent Service Contact")</f>
        <v>Normal Service Contact</v>
      </c>
      <c r="I36" s="1" t="str" cm="1">
        <f t="array" ref="I36">_xlfn.SWITCH(Raw_Data!D36,"Yes","International Customer","No","Domestic Plan","Unknown")</f>
        <v>Domestic Plan</v>
      </c>
      <c r="J36" s="1" t="str">
        <f>IF(ISERROR(Raw_Data!G36/0),"Error","Valid")</f>
        <v>Error</v>
      </c>
      <c r="K36" s="1" t="str">
        <f>IF(ISBLANK(Raw_Data!A36),"Missing","Available")</f>
        <v>Available</v>
      </c>
      <c r="L36" s="5" t="str">
        <f>IF(ISNUMBER(Raw_Data!G36),"Numeric","Not Numeric")</f>
        <v>Numeric</v>
      </c>
    </row>
    <row r="37" spans="1:12" x14ac:dyDescent="0.25">
      <c r="A37" s="4" t="str">
        <f>Raw_Data!A37</f>
        <v>TX</v>
      </c>
      <c r="B37" s="1" t="b">
        <f>Raw_Data!T37</f>
        <v>1</v>
      </c>
      <c r="C37" s="1" t="str">
        <f t="shared" si="0"/>
        <v>Churned</v>
      </c>
      <c r="D37" s="1" t="str">
        <f>IF(Raw_Data!S37=0,"Low Contact",IF(Raw_Data!S37&lt;=2,"Normal Contact","High Contact"))</f>
        <v>Normal Contact</v>
      </c>
      <c r="E37" s="1" t="str">
        <f>IF(AND(Raw_Data!G37&gt;200,Raw_Data!H37&gt;100),"High Usage","Normal Usage")</f>
        <v>Normal Usage</v>
      </c>
      <c r="F37" s="1" t="str" cm="1">
        <f t="array" ref="F37">_xlfn.IFS(B37=TRUE,"High Risk",AND(Raw_Data!S37&gt;=3,Raw_Data!G37&gt;200),"High Risk",Raw_Data!S37&gt;=2,"Medium Risk",TRUE,"Low Risk")</f>
        <v>High Risk</v>
      </c>
      <c r="G37" s="1" t="str">
        <f>IF(OR(Raw_Data!D37="Yes",Raw_Data!E37="Yes"),"Has Plan","No Special Plan")</f>
        <v>No Special Plan</v>
      </c>
      <c r="H37" s="1" t="str">
        <f>IF(NOT(Raw_Data!S37&gt;=3),"Normal Service Contact","Frequent Service Contact")</f>
        <v>Normal Service Contact</v>
      </c>
      <c r="I37" s="1" t="str" cm="1">
        <f t="array" ref="I37">_xlfn.SWITCH(Raw_Data!D37,"Yes","International Customer","No","Domestic Plan","Unknown")</f>
        <v>Domestic Plan</v>
      </c>
      <c r="J37" s="1" t="str">
        <f>IF(ISERROR(Raw_Data!G37/0),"Error","Valid")</f>
        <v>Error</v>
      </c>
      <c r="K37" s="1" t="str">
        <f>IF(ISBLANK(Raw_Data!A37),"Missing","Available")</f>
        <v>Available</v>
      </c>
      <c r="L37" s="5" t="str">
        <f>IF(ISNUMBER(Raw_Data!G37),"Numeric","Not Numeric")</f>
        <v>Numeric</v>
      </c>
    </row>
    <row r="38" spans="1:12" x14ac:dyDescent="0.25">
      <c r="A38" s="4" t="str">
        <f>Raw_Data!A38</f>
        <v>IN</v>
      </c>
      <c r="B38" s="1" t="b">
        <f>Raw_Data!T38</f>
        <v>0</v>
      </c>
      <c r="C38" s="1" t="str">
        <f t="shared" si="0"/>
        <v>Retained</v>
      </c>
      <c r="D38" s="1" t="str">
        <f>IF(Raw_Data!S38=0,"Low Contact",IF(Raw_Data!S38&lt;=2,"Normal Contact","High Contact"))</f>
        <v>Normal Contact</v>
      </c>
      <c r="E38" s="1" t="str">
        <f>IF(AND(Raw_Data!G38&gt;200,Raw_Data!H38&gt;100),"High Usage","Normal Usage")</f>
        <v>Normal Usage</v>
      </c>
      <c r="F38" s="1" t="str" cm="1">
        <f t="array" ref="F38">_xlfn.IFS(B38=TRUE,"High Risk",AND(Raw_Data!S38&gt;=3,Raw_Data!G38&gt;200),"High Risk",Raw_Data!S38&gt;=2,"Medium Risk",TRUE,"Low Risk")</f>
        <v>Medium Risk</v>
      </c>
      <c r="G38" s="1" t="str">
        <f>IF(OR(Raw_Data!D38="Yes",Raw_Data!E38="Yes"),"Has Plan","No Special Plan")</f>
        <v>No Special Plan</v>
      </c>
      <c r="H38" s="1" t="str">
        <f>IF(NOT(Raw_Data!S38&gt;=3),"Normal Service Contact","Frequent Service Contact")</f>
        <v>Normal Service Contact</v>
      </c>
      <c r="I38" s="1" t="str" cm="1">
        <f t="array" ref="I38">_xlfn.SWITCH(Raw_Data!D38,"Yes","International Customer","No","Domestic Plan","Unknown")</f>
        <v>Domestic Plan</v>
      </c>
      <c r="J38" s="1" t="str">
        <f>IF(ISERROR(Raw_Data!G38/0),"Error","Valid")</f>
        <v>Error</v>
      </c>
      <c r="K38" s="1" t="str">
        <f>IF(ISBLANK(Raw_Data!A38),"Missing","Available")</f>
        <v>Available</v>
      </c>
      <c r="L38" s="5" t="str">
        <f>IF(ISNUMBER(Raw_Data!G38),"Numeric","Not Numeric")</f>
        <v>Numeric</v>
      </c>
    </row>
    <row r="39" spans="1:12" x14ac:dyDescent="0.25">
      <c r="A39" s="4" t="str">
        <f>Raw_Data!A39</f>
        <v>LA</v>
      </c>
      <c r="B39" s="1" t="b">
        <f>Raw_Data!T39</f>
        <v>0</v>
      </c>
      <c r="C39" s="1" t="str">
        <f t="shared" si="0"/>
        <v>Retained</v>
      </c>
      <c r="D39" s="1" t="str">
        <f>IF(Raw_Data!S39=0,"Low Contact",IF(Raw_Data!S39&lt;=2,"Normal Contact","High Contact"))</f>
        <v>Normal Contact</v>
      </c>
      <c r="E39" s="1" t="str">
        <f>IF(AND(Raw_Data!G39&gt;200,Raw_Data!H39&gt;100),"High Usage","Normal Usage")</f>
        <v>Normal Usage</v>
      </c>
      <c r="F39" s="1" t="str" cm="1">
        <f t="array" ref="F39">_xlfn.IFS(B39=TRUE,"High Risk",AND(Raw_Data!S39&gt;=3,Raw_Data!G39&gt;200),"High Risk",Raw_Data!S39&gt;=2,"Medium Risk",TRUE,"Low Risk")</f>
        <v>Low Risk</v>
      </c>
      <c r="G39" s="1" t="str">
        <f>IF(OR(Raw_Data!D39="Yes",Raw_Data!E39="Yes"),"Has Plan","No Special Plan")</f>
        <v>No Special Plan</v>
      </c>
      <c r="H39" s="1" t="str">
        <f>IF(NOT(Raw_Data!S39&gt;=3),"Normal Service Contact","Frequent Service Contact")</f>
        <v>Normal Service Contact</v>
      </c>
      <c r="I39" s="1" t="str" cm="1">
        <f t="array" ref="I39">_xlfn.SWITCH(Raw_Data!D39,"Yes","International Customer","No","Domestic Plan","Unknown")</f>
        <v>Domestic Plan</v>
      </c>
      <c r="J39" s="1" t="str">
        <f>IF(ISERROR(Raw_Data!G39/0),"Error","Valid")</f>
        <v>Error</v>
      </c>
      <c r="K39" s="1" t="str">
        <f>IF(ISBLANK(Raw_Data!A39),"Missing","Available")</f>
        <v>Available</v>
      </c>
      <c r="L39" s="5" t="str">
        <f>IF(ISNUMBER(Raw_Data!G39),"Numeric","Not Numeric")</f>
        <v>Numeric</v>
      </c>
    </row>
    <row r="40" spans="1:12" x14ac:dyDescent="0.25">
      <c r="A40" s="4" t="str">
        <f>Raw_Data!A40</f>
        <v>MS</v>
      </c>
      <c r="B40" s="1" t="b">
        <f>Raw_Data!T40</f>
        <v>0</v>
      </c>
      <c r="C40" s="1" t="str">
        <f t="shared" si="0"/>
        <v>Retained</v>
      </c>
      <c r="D40" s="1" t="str">
        <f>IF(Raw_Data!S40=0,"Low Contact",IF(Raw_Data!S40&lt;=2,"Normal Contact","High Contact"))</f>
        <v>Normal Contact</v>
      </c>
      <c r="E40" s="1" t="str">
        <f>IF(AND(Raw_Data!G40&gt;200,Raw_Data!H40&gt;100),"High Usage","Normal Usage")</f>
        <v>Normal Usage</v>
      </c>
      <c r="F40" s="1" t="str" cm="1">
        <f t="array" ref="F40">_xlfn.IFS(B40=TRUE,"High Risk",AND(Raw_Data!S40&gt;=3,Raw_Data!G40&gt;200),"High Risk",Raw_Data!S40&gt;=2,"Medium Risk",TRUE,"Low Risk")</f>
        <v>Low Risk</v>
      </c>
      <c r="G40" s="1" t="str">
        <f>IF(OR(Raw_Data!D40="Yes",Raw_Data!E40="Yes"),"Has Plan","No Special Plan")</f>
        <v>No Special Plan</v>
      </c>
      <c r="H40" s="1" t="str">
        <f>IF(NOT(Raw_Data!S40&gt;=3),"Normal Service Contact","Frequent Service Contact")</f>
        <v>Normal Service Contact</v>
      </c>
      <c r="I40" s="1" t="str" cm="1">
        <f t="array" ref="I40">_xlfn.SWITCH(Raw_Data!D40,"Yes","International Customer","No","Domestic Plan","Unknown")</f>
        <v>Domestic Plan</v>
      </c>
      <c r="J40" s="1" t="str">
        <f>IF(ISERROR(Raw_Data!G40/0),"Error","Valid")</f>
        <v>Error</v>
      </c>
      <c r="K40" s="1" t="str">
        <f>IF(ISBLANK(Raw_Data!A40),"Missing","Available")</f>
        <v>Available</v>
      </c>
      <c r="L40" s="5" t="str">
        <f>IF(ISNUMBER(Raw_Data!G40),"Numeric","Not Numeric")</f>
        <v>Numeric</v>
      </c>
    </row>
    <row r="41" spans="1:12" x14ac:dyDescent="0.25">
      <c r="A41" s="4" t="str">
        <f>Raw_Data!A41</f>
        <v>IN</v>
      </c>
      <c r="B41" s="1" t="b">
        <f>Raw_Data!T41</f>
        <v>0</v>
      </c>
      <c r="C41" s="1" t="str">
        <f t="shared" si="0"/>
        <v>Retained</v>
      </c>
      <c r="D41" s="1" t="str">
        <f>IF(Raw_Data!S41=0,"Low Contact",IF(Raw_Data!S41&lt;=2,"Normal Contact","High Contact"))</f>
        <v>Normal Contact</v>
      </c>
      <c r="E41" s="1" t="str">
        <f>IF(AND(Raw_Data!G41&gt;200,Raw_Data!H41&gt;100),"High Usage","Normal Usage")</f>
        <v>High Usage</v>
      </c>
      <c r="F41" s="1" t="str" cm="1">
        <f t="array" ref="F41">_xlfn.IFS(B41=TRUE,"High Risk",AND(Raw_Data!S41&gt;=3,Raw_Data!G41&gt;200),"High Risk",Raw_Data!S41&gt;=2,"Medium Risk",TRUE,"Low Risk")</f>
        <v>Low Risk</v>
      </c>
      <c r="G41" s="1" t="str">
        <f>IF(OR(Raw_Data!D41="Yes",Raw_Data!E41="Yes"),"Has Plan","No Special Plan")</f>
        <v>No Special Plan</v>
      </c>
      <c r="H41" s="1" t="str">
        <f>IF(NOT(Raw_Data!S41&gt;=3),"Normal Service Contact","Frequent Service Contact")</f>
        <v>Normal Service Contact</v>
      </c>
      <c r="I41" s="1" t="str" cm="1">
        <f t="array" ref="I41">_xlfn.SWITCH(Raw_Data!D41,"Yes","International Customer","No","Domestic Plan","Unknown")</f>
        <v>Domestic Plan</v>
      </c>
      <c r="J41" s="1" t="str">
        <f>IF(ISERROR(Raw_Data!G41/0),"Error","Valid")</f>
        <v>Error</v>
      </c>
      <c r="K41" s="1" t="str">
        <f>IF(ISBLANK(Raw_Data!A41),"Missing","Available")</f>
        <v>Available</v>
      </c>
      <c r="L41" s="5" t="str">
        <f>IF(ISNUMBER(Raw_Data!G41),"Numeric","Not Numeric")</f>
        <v>Numeric</v>
      </c>
    </row>
    <row r="42" spans="1:12" x14ac:dyDescent="0.25">
      <c r="A42" s="4" t="str">
        <f>Raw_Data!A42</f>
        <v>KY</v>
      </c>
      <c r="B42" s="1" t="b">
        <f>Raw_Data!T42</f>
        <v>0</v>
      </c>
      <c r="C42" s="1" t="str">
        <f t="shared" si="0"/>
        <v>Retained</v>
      </c>
      <c r="D42" s="1" t="str">
        <f>IF(Raw_Data!S42=0,"Low Contact",IF(Raw_Data!S42&lt;=2,"Normal Contact","High Contact"))</f>
        <v>Low Contact</v>
      </c>
      <c r="E42" s="1" t="str">
        <f>IF(AND(Raw_Data!G42&gt;200,Raw_Data!H42&gt;100),"High Usage","Normal Usage")</f>
        <v>Normal Usage</v>
      </c>
      <c r="F42" s="1" t="str" cm="1">
        <f t="array" ref="F42">_xlfn.IFS(B42=TRUE,"High Risk",AND(Raw_Data!S42&gt;=3,Raw_Data!G42&gt;200),"High Risk",Raw_Data!S42&gt;=2,"Medium Risk",TRUE,"Low Risk")</f>
        <v>Low Risk</v>
      </c>
      <c r="G42" s="1" t="str">
        <f>IF(OR(Raw_Data!D42="Yes",Raw_Data!E42="Yes"),"Has Plan","No Special Plan")</f>
        <v>Has Plan</v>
      </c>
      <c r="H42" s="1" t="str">
        <f>IF(NOT(Raw_Data!S42&gt;=3),"Normal Service Contact","Frequent Service Contact")</f>
        <v>Normal Service Contact</v>
      </c>
      <c r="I42" s="1" t="str" cm="1">
        <f t="array" ref="I42">_xlfn.SWITCH(Raw_Data!D42,"Yes","International Customer","No","Domestic Plan","Unknown")</f>
        <v>Domestic Plan</v>
      </c>
      <c r="J42" s="1" t="str">
        <f>IF(ISERROR(Raw_Data!G42/0),"Error","Valid")</f>
        <v>Error</v>
      </c>
      <c r="K42" s="1" t="str">
        <f>IF(ISBLANK(Raw_Data!A42),"Missing","Available")</f>
        <v>Available</v>
      </c>
      <c r="L42" s="5" t="str">
        <f>IF(ISNUMBER(Raw_Data!G42),"Numeric","Not Numeric")</f>
        <v>Numeric</v>
      </c>
    </row>
    <row r="43" spans="1:12" x14ac:dyDescent="0.25">
      <c r="A43" s="4" t="str">
        <f>Raw_Data!A43</f>
        <v>MN</v>
      </c>
      <c r="B43" s="1" t="b">
        <f>Raw_Data!T43</f>
        <v>1</v>
      </c>
      <c r="C43" s="1" t="str">
        <f t="shared" si="0"/>
        <v>Churned</v>
      </c>
      <c r="D43" s="1" t="str">
        <f>IF(Raw_Data!S43=0,"Low Contact",IF(Raw_Data!S43&lt;=2,"Normal Contact","High Contact"))</f>
        <v>High Contact</v>
      </c>
      <c r="E43" s="1" t="str">
        <f>IF(AND(Raw_Data!G43&gt;200,Raw_Data!H43&gt;100),"High Usage","Normal Usage")</f>
        <v>Normal Usage</v>
      </c>
      <c r="F43" s="1" t="str" cm="1">
        <f t="array" ref="F43">_xlfn.IFS(B43=TRUE,"High Risk",AND(Raw_Data!S43&gt;=3,Raw_Data!G43&gt;200),"High Risk",Raw_Data!S43&gt;=2,"Medium Risk",TRUE,"Low Risk")</f>
        <v>High Risk</v>
      </c>
      <c r="G43" s="1" t="str">
        <f>IF(OR(Raw_Data!D43="Yes",Raw_Data!E43="Yes"),"Has Plan","No Special Plan")</f>
        <v>No Special Plan</v>
      </c>
      <c r="H43" s="1" t="str">
        <f>IF(NOT(Raw_Data!S43&gt;=3),"Normal Service Contact","Frequent Service Contact")</f>
        <v>Frequent Service Contact</v>
      </c>
      <c r="I43" s="1" t="str" cm="1">
        <f t="array" ref="I43">_xlfn.SWITCH(Raw_Data!D43,"Yes","International Customer","No","Domestic Plan","Unknown")</f>
        <v>Domestic Plan</v>
      </c>
      <c r="J43" s="1" t="str">
        <f>IF(ISERROR(Raw_Data!G43/0),"Error","Valid")</f>
        <v>Error</v>
      </c>
      <c r="K43" s="1" t="str">
        <f>IF(ISBLANK(Raw_Data!A43),"Missing","Available")</f>
        <v>Available</v>
      </c>
      <c r="L43" s="5" t="str">
        <f>IF(ISNUMBER(Raw_Data!G43),"Numeric","Not Numeric")</f>
        <v>Numeric</v>
      </c>
    </row>
    <row r="44" spans="1:12" x14ac:dyDescent="0.25">
      <c r="A44" s="4" t="str">
        <f>Raw_Data!A44</f>
        <v>WY</v>
      </c>
      <c r="B44" s="1" t="b">
        <f>Raw_Data!T44</f>
        <v>0</v>
      </c>
      <c r="C44" s="1" t="str">
        <f t="shared" si="0"/>
        <v>Retained</v>
      </c>
      <c r="D44" s="1" t="str">
        <f>IF(Raw_Data!S44=0,"Low Contact",IF(Raw_Data!S44&lt;=2,"Normal Contact","High Contact"))</f>
        <v>Low Contact</v>
      </c>
      <c r="E44" s="1" t="str">
        <f>IF(AND(Raw_Data!G44&gt;200,Raw_Data!H44&gt;100),"High Usage","Normal Usage")</f>
        <v>Normal Usage</v>
      </c>
      <c r="F44" s="1" t="str" cm="1">
        <f t="array" ref="F44">_xlfn.IFS(B44=TRUE,"High Risk",AND(Raw_Data!S44&gt;=3,Raw_Data!G44&gt;200),"High Risk",Raw_Data!S44&gt;=2,"Medium Risk",TRUE,"Low Risk")</f>
        <v>Low Risk</v>
      </c>
      <c r="G44" s="1" t="str">
        <f>IF(OR(Raw_Data!D44="Yes",Raw_Data!E44="Yes"),"Has Plan","No Special Plan")</f>
        <v>No Special Plan</v>
      </c>
      <c r="H44" s="1" t="str">
        <f>IF(NOT(Raw_Data!S44&gt;=3),"Normal Service Contact","Frequent Service Contact")</f>
        <v>Normal Service Contact</v>
      </c>
      <c r="I44" s="1" t="str" cm="1">
        <f t="array" ref="I44">_xlfn.SWITCH(Raw_Data!D44,"Yes","International Customer","No","Domestic Plan","Unknown")</f>
        <v>Domestic Plan</v>
      </c>
      <c r="J44" s="1" t="str">
        <f>IF(ISERROR(Raw_Data!G44/0),"Error","Valid")</f>
        <v>Error</v>
      </c>
      <c r="K44" s="1" t="str">
        <f>IF(ISBLANK(Raw_Data!A44),"Missing","Available")</f>
        <v>Available</v>
      </c>
      <c r="L44" s="5" t="str">
        <f>IF(ISNUMBER(Raw_Data!G44),"Numeric","Not Numeric")</f>
        <v>Numeric</v>
      </c>
    </row>
    <row r="45" spans="1:12" x14ac:dyDescent="0.25">
      <c r="A45" s="4" t="str">
        <f>Raw_Data!A45</f>
        <v>AZ</v>
      </c>
      <c r="B45" s="1" t="b">
        <f>Raw_Data!T45</f>
        <v>0</v>
      </c>
      <c r="C45" s="1" t="str">
        <f t="shared" si="0"/>
        <v>Retained</v>
      </c>
      <c r="D45" s="1" t="str">
        <f>IF(Raw_Data!S45=0,"Low Contact",IF(Raw_Data!S45&lt;=2,"Normal Contact","High Contact"))</f>
        <v>High Contact</v>
      </c>
      <c r="E45" s="1" t="str">
        <f>IF(AND(Raw_Data!G45&gt;200,Raw_Data!H45&gt;100),"High Usage","Normal Usage")</f>
        <v>Normal Usage</v>
      </c>
      <c r="F45" s="1" t="str" cm="1">
        <f t="array" ref="F45">_xlfn.IFS(B45=TRUE,"High Risk",AND(Raw_Data!S45&gt;=3,Raw_Data!G45&gt;200),"High Risk",Raw_Data!S45&gt;=2,"Medium Risk",TRUE,"Low Risk")</f>
        <v>Medium Risk</v>
      </c>
      <c r="G45" s="1" t="str">
        <f>IF(OR(Raw_Data!D45="Yes",Raw_Data!E45="Yes"),"Has Plan","No Special Plan")</f>
        <v>No Special Plan</v>
      </c>
      <c r="H45" s="1" t="str">
        <f>IF(NOT(Raw_Data!S45&gt;=3),"Normal Service Contact","Frequent Service Contact")</f>
        <v>Frequent Service Contact</v>
      </c>
      <c r="I45" s="1" t="str" cm="1">
        <f t="array" ref="I45">_xlfn.SWITCH(Raw_Data!D45,"Yes","International Customer","No","Domestic Plan","Unknown")</f>
        <v>Domestic Plan</v>
      </c>
      <c r="J45" s="1" t="str">
        <f>IF(ISERROR(Raw_Data!G45/0),"Error","Valid")</f>
        <v>Error</v>
      </c>
      <c r="K45" s="1" t="str">
        <f>IF(ISBLANK(Raw_Data!A45),"Missing","Available")</f>
        <v>Available</v>
      </c>
      <c r="L45" s="5" t="str">
        <f>IF(ISNUMBER(Raw_Data!G45),"Numeric","Not Numeric")</f>
        <v>Numeric</v>
      </c>
    </row>
    <row r="46" spans="1:12" x14ac:dyDescent="0.25">
      <c r="A46" s="4" t="str">
        <f>Raw_Data!A46</f>
        <v>NM</v>
      </c>
      <c r="B46" s="1" t="b">
        <f>Raw_Data!T46</f>
        <v>0</v>
      </c>
      <c r="C46" s="1" t="str">
        <f t="shared" si="0"/>
        <v>Retained</v>
      </c>
      <c r="D46" s="1" t="str">
        <f>IF(Raw_Data!S46=0,"Low Contact",IF(Raw_Data!S46&lt;=2,"Normal Contact","High Contact"))</f>
        <v>Normal Contact</v>
      </c>
      <c r="E46" s="1" t="str">
        <f>IF(AND(Raw_Data!G46&gt;200,Raw_Data!H46&gt;100),"High Usage","Normal Usage")</f>
        <v>Normal Usage</v>
      </c>
      <c r="F46" s="1" t="str" cm="1">
        <f t="array" ref="F46">_xlfn.IFS(B46=TRUE,"High Risk",AND(Raw_Data!S46&gt;=3,Raw_Data!G46&gt;200),"High Risk",Raw_Data!S46&gt;=2,"Medium Risk",TRUE,"Low Risk")</f>
        <v>Medium Risk</v>
      </c>
      <c r="G46" s="1" t="str">
        <f>IF(OR(Raw_Data!D46="Yes",Raw_Data!E46="Yes"),"Has Plan","No Special Plan")</f>
        <v>Has Plan</v>
      </c>
      <c r="H46" s="1" t="str">
        <f>IF(NOT(Raw_Data!S46&gt;=3),"Normal Service Contact","Frequent Service Contact")</f>
        <v>Normal Service Contact</v>
      </c>
      <c r="I46" s="1" t="str" cm="1">
        <f t="array" ref="I46">_xlfn.SWITCH(Raw_Data!D46,"Yes","International Customer","No","Domestic Plan","Unknown")</f>
        <v>Domestic Plan</v>
      </c>
      <c r="J46" s="1" t="str">
        <f>IF(ISERROR(Raw_Data!G46/0),"Error","Valid")</f>
        <v>Error</v>
      </c>
      <c r="K46" s="1" t="str">
        <f>IF(ISBLANK(Raw_Data!A46),"Missing","Available")</f>
        <v>Available</v>
      </c>
      <c r="L46" s="5" t="str">
        <f>IF(ISNUMBER(Raw_Data!G46),"Numeric","Not Numeric")</f>
        <v>Numeric</v>
      </c>
    </row>
    <row r="47" spans="1:12" x14ac:dyDescent="0.25">
      <c r="A47" s="4" t="str">
        <f>Raw_Data!A47</f>
        <v>MI</v>
      </c>
      <c r="B47" s="1" t="b">
        <f>Raw_Data!T47</f>
        <v>0</v>
      </c>
      <c r="C47" s="1" t="str">
        <f t="shared" si="0"/>
        <v>Retained</v>
      </c>
      <c r="D47" s="1" t="str">
        <f>IF(Raw_Data!S47=0,"Low Contact",IF(Raw_Data!S47&lt;=2,"Normal Contact","High Contact"))</f>
        <v>Low Contact</v>
      </c>
      <c r="E47" s="1" t="str">
        <f>IF(AND(Raw_Data!G47&gt;200,Raw_Data!H47&gt;100),"High Usage","Normal Usage")</f>
        <v>Normal Usage</v>
      </c>
      <c r="F47" s="1" t="str" cm="1">
        <f t="array" ref="F47">_xlfn.IFS(B47=TRUE,"High Risk",AND(Raw_Data!S47&gt;=3,Raw_Data!G47&gt;200),"High Risk",Raw_Data!S47&gt;=2,"Medium Risk",TRUE,"Low Risk")</f>
        <v>Low Risk</v>
      </c>
      <c r="G47" s="1" t="str">
        <f>IF(OR(Raw_Data!D47="Yes",Raw_Data!E47="Yes"),"Has Plan","No Special Plan")</f>
        <v>Has Plan</v>
      </c>
      <c r="H47" s="1" t="str">
        <f>IF(NOT(Raw_Data!S47&gt;=3),"Normal Service Contact","Frequent Service Contact")</f>
        <v>Normal Service Contact</v>
      </c>
      <c r="I47" s="1" t="str" cm="1">
        <f t="array" ref="I47">_xlfn.SWITCH(Raw_Data!D47,"Yes","International Customer","No","Domestic Plan","Unknown")</f>
        <v>Domestic Plan</v>
      </c>
      <c r="J47" s="1" t="str">
        <f>IF(ISERROR(Raw_Data!G47/0),"Error","Valid")</f>
        <v>Error</v>
      </c>
      <c r="K47" s="1" t="str">
        <f>IF(ISBLANK(Raw_Data!A47),"Missing","Available")</f>
        <v>Available</v>
      </c>
      <c r="L47" s="5" t="str">
        <f>IF(ISNUMBER(Raw_Data!G47),"Numeric","Not Numeric")</f>
        <v>Numeric</v>
      </c>
    </row>
    <row r="48" spans="1:12" x14ac:dyDescent="0.25">
      <c r="A48" s="4" t="str">
        <f>Raw_Data!A48</f>
        <v>FL</v>
      </c>
      <c r="B48" s="1" t="b">
        <f>Raw_Data!T48</f>
        <v>0</v>
      </c>
      <c r="C48" s="1" t="str">
        <f t="shared" si="0"/>
        <v>Retained</v>
      </c>
      <c r="D48" s="1" t="str">
        <f>IF(Raw_Data!S48=0,"Low Contact",IF(Raw_Data!S48&lt;=2,"Normal Contact","High Contact"))</f>
        <v>High Contact</v>
      </c>
      <c r="E48" s="1" t="str">
        <f>IF(AND(Raw_Data!G48&gt;200,Raw_Data!H48&gt;100),"High Usage","Normal Usage")</f>
        <v>Normal Usage</v>
      </c>
      <c r="F48" s="1" t="str" cm="1">
        <f t="array" ref="F48">_xlfn.IFS(B48=TRUE,"High Risk",AND(Raw_Data!S48&gt;=3,Raw_Data!G48&gt;200),"High Risk",Raw_Data!S48&gt;=2,"Medium Risk",TRUE,"Low Risk")</f>
        <v>Medium Risk</v>
      </c>
      <c r="G48" s="1" t="str">
        <f>IF(OR(Raw_Data!D48="Yes",Raw_Data!E48="Yes"),"Has Plan","No Special Plan")</f>
        <v>Has Plan</v>
      </c>
      <c r="H48" s="1" t="str">
        <f>IF(NOT(Raw_Data!S48&gt;=3),"Normal Service Contact","Frequent Service Contact")</f>
        <v>Frequent Service Contact</v>
      </c>
      <c r="I48" s="1" t="str" cm="1">
        <f t="array" ref="I48">_xlfn.SWITCH(Raw_Data!D48,"Yes","International Customer","No","Domestic Plan","Unknown")</f>
        <v>Domestic Plan</v>
      </c>
      <c r="J48" s="1" t="str">
        <f>IF(ISERROR(Raw_Data!G48/0),"Error","Valid")</f>
        <v>Error</v>
      </c>
      <c r="K48" s="1" t="str">
        <f>IF(ISBLANK(Raw_Data!A48),"Missing","Available")</f>
        <v>Available</v>
      </c>
      <c r="L48" s="5" t="str">
        <f>IF(ISNUMBER(Raw_Data!G48),"Numeric","Not Numeric")</f>
        <v>Numeric</v>
      </c>
    </row>
    <row r="49" spans="1:12" x14ac:dyDescent="0.25">
      <c r="A49" s="4" t="str">
        <f>Raw_Data!A49</f>
        <v>KS</v>
      </c>
      <c r="B49" s="1" t="b">
        <f>Raw_Data!T49</f>
        <v>1</v>
      </c>
      <c r="C49" s="1" t="str">
        <f t="shared" si="0"/>
        <v>Churned</v>
      </c>
      <c r="D49" s="1" t="str">
        <f>IF(Raw_Data!S49=0,"Low Contact",IF(Raw_Data!S49&lt;=2,"Normal Contact","High Contact"))</f>
        <v>Normal Contact</v>
      </c>
      <c r="E49" s="1" t="str">
        <f>IF(AND(Raw_Data!G49&gt;200,Raw_Data!H49&gt;100),"High Usage","Normal Usage")</f>
        <v>Normal Usage</v>
      </c>
      <c r="F49" s="1" t="str" cm="1">
        <f t="array" ref="F49">_xlfn.IFS(B49=TRUE,"High Risk",AND(Raw_Data!S49&gt;=3,Raw_Data!G49&gt;200),"High Risk",Raw_Data!S49&gt;=2,"Medium Risk",TRUE,"Low Risk")</f>
        <v>High Risk</v>
      </c>
      <c r="G49" s="1" t="str">
        <f>IF(OR(Raw_Data!D49="Yes",Raw_Data!E49="Yes"),"Has Plan","No Special Plan")</f>
        <v>Has Plan</v>
      </c>
      <c r="H49" s="1" t="str">
        <f>IF(NOT(Raw_Data!S49&gt;=3),"Normal Service Contact","Frequent Service Contact")</f>
        <v>Normal Service Contact</v>
      </c>
      <c r="I49" s="1" t="str" cm="1">
        <f t="array" ref="I49">_xlfn.SWITCH(Raw_Data!D49,"Yes","International Customer","No","Domestic Plan","Unknown")</f>
        <v>International Customer</v>
      </c>
      <c r="J49" s="1" t="str">
        <f>IF(ISERROR(Raw_Data!G49/0),"Error","Valid")</f>
        <v>Error</v>
      </c>
      <c r="K49" s="1" t="str">
        <f>IF(ISBLANK(Raw_Data!A49),"Missing","Available")</f>
        <v>Available</v>
      </c>
      <c r="L49" s="5" t="str">
        <f>IF(ISNUMBER(Raw_Data!G49),"Numeric","Not Numeric")</f>
        <v>Numeric</v>
      </c>
    </row>
    <row r="50" spans="1:12" x14ac:dyDescent="0.25">
      <c r="A50" s="4" t="str">
        <f>Raw_Data!A50</f>
        <v>SC</v>
      </c>
      <c r="B50" s="1" t="b">
        <f>Raw_Data!T50</f>
        <v>0</v>
      </c>
      <c r="C50" s="1" t="str">
        <f t="shared" si="0"/>
        <v>Retained</v>
      </c>
      <c r="D50" s="1" t="str">
        <f>IF(Raw_Data!S50=0,"Low Contact",IF(Raw_Data!S50&lt;=2,"Normal Contact","High Contact"))</f>
        <v>Normal Contact</v>
      </c>
      <c r="E50" s="1" t="str">
        <f>IF(AND(Raw_Data!G50&gt;200,Raw_Data!H50&gt;100),"High Usage","Normal Usage")</f>
        <v>Normal Usage</v>
      </c>
      <c r="F50" s="1" t="str" cm="1">
        <f t="array" ref="F50">_xlfn.IFS(B50=TRUE,"High Risk",AND(Raw_Data!S50&gt;=3,Raw_Data!G50&gt;200),"High Risk",Raw_Data!S50&gt;=2,"Medium Risk",TRUE,"Low Risk")</f>
        <v>Low Risk</v>
      </c>
      <c r="G50" s="1" t="str">
        <f>IF(OR(Raw_Data!D50="Yes",Raw_Data!E50="Yes"),"Has Plan","No Special Plan")</f>
        <v>No Special Plan</v>
      </c>
      <c r="H50" s="1" t="str">
        <f>IF(NOT(Raw_Data!S50&gt;=3),"Normal Service Contact","Frequent Service Contact")</f>
        <v>Normal Service Contact</v>
      </c>
      <c r="I50" s="1" t="str" cm="1">
        <f t="array" ref="I50">_xlfn.SWITCH(Raw_Data!D50,"Yes","International Customer","No","Domestic Plan","Unknown")</f>
        <v>Domestic Plan</v>
      </c>
      <c r="J50" s="1" t="str">
        <f>IF(ISERROR(Raw_Data!G50/0),"Error","Valid")</f>
        <v>Error</v>
      </c>
      <c r="K50" s="1" t="str">
        <f>IF(ISBLANK(Raw_Data!A50),"Missing","Available")</f>
        <v>Available</v>
      </c>
      <c r="L50" s="5" t="str">
        <f>IF(ISNUMBER(Raw_Data!G50),"Numeric","Not Numeric")</f>
        <v>Numeric</v>
      </c>
    </row>
    <row r="51" spans="1:12" x14ac:dyDescent="0.25">
      <c r="A51" s="4" t="str">
        <f>Raw_Data!A51</f>
        <v>NC</v>
      </c>
      <c r="B51" s="1" t="b">
        <f>Raw_Data!T51</f>
        <v>0</v>
      </c>
      <c r="C51" s="1" t="str">
        <f t="shared" si="0"/>
        <v>Retained</v>
      </c>
      <c r="D51" s="1" t="str">
        <f>IF(Raw_Data!S51=0,"Low Contact",IF(Raw_Data!S51&lt;=2,"Normal Contact","High Contact"))</f>
        <v>Normal Contact</v>
      </c>
      <c r="E51" s="1" t="str">
        <f>IF(AND(Raw_Data!G51&gt;200,Raw_Data!H51&gt;100),"High Usage","Normal Usage")</f>
        <v>Normal Usage</v>
      </c>
      <c r="F51" s="1" t="str" cm="1">
        <f t="array" ref="F51">_xlfn.IFS(B51=TRUE,"High Risk",AND(Raw_Data!S51&gt;=3,Raw_Data!G51&gt;200),"High Risk",Raw_Data!S51&gt;=2,"Medium Risk",TRUE,"Low Risk")</f>
        <v>Medium Risk</v>
      </c>
      <c r="G51" s="1" t="str">
        <f>IF(OR(Raw_Data!D51="Yes",Raw_Data!E51="Yes"),"Has Plan","No Special Plan")</f>
        <v>No Special Plan</v>
      </c>
      <c r="H51" s="1" t="str">
        <f>IF(NOT(Raw_Data!S51&gt;=3),"Normal Service Contact","Frequent Service Contact")</f>
        <v>Normal Service Contact</v>
      </c>
      <c r="I51" s="1" t="str" cm="1">
        <f t="array" ref="I51">_xlfn.SWITCH(Raw_Data!D51,"Yes","International Customer","No","Domestic Plan","Unknown")</f>
        <v>Domestic Plan</v>
      </c>
      <c r="J51" s="1" t="str">
        <f>IF(ISERROR(Raw_Data!G51/0),"Error","Valid")</f>
        <v>Error</v>
      </c>
      <c r="K51" s="1" t="str">
        <f>IF(ISBLANK(Raw_Data!A51),"Missing","Available")</f>
        <v>Available</v>
      </c>
      <c r="L51" s="5" t="str">
        <f>IF(ISNUMBER(Raw_Data!G51),"Numeric","Not Numeric")</f>
        <v>Numeric</v>
      </c>
    </row>
    <row r="52" spans="1:12" x14ac:dyDescent="0.25">
      <c r="A52" s="4" t="str">
        <f>Raw_Data!A52</f>
        <v>MO</v>
      </c>
      <c r="B52" s="1" t="b">
        <f>Raw_Data!T52</f>
        <v>0</v>
      </c>
      <c r="C52" s="1" t="str">
        <f t="shared" si="0"/>
        <v>Retained</v>
      </c>
      <c r="D52" s="1" t="str">
        <f>IF(Raw_Data!S52=0,"Low Contact",IF(Raw_Data!S52&lt;=2,"Normal Contact","High Contact"))</f>
        <v>Low Contact</v>
      </c>
      <c r="E52" s="1" t="str">
        <f>IF(AND(Raw_Data!G52&gt;200,Raw_Data!H52&gt;100),"High Usage","Normal Usage")</f>
        <v>Normal Usage</v>
      </c>
      <c r="F52" s="1" t="str" cm="1">
        <f t="array" ref="F52">_xlfn.IFS(B52=TRUE,"High Risk",AND(Raw_Data!S52&gt;=3,Raw_Data!G52&gt;200),"High Risk",Raw_Data!S52&gt;=2,"Medium Risk",TRUE,"Low Risk")</f>
        <v>Low Risk</v>
      </c>
      <c r="G52" s="1" t="str">
        <f>IF(OR(Raw_Data!D52="Yes",Raw_Data!E52="Yes"),"Has Plan","No Special Plan")</f>
        <v>Has Plan</v>
      </c>
      <c r="H52" s="1" t="str">
        <f>IF(NOT(Raw_Data!S52&gt;=3),"Normal Service Contact","Frequent Service Contact")</f>
        <v>Normal Service Contact</v>
      </c>
      <c r="I52" s="1" t="str" cm="1">
        <f t="array" ref="I52">_xlfn.SWITCH(Raw_Data!D52,"Yes","International Customer","No","Domestic Plan","Unknown")</f>
        <v>Domestic Plan</v>
      </c>
      <c r="J52" s="1" t="str">
        <f>IF(ISERROR(Raw_Data!G52/0),"Error","Valid")</f>
        <v>Error</v>
      </c>
      <c r="K52" s="1" t="str">
        <f>IF(ISBLANK(Raw_Data!A52),"Missing","Available")</f>
        <v>Available</v>
      </c>
      <c r="L52" s="5" t="str">
        <f>IF(ISNUMBER(Raw_Data!G52),"Numeric","Not Numeric")</f>
        <v>Numeric</v>
      </c>
    </row>
    <row r="53" spans="1:12" x14ac:dyDescent="0.25">
      <c r="A53" s="4" t="str">
        <f>Raw_Data!A53</f>
        <v>WA</v>
      </c>
      <c r="B53" s="1" t="b">
        <f>Raw_Data!T53</f>
        <v>0</v>
      </c>
      <c r="C53" s="1" t="str">
        <f t="shared" si="0"/>
        <v>Retained</v>
      </c>
      <c r="D53" s="1" t="str">
        <f>IF(Raw_Data!S53=0,"Low Contact",IF(Raw_Data!S53&lt;=2,"Normal Contact","High Contact"))</f>
        <v>High Contact</v>
      </c>
      <c r="E53" s="1" t="str">
        <f>IF(AND(Raw_Data!G53&gt;200,Raw_Data!H53&gt;100),"High Usage","Normal Usage")</f>
        <v>High Usage</v>
      </c>
      <c r="F53" s="1" t="str" cm="1">
        <f t="array" ref="F53">_xlfn.IFS(B53=TRUE,"High Risk",AND(Raw_Data!S53&gt;=3,Raw_Data!G53&gt;200),"High Risk",Raw_Data!S53&gt;=2,"Medium Risk",TRUE,"Low Risk")</f>
        <v>High Risk</v>
      </c>
      <c r="G53" s="1" t="str">
        <f>IF(OR(Raw_Data!D53="Yes",Raw_Data!E53="Yes"),"Has Plan","No Special Plan")</f>
        <v>No Special Plan</v>
      </c>
      <c r="H53" s="1" t="str">
        <f>IF(NOT(Raw_Data!S53&gt;=3),"Normal Service Contact","Frequent Service Contact")</f>
        <v>Frequent Service Contact</v>
      </c>
      <c r="I53" s="1" t="str" cm="1">
        <f t="array" ref="I53">_xlfn.SWITCH(Raw_Data!D53,"Yes","International Customer","No","Domestic Plan","Unknown")</f>
        <v>Domestic Plan</v>
      </c>
      <c r="J53" s="1" t="str">
        <f>IF(ISERROR(Raw_Data!G53/0),"Error","Valid")</f>
        <v>Error</v>
      </c>
      <c r="K53" s="1" t="str">
        <f>IF(ISBLANK(Raw_Data!A53),"Missing","Available")</f>
        <v>Available</v>
      </c>
      <c r="L53" s="5" t="str">
        <f>IF(ISNUMBER(Raw_Data!G53),"Numeric","Not Numeric")</f>
        <v>Numeric</v>
      </c>
    </row>
    <row r="54" spans="1:12" x14ac:dyDescent="0.25">
      <c r="A54" s="4" t="str">
        <f>Raw_Data!A54</f>
        <v>SD</v>
      </c>
      <c r="B54" s="1" t="b">
        <f>Raw_Data!T54</f>
        <v>1</v>
      </c>
      <c r="C54" s="1" t="str">
        <f t="shared" si="0"/>
        <v>Churned</v>
      </c>
      <c r="D54" s="1" t="str">
        <f>IF(Raw_Data!S54=0,"Low Contact",IF(Raw_Data!S54&lt;=2,"Normal Contact","High Contact"))</f>
        <v>Normal Contact</v>
      </c>
      <c r="E54" s="1" t="str">
        <f>IF(AND(Raw_Data!G54&gt;200,Raw_Data!H54&gt;100),"High Usage","Normal Usage")</f>
        <v>Normal Usage</v>
      </c>
      <c r="F54" s="1" t="str" cm="1">
        <f t="array" ref="F54">_xlfn.IFS(B54=TRUE,"High Risk",AND(Raw_Data!S54&gt;=3,Raw_Data!G54&gt;200),"High Risk",Raw_Data!S54&gt;=2,"Medium Risk",TRUE,"Low Risk")</f>
        <v>High Risk</v>
      </c>
      <c r="G54" s="1" t="str">
        <f>IF(OR(Raw_Data!D54="Yes",Raw_Data!E54="Yes"),"Has Plan","No Special Plan")</f>
        <v>Has Plan</v>
      </c>
      <c r="H54" s="1" t="str">
        <f>IF(NOT(Raw_Data!S54&gt;=3),"Normal Service Contact","Frequent Service Contact")</f>
        <v>Normal Service Contact</v>
      </c>
      <c r="I54" s="1" t="str" cm="1">
        <f t="array" ref="I54">_xlfn.SWITCH(Raw_Data!D54,"Yes","International Customer","No","Domestic Plan","Unknown")</f>
        <v>Domestic Plan</v>
      </c>
      <c r="J54" s="1" t="str">
        <f>IF(ISERROR(Raw_Data!G54/0),"Error","Valid")</f>
        <v>Error</v>
      </c>
      <c r="K54" s="1" t="str">
        <f>IF(ISBLANK(Raw_Data!A54),"Missing","Available")</f>
        <v>Available</v>
      </c>
      <c r="L54" s="5" t="str">
        <f>IF(ISNUMBER(Raw_Data!G54),"Numeric","Not Numeric")</f>
        <v>Numeric</v>
      </c>
    </row>
    <row r="55" spans="1:12" x14ac:dyDescent="0.25">
      <c r="A55" s="4" t="str">
        <f>Raw_Data!A55</f>
        <v>MT</v>
      </c>
      <c r="B55" s="1" t="b">
        <f>Raw_Data!T55</f>
        <v>0</v>
      </c>
      <c r="C55" s="1" t="str">
        <f t="shared" si="0"/>
        <v>Retained</v>
      </c>
      <c r="D55" s="1" t="str">
        <f>IF(Raw_Data!S55=0,"Low Contact",IF(Raw_Data!S55&lt;=2,"Normal Contact","High Contact"))</f>
        <v>Normal Contact</v>
      </c>
      <c r="E55" s="1" t="str">
        <f>IF(AND(Raw_Data!G55&gt;200,Raw_Data!H55&gt;100),"High Usage","Normal Usage")</f>
        <v>Normal Usage</v>
      </c>
      <c r="F55" s="1" t="str" cm="1">
        <f t="array" ref="F55">_xlfn.IFS(B55=TRUE,"High Risk",AND(Raw_Data!S55&gt;=3,Raw_Data!G55&gt;200),"High Risk",Raw_Data!S55&gt;=2,"Medium Risk",TRUE,"Low Risk")</f>
        <v>Medium Risk</v>
      </c>
      <c r="G55" s="1" t="str">
        <f>IF(OR(Raw_Data!D55="Yes",Raw_Data!E55="Yes"),"Has Plan","No Special Plan")</f>
        <v>No Special Plan</v>
      </c>
      <c r="H55" s="1" t="str">
        <f>IF(NOT(Raw_Data!S55&gt;=3),"Normal Service Contact","Frequent Service Contact")</f>
        <v>Normal Service Contact</v>
      </c>
      <c r="I55" s="1" t="str" cm="1">
        <f t="array" ref="I55">_xlfn.SWITCH(Raw_Data!D55,"Yes","International Customer","No","Domestic Plan","Unknown")</f>
        <v>Domestic Plan</v>
      </c>
      <c r="J55" s="1" t="str">
        <f>IF(ISERROR(Raw_Data!G55/0),"Error","Valid")</f>
        <v>Error</v>
      </c>
      <c r="K55" s="1" t="str">
        <f>IF(ISBLANK(Raw_Data!A55),"Missing","Available")</f>
        <v>Available</v>
      </c>
      <c r="L55" s="5" t="str">
        <f>IF(ISNUMBER(Raw_Data!G55),"Numeric","Not Numeric")</f>
        <v>Numeric</v>
      </c>
    </row>
    <row r="56" spans="1:12" x14ac:dyDescent="0.25">
      <c r="A56" s="4" t="str">
        <f>Raw_Data!A56</f>
        <v>MN</v>
      </c>
      <c r="B56" s="1" t="b">
        <f>Raw_Data!T56</f>
        <v>0</v>
      </c>
      <c r="C56" s="1" t="str">
        <f t="shared" si="0"/>
        <v>Retained</v>
      </c>
      <c r="D56" s="1" t="str">
        <f>IF(Raw_Data!S56=0,"Low Contact",IF(Raw_Data!S56&lt;=2,"Normal Contact","High Contact"))</f>
        <v>Normal Contact</v>
      </c>
      <c r="E56" s="1" t="str">
        <f>IF(AND(Raw_Data!G56&gt;200,Raw_Data!H56&gt;100),"High Usage","Normal Usage")</f>
        <v>Normal Usage</v>
      </c>
      <c r="F56" s="1" t="str" cm="1">
        <f t="array" ref="F56">_xlfn.IFS(B56=TRUE,"High Risk",AND(Raw_Data!S56&gt;=3,Raw_Data!G56&gt;200),"High Risk",Raw_Data!S56&gt;=2,"Medium Risk",TRUE,"Low Risk")</f>
        <v>Medium Risk</v>
      </c>
      <c r="G56" s="1" t="str">
        <f>IF(OR(Raw_Data!D56="Yes",Raw_Data!E56="Yes"),"Has Plan","No Special Plan")</f>
        <v>No Special Plan</v>
      </c>
      <c r="H56" s="1" t="str">
        <f>IF(NOT(Raw_Data!S56&gt;=3),"Normal Service Contact","Frequent Service Contact")</f>
        <v>Normal Service Contact</v>
      </c>
      <c r="I56" s="1" t="str" cm="1">
        <f t="array" ref="I56">_xlfn.SWITCH(Raw_Data!D56,"Yes","International Customer","No","Domestic Plan","Unknown")</f>
        <v>Domestic Plan</v>
      </c>
      <c r="J56" s="1" t="str">
        <f>IF(ISERROR(Raw_Data!G56/0),"Error","Valid")</f>
        <v>Error</v>
      </c>
      <c r="K56" s="1" t="str">
        <f>IF(ISBLANK(Raw_Data!A56),"Missing","Available")</f>
        <v>Available</v>
      </c>
      <c r="L56" s="5" t="str">
        <f>IF(ISNUMBER(Raw_Data!G56),"Numeric","Not Numeric")</f>
        <v>Numeric</v>
      </c>
    </row>
    <row r="57" spans="1:12" x14ac:dyDescent="0.25">
      <c r="A57" s="4" t="str">
        <f>Raw_Data!A57</f>
        <v>SD</v>
      </c>
      <c r="B57" s="1" t="b">
        <f>Raw_Data!T57</f>
        <v>0</v>
      </c>
      <c r="C57" s="1" t="str">
        <f t="shared" si="0"/>
        <v>Retained</v>
      </c>
      <c r="D57" s="1" t="str">
        <f>IF(Raw_Data!S57=0,"Low Contact",IF(Raw_Data!S57&lt;=2,"Normal Contact","High Contact"))</f>
        <v>Normal Contact</v>
      </c>
      <c r="E57" s="1" t="str">
        <f>IF(AND(Raw_Data!G57&gt;200,Raw_Data!H57&gt;100),"High Usage","Normal Usage")</f>
        <v>Normal Usage</v>
      </c>
      <c r="F57" s="1" t="str" cm="1">
        <f t="array" ref="F57">_xlfn.IFS(B57=TRUE,"High Risk",AND(Raw_Data!S57&gt;=3,Raw_Data!G57&gt;200),"High Risk",Raw_Data!S57&gt;=2,"Medium Risk",TRUE,"Low Risk")</f>
        <v>Medium Risk</v>
      </c>
      <c r="G57" s="1" t="str">
        <f>IF(OR(Raw_Data!D57="Yes",Raw_Data!E57="Yes"),"Has Plan","No Special Plan")</f>
        <v>Has Plan</v>
      </c>
      <c r="H57" s="1" t="str">
        <f>IF(NOT(Raw_Data!S57&gt;=3),"Normal Service Contact","Frequent Service Contact")</f>
        <v>Normal Service Contact</v>
      </c>
      <c r="I57" s="1" t="str" cm="1">
        <f t="array" ref="I57">_xlfn.SWITCH(Raw_Data!D57,"Yes","International Customer","No","Domestic Plan","Unknown")</f>
        <v>Domestic Plan</v>
      </c>
      <c r="J57" s="1" t="str">
        <f>IF(ISERROR(Raw_Data!G57/0),"Error","Valid")</f>
        <v>Error</v>
      </c>
      <c r="K57" s="1" t="str">
        <f>IF(ISBLANK(Raw_Data!A57),"Missing","Available")</f>
        <v>Available</v>
      </c>
      <c r="L57" s="5" t="str">
        <f>IF(ISNUMBER(Raw_Data!G57),"Numeric","Not Numeric")</f>
        <v>Numeric</v>
      </c>
    </row>
    <row r="58" spans="1:12" x14ac:dyDescent="0.25">
      <c r="A58" s="4" t="str">
        <f>Raw_Data!A58</f>
        <v>OK</v>
      </c>
      <c r="B58" s="1" t="b">
        <f>Raw_Data!T58</f>
        <v>1</v>
      </c>
      <c r="C58" s="1" t="str">
        <f t="shared" si="0"/>
        <v>Churned</v>
      </c>
      <c r="D58" s="1" t="str">
        <f>IF(Raw_Data!S58=0,"Low Contact",IF(Raw_Data!S58&lt;=2,"Normal Contact","High Contact"))</f>
        <v>Normal Contact</v>
      </c>
      <c r="E58" s="1" t="str">
        <f>IF(AND(Raw_Data!G58&gt;200,Raw_Data!H58&gt;100),"High Usage","Normal Usage")</f>
        <v>Normal Usage</v>
      </c>
      <c r="F58" s="1" t="str" cm="1">
        <f t="array" ref="F58">_xlfn.IFS(B58=TRUE,"High Risk",AND(Raw_Data!S58&gt;=3,Raw_Data!G58&gt;200),"High Risk",Raw_Data!S58&gt;=2,"Medium Risk",TRUE,"Low Risk")</f>
        <v>High Risk</v>
      </c>
      <c r="G58" s="1" t="str">
        <f>IF(OR(Raw_Data!D58="Yes",Raw_Data!E58="Yes"),"Has Plan","No Special Plan")</f>
        <v>No Special Plan</v>
      </c>
      <c r="H58" s="1" t="str">
        <f>IF(NOT(Raw_Data!S58&gt;=3),"Normal Service Contact","Frequent Service Contact")</f>
        <v>Normal Service Contact</v>
      </c>
      <c r="I58" s="1" t="str" cm="1">
        <f t="array" ref="I58">_xlfn.SWITCH(Raw_Data!D58,"Yes","International Customer","No","Domestic Plan","Unknown")</f>
        <v>Domestic Plan</v>
      </c>
      <c r="J58" s="1" t="str">
        <f>IF(ISERROR(Raw_Data!G58/0),"Error","Valid")</f>
        <v>Error</v>
      </c>
      <c r="K58" s="1" t="str">
        <f>IF(ISBLANK(Raw_Data!A58),"Missing","Available")</f>
        <v>Available</v>
      </c>
      <c r="L58" s="5" t="str">
        <f>IF(ISNUMBER(Raw_Data!G58),"Numeric","Not Numeric")</f>
        <v>Numeric</v>
      </c>
    </row>
    <row r="59" spans="1:12" x14ac:dyDescent="0.25">
      <c r="A59" s="4" t="str">
        <f>Raw_Data!A59</f>
        <v>CT</v>
      </c>
      <c r="B59" s="1" t="b">
        <f>Raw_Data!T59</f>
        <v>0</v>
      </c>
      <c r="C59" s="1" t="str">
        <f t="shared" si="0"/>
        <v>Retained</v>
      </c>
      <c r="D59" s="1" t="str">
        <f>IF(Raw_Data!S59=0,"Low Contact",IF(Raw_Data!S59&lt;=2,"Normal Contact","High Contact"))</f>
        <v>Low Contact</v>
      </c>
      <c r="E59" s="1" t="str">
        <f>IF(AND(Raw_Data!G59&gt;200,Raw_Data!H59&gt;100),"High Usage","Normal Usage")</f>
        <v>High Usage</v>
      </c>
      <c r="F59" s="1" t="str" cm="1">
        <f t="array" ref="F59">_xlfn.IFS(B59=TRUE,"High Risk",AND(Raw_Data!S59&gt;=3,Raw_Data!G59&gt;200),"High Risk",Raw_Data!S59&gt;=2,"Medium Risk",TRUE,"Low Risk")</f>
        <v>Low Risk</v>
      </c>
      <c r="G59" s="1" t="str">
        <f>IF(OR(Raw_Data!D59="Yes",Raw_Data!E59="Yes"),"Has Plan","No Special Plan")</f>
        <v>Has Plan</v>
      </c>
      <c r="H59" s="1" t="str">
        <f>IF(NOT(Raw_Data!S59&gt;=3),"Normal Service Contact","Frequent Service Contact")</f>
        <v>Normal Service Contact</v>
      </c>
      <c r="I59" s="1" t="str" cm="1">
        <f t="array" ref="I59">_xlfn.SWITCH(Raw_Data!D59,"Yes","International Customer","No","Domestic Plan","Unknown")</f>
        <v>Domestic Plan</v>
      </c>
      <c r="J59" s="1" t="str">
        <f>IF(ISERROR(Raw_Data!G59/0),"Error","Valid")</f>
        <v>Error</v>
      </c>
      <c r="K59" s="1" t="str">
        <f>IF(ISBLANK(Raw_Data!A59),"Missing","Available")</f>
        <v>Available</v>
      </c>
      <c r="L59" s="5" t="str">
        <f>IF(ISNUMBER(Raw_Data!G59),"Numeric","Not Numeric")</f>
        <v>Numeric</v>
      </c>
    </row>
    <row r="60" spans="1:12" x14ac:dyDescent="0.25">
      <c r="A60" s="4" t="str">
        <f>Raw_Data!A60</f>
        <v>CT</v>
      </c>
      <c r="B60" s="1" t="b">
        <f>Raw_Data!T60</f>
        <v>1</v>
      </c>
      <c r="C60" s="1" t="str">
        <f t="shared" si="0"/>
        <v>Churned</v>
      </c>
      <c r="D60" s="1" t="str">
        <f>IF(Raw_Data!S60=0,"Low Contact",IF(Raw_Data!S60&lt;=2,"Normal Contact","High Contact"))</f>
        <v>High Contact</v>
      </c>
      <c r="E60" s="1" t="str">
        <f>IF(AND(Raw_Data!G60&gt;200,Raw_Data!H60&gt;100),"High Usage","Normal Usage")</f>
        <v>Normal Usage</v>
      </c>
      <c r="F60" s="1" t="str" cm="1">
        <f t="array" ref="F60">_xlfn.IFS(B60=TRUE,"High Risk",AND(Raw_Data!S60&gt;=3,Raw_Data!G60&gt;200),"High Risk",Raw_Data!S60&gt;=2,"Medium Risk",TRUE,"Low Risk")</f>
        <v>High Risk</v>
      </c>
      <c r="G60" s="1" t="str">
        <f>IF(OR(Raw_Data!D60="Yes",Raw_Data!E60="Yes"),"Has Plan","No Special Plan")</f>
        <v>Has Plan</v>
      </c>
      <c r="H60" s="1" t="str">
        <f>IF(NOT(Raw_Data!S60&gt;=3),"Normal Service Contact","Frequent Service Contact")</f>
        <v>Frequent Service Contact</v>
      </c>
      <c r="I60" s="1" t="str" cm="1">
        <f t="array" ref="I60">_xlfn.SWITCH(Raw_Data!D60,"Yes","International Customer","No","Domestic Plan","Unknown")</f>
        <v>Domestic Plan</v>
      </c>
      <c r="J60" s="1" t="str">
        <f>IF(ISERROR(Raw_Data!G60/0),"Error","Valid")</f>
        <v>Error</v>
      </c>
      <c r="K60" s="1" t="str">
        <f>IF(ISBLANK(Raw_Data!A60),"Missing","Available")</f>
        <v>Available</v>
      </c>
      <c r="L60" s="5" t="str">
        <f>IF(ISNUMBER(Raw_Data!G60),"Numeric","Not Numeric")</f>
        <v>Numeric</v>
      </c>
    </row>
    <row r="61" spans="1:12" x14ac:dyDescent="0.25">
      <c r="A61" s="4" t="str">
        <f>Raw_Data!A61</f>
        <v>MN</v>
      </c>
      <c r="B61" s="1" t="b">
        <f>Raw_Data!T61</f>
        <v>0</v>
      </c>
      <c r="C61" s="1" t="str">
        <f t="shared" si="0"/>
        <v>Retained</v>
      </c>
      <c r="D61" s="1" t="str">
        <f>IF(Raw_Data!S61=0,"Low Contact",IF(Raw_Data!S61&lt;=2,"Normal Contact","High Contact"))</f>
        <v>Normal Contact</v>
      </c>
      <c r="E61" s="1" t="str">
        <f>IF(AND(Raw_Data!G61&gt;200,Raw_Data!H61&gt;100),"High Usage","Normal Usage")</f>
        <v>Normal Usage</v>
      </c>
      <c r="F61" s="1" t="str" cm="1">
        <f t="array" ref="F61">_xlfn.IFS(B61=TRUE,"High Risk",AND(Raw_Data!S61&gt;=3,Raw_Data!G61&gt;200),"High Risk",Raw_Data!S61&gt;=2,"Medium Risk",TRUE,"Low Risk")</f>
        <v>Low Risk</v>
      </c>
      <c r="G61" s="1" t="str">
        <f>IF(OR(Raw_Data!D61="Yes",Raw_Data!E61="Yes"),"Has Plan","No Special Plan")</f>
        <v>No Special Plan</v>
      </c>
      <c r="H61" s="1" t="str">
        <f>IF(NOT(Raw_Data!S61&gt;=3),"Normal Service Contact","Frequent Service Contact")</f>
        <v>Normal Service Contact</v>
      </c>
      <c r="I61" s="1" t="str" cm="1">
        <f t="array" ref="I61">_xlfn.SWITCH(Raw_Data!D61,"Yes","International Customer","No","Domestic Plan","Unknown")</f>
        <v>Domestic Plan</v>
      </c>
      <c r="J61" s="1" t="str">
        <f>IF(ISERROR(Raw_Data!G61/0),"Error","Valid")</f>
        <v>Error</v>
      </c>
      <c r="K61" s="1" t="str">
        <f>IF(ISBLANK(Raw_Data!A61),"Missing","Available")</f>
        <v>Available</v>
      </c>
      <c r="L61" s="5" t="str">
        <f>IF(ISNUMBER(Raw_Data!G61),"Numeric","Not Numeric")</f>
        <v>Numeric</v>
      </c>
    </row>
    <row r="62" spans="1:12" x14ac:dyDescent="0.25">
      <c r="A62" s="4" t="str">
        <f>Raw_Data!A62</f>
        <v>FL</v>
      </c>
      <c r="B62" s="1" t="b">
        <f>Raw_Data!T62</f>
        <v>1</v>
      </c>
      <c r="C62" s="1" t="str">
        <f t="shared" si="0"/>
        <v>Churned</v>
      </c>
      <c r="D62" s="1" t="str">
        <f>IF(Raw_Data!S62=0,"Low Contact",IF(Raw_Data!S62&lt;=2,"Normal Contact","High Contact"))</f>
        <v>Normal Contact</v>
      </c>
      <c r="E62" s="1" t="str">
        <f>IF(AND(Raw_Data!G62&gt;200,Raw_Data!H62&gt;100),"High Usage","Normal Usage")</f>
        <v>High Usage</v>
      </c>
      <c r="F62" s="1" t="str" cm="1">
        <f t="array" ref="F62">_xlfn.IFS(B62=TRUE,"High Risk",AND(Raw_Data!S62&gt;=3,Raw_Data!G62&gt;200),"High Risk",Raw_Data!S62&gt;=2,"Medium Risk",TRUE,"Low Risk")</f>
        <v>High Risk</v>
      </c>
      <c r="G62" s="1" t="str">
        <f>IF(OR(Raw_Data!D62="Yes",Raw_Data!E62="Yes"),"Has Plan","No Special Plan")</f>
        <v>No Special Plan</v>
      </c>
      <c r="H62" s="1" t="str">
        <f>IF(NOT(Raw_Data!S62&gt;=3),"Normal Service Contact","Frequent Service Contact")</f>
        <v>Normal Service Contact</v>
      </c>
      <c r="I62" s="1" t="str" cm="1">
        <f t="array" ref="I62">_xlfn.SWITCH(Raw_Data!D62,"Yes","International Customer","No","Domestic Plan","Unknown")</f>
        <v>Domestic Plan</v>
      </c>
      <c r="J62" s="1" t="str">
        <f>IF(ISERROR(Raw_Data!G62/0),"Error","Valid")</f>
        <v>Error</v>
      </c>
      <c r="K62" s="1" t="str">
        <f>IF(ISBLANK(Raw_Data!A62),"Missing","Available")</f>
        <v>Available</v>
      </c>
      <c r="L62" s="5" t="str">
        <f>IF(ISNUMBER(Raw_Data!G62),"Numeric","Not Numeric")</f>
        <v>Numeric</v>
      </c>
    </row>
    <row r="63" spans="1:12" x14ac:dyDescent="0.25">
      <c r="A63" s="4" t="str">
        <f>Raw_Data!A63</f>
        <v>RI</v>
      </c>
      <c r="B63" s="1" t="b">
        <f>Raw_Data!T63</f>
        <v>1</v>
      </c>
      <c r="C63" s="1" t="str">
        <f t="shared" si="0"/>
        <v>Churned</v>
      </c>
      <c r="D63" s="1" t="str">
        <f>IF(Raw_Data!S63=0,"Low Contact",IF(Raw_Data!S63&lt;=2,"Normal Contact","High Contact"))</f>
        <v>Low Contact</v>
      </c>
      <c r="E63" s="1" t="str">
        <f>IF(AND(Raw_Data!G63&gt;200,Raw_Data!H63&gt;100),"High Usage","Normal Usage")</f>
        <v>Normal Usage</v>
      </c>
      <c r="F63" s="1" t="str" cm="1">
        <f t="array" ref="F63">_xlfn.IFS(B63=TRUE,"High Risk",AND(Raw_Data!S63&gt;=3,Raw_Data!G63&gt;200),"High Risk",Raw_Data!S63&gt;=2,"Medium Risk",TRUE,"Low Risk")</f>
        <v>High Risk</v>
      </c>
      <c r="G63" s="1" t="str">
        <f>IF(OR(Raw_Data!D63="Yes",Raw_Data!E63="Yes"),"Has Plan","No Special Plan")</f>
        <v>No Special Plan</v>
      </c>
      <c r="H63" s="1" t="str">
        <f>IF(NOT(Raw_Data!S63&gt;=3),"Normal Service Contact","Frequent Service Contact")</f>
        <v>Normal Service Contact</v>
      </c>
      <c r="I63" s="1" t="str" cm="1">
        <f t="array" ref="I63">_xlfn.SWITCH(Raw_Data!D63,"Yes","International Customer","No","Domestic Plan","Unknown")</f>
        <v>Domestic Plan</v>
      </c>
      <c r="J63" s="1" t="str">
        <f>IF(ISERROR(Raw_Data!G63/0),"Error","Valid")</f>
        <v>Error</v>
      </c>
      <c r="K63" s="1" t="str">
        <f>IF(ISBLANK(Raw_Data!A63),"Missing","Available")</f>
        <v>Available</v>
      </c>
      <c r="L63" s="5" t="str">
        <f>IF(ISNUMBER(Raw_Data!G63),"Numeric","Not Numeric")</f>
        <v>Numeric</v>
      </c>
    </row>
    <row r="64" spans="1:12" x14ac:dyDescent="0.25">
      <c r="A64" s="4" t="str">
        <f>Raw_Data!A64</f>
        <v>IN</v>
      </c>
      <c r="B64" s="1" t="b">
        <f>Raw_Data!T64</f>
        <v>1</v>
      </c>
      <c r="C64" s="1" t="str">
        <f t="shared" si="0"/>
        <v>Churned</v>
      </c>
      <c r="D64" s="1" t="str">
        <f>IF(Raw_Data!S64=0,"Low Contact",IF(Raw_Data!S64&lt;=2,"Normal Contact","High Contact"))</f>
        <v>High Contact</v>
      </c>
      <c r="E64" s="1" t="str">
        <f>IF(AND(Raw_Data!G64&gt;200,Raw_Data!H64&gt;100),"High Usage","Normal Usage")</f>
        <v>Normal Usage</v>
      </c>
      <c r="F64" s="1" t="str" cm="1">
        <f t="array" ref="F64">_xlfn.IFS(B64=TRUE,"High Risk",AND(Raw_Data!S64&gt;=3,Raw_Data!G64&gt;200),"High Risk",Raw_Data!S64&gt;=2,"Medium Risk",TRUE,"Low Risk")</f>
        <v>High Risk</v>
      </c>
      <c r="G64" s="1" t="str">
        <f>IF(OR(Raw_Data!D64="Yes",Raw_Data!E64="Yes"),"Has Plan","No Special Plan")</f>
        <v>No Special Plan</v>
      </c>
      <c r="H64" s="1" t="str">
        <f>IF(NOT(Raw_Data!S64&gt;=3),"Normal Service Contact","Frequent Service Contact")</f>
        <v>Frequent Service Contact</v>
      </c>
      <c r="I64" s="1" t="str" cm="1">
        <f t="array" ref="I64">_xlfn.SWITCH(Raw_Data!D64,"Yes","International Customer","No","Domestic Plan","Unknown")</f>
        <v>Domestic Plan</v>
      </c>
      <c r="J64" s="1" t="str">
        <f>IF(ISERROR(Raw_Data!G64/0),"Error","Valid")</f>
        <v>Error</v>
      </c>
      <c r="K64" s="1" t="str">
        <f>IF(ISBLANK(Raw_Data!A64),"Missing","Available")</f>
        <v>Available</v>
      </c>
      <c r="L64" s="5" t="str">
        <f>IF(ISNUMBER(Raw_Data!G64),"Numeric","Not Numeric")</f>
        <v>Numeric</v>
      </c>
    </row>
    <row r="65" spans="1:12" x14ac:dyDescent="0.25">
      <c r="A65" s="4" t="str">
        <f>Raw_Data!A65</f>
        <v>AL</v>
      </c>
      <c r="B65" s="1" t="b">
        <f>Raw_Data!T65</f>
        <v>0</v>
      </c>
      <c r="C65" s="1" t="str">
        <f t="shared" si="0"/>
        <v>Retained</v>
      </c>
      <c r="D65" s="1" t="str">
        <f>IF(Raw_Data!S65=0,"Low Contact",IF(Raw_Data!S65&lt;=2,"Normal Contact","High Contact"))</f>
        <v>Normal Contact</v>
      </c>
      <c r="E65" s="1" t="str">
        <f>IF(AND(Raw_Data!G65&gt;200,Raw_Data!H65&gt;100),"High Usage","Normal Usage")</f>
        <v>Normal Usage</v>
      </c>
      <c r="F65" s="1" t="str" cm="1">
        <f t="array" ref="F65">_xlfn.IFS(B65=TRUE,"High Risk",AND(Raw_Data!S65&gt;=3,Raw_Data!G65&gt;200),"High Risk",Raw_Data!S65&gt;=2,"Medium Risk",TRUE,"Low Risk")</f>
        <v>Low Risk</v>
      </c>
      <c r="G65" s="1" t="str">
        <f>IF(OR(Raw_Data!D65="Yes",Raw_Data!E65="Yes"),"Has Plan","No Special Plan")</f>
        <v>Has Plan</v>
      </c>
      <c r="H65" s="1" t="str">
        <f>IF(NOT(Raw_Data!S65&gt;=3),"Normal Service Contact","Frequent Service Contact")</f>
        <v>Normal Service Contact</v>
      </c>
      <c r="I65" s="1" t="str" cm="1">
        <f t="array" ref="I65">_xlfn.SWITCH(Raw_Data!D65,"Yes","International Customer","No","Domestic Plan","Unknown")</f>
        <v>Domestic Plan</v>
      </c>
      <c r="J65" s="1" t="str">
        <f>IF(ISERROR(Raw_Data!G65/0),"Error","Valid")</f>
        <v>Error</v>
      </c>
      <c r="K65" s="1" t="str">
        <f>IF(ISBLANK(Raw_Data!A65),"Missing","Available")</f>
        <v>Available</v>
      </c>
      <c r="L65" s="5" t="str">
        <f>IF(ISNUMBER(Raw_Data!G65),"Numeric","Not Numeric")</f>
        <v>Numeric</v>
      </c>
    </row>
    <row r="66" spans="1:12" x14ac:dyDescent="0.25">
      <c r="A66" s="4" t="str">
        <f>Raw_Data!A66</f>
        <v>OR</v>
      </c>
      <c r="B66" s="1" t="b">
        <f>Raw_Data!T66</f>
        <v>0</v>
      </c>
      <c r="C66" s="1" t="str">
        <f t="shared" si="0"/>
        <v>Retained</v>
      </c>
      <c r="D66" s="1" t="str">
        <f>IF(Raw_Data!S66=0,"Low Contact",IF(Raw_Data!S66&lt;=2,"Normal Contact","High Contact"))</f>
        <v>Normal Contact</v>
      </c>
      <c r="E66" s="1" t="str">
        <f>IF(AND(Raw_Data!G66&gt;200,Raw_Data!H66&gt;100),"High Usage","Normal Usage")</f>
        <v>High Usage</v>
      </c>
      <c r="F66" s="1" t="str" cm="1">
        <f t="array" ref="F66">_xlfn.IFS(B66=TRUE,"High Risk",AND(Raw_Data!S66&gt;=3,Raw_Data!G66&gt;200),"High Risk",Raw_Data!S66&gt;=2,"Medium Risk",TRUE,"Low Risk")</f>
        <v>Medium Risk</v>
      </c>
      <c r="G66" s="1" t="str">
        <f>IF(OR(Raw_Data!D66="Yes",Raw_Data!E66="Yes"),"Has Plan","No Special Plan")</f>
        <v>No Special Plan</v>
      </c>
      <c r="H66" s="1" t="str">
        <f>IF(NOT(Raw_Data!S66&gt;=3),"Normal Service Contact","Frequent Service Contact")</f>
        <v>Normal Service Contact</v>
      </c>
      <c r="I66" s="1" t="str" cm="1">
        <f t="array" ref="I66">_xlfn.SWITCH(Raw_Data!D66,"Yes","International Customer","No","Domestic Plan","Unknown")</f>
        <v>Domestic Plan</v>
      </c>
      <c r="J66" s="1" t="str">
        <f>IF(ISERROR(Raw_Data!G66/0),"Error","Valid")</f>
        <v>Error</v>
      </c>
      <c r="K66" s="1" t="str">
        <f>IF(ISBLANK(Raw_Data!A66),"Missing","Available")</f>
        <v>Available</v>
      </c>
      <c r="L66" s="5" t="str">
        <f>IF(ISNUMBER(Raw_Data!G66),"Numeric","Not Numeric")</f>
        <v>Numeric</v>
      </c>
    </row>
    <row r="67" spans="1:12" x14ac:dyDescent="0.25">
      <c r="A67" s="4" t="str">
        <f>Raw_Data!A67</f>
        <v>MS</v>
      </c>
      <c r="B67" s="1" t="b">
        <f>Raw_Data!T67</f>
        <v>1</v>
      </c>
      <c r="C67" s="1" t="str">
        <f t="shared" ref="C67:C130" si="1">IF(B67=TRUE,"Churned","Retained")</f>
        <v>Churned</v>
      </c>
      <c r="D67" s="1" t="str">
        <f>IF(Raw_Data!S67=0,"Low Contact",IF(Raw_Data!S67&lt;=2,"Normal Contact","High Contact"))</f>
        <v>Normal Contact</v>
      </c>
      <c r="E67" s="1" t="str">
        <f>IF(AND(Raw_Data!G67&gt;200,Raw_Data!H67&gt;100),"High Usage","Normal Usage")</f>
        <v>Normal Usage</v>
      </c>
      <c r="F67" s="1" t="str" cm="1">
        <f t="array" ref="F67">_xlfn.IFS(B67=TRUE,"High Risk",AND(Raw_Data!S67&gt;=3,Raw_Data!G67&gt;200),"High Risk",Raw_Data!S67&gt;=2,"Medium Risk",TRUE,"Low Risk")</f>
        <v>High Risk</v>
      </c>
      <c r="G67" s="1" t="str">
        <f>IF(OR(Raw_Data!D67="Yes",Raw_Data!E67="Yes"),"Has Plan","No Special Plan")</f>
        <v>Has Plan</v>
      </c>
      <c r="H67" s="1" t="str">
        <f>IF(NOT(Raw_Data!S67&gt;=3),"Normal Service Contact","Frequent Service Contact")</f>
        <v>Normal Service Contact</v>
      </c>
      <c r="I67" s="1" t="str" cm="1">
        <f t="array" ref="I67">_xlfn.SWITCH(Raw_Data!D67,"Yes","International Customer","No","Domestic Plan","Unknown")</f>
        <v>International Customer</v>
      </c>
      <c r="J67" s="1" t="str">
        <f>IF(ISERROR(Raw_Data!G67/0),"Error","Valid")</f>
        <v>Error</v>
      </c>
      <c r="K67" s="1" t="str">
        <f>IF(ISBLANK(Raw_Data!A67),"Missing","Available")</f>
        <v>Available</v>
      </c>
      <c r="L67" s="5" t="str">
        <f>IF(ISNUMBER(Raw_Data!G67),"Numeric","Not Numeric")</f>
        <v>Numeric</v>
      </c>
    </row>
    <row r="68" spans="1:12" x14ac:dyDescent="0.25">
      <c r="A68" s="4" t="str">
        <f>Raw_Data!A68</f>
        <v>CA</v>
      </c>
      <c r="B68" s="1" t="b">
        <f>Raw_Data!T68</f>
        <v>0</v>
      </c>
      <c r="C68" s="1" t="str">
        <f t="shared" si="1"/>
        <v>Retained</v>
      </c>
      <c r="D68" s="1" t="str">
        <f>IF(Raw_Data!S68=0,"Low Contact",IF(Raw_Data!S68&lt;=2,"Normal Contact","High Contact"))</f>
        <v>Normal Contact</v>
      </c>
      <c r="E68" s="1" t="str">
        <f>IF(AND(Raw_Data!G68&gt;200,Raw_Data!H68&gt;100),"High Usage","Normal Usage")</f>
        <v>Normal Usage</v>
      </c>
      <c r="F68" s="1" t="str" cm="1">
        <f t="array" ref="F68">_xlfn.IFS(B68=TRUE,"High Risk",AND(Raw_Data!S68&gt;=3,Raw_Data!G68&gt;200),"High Risk",Raw_Data!S68&gt;=2,"Medium Risk",TRUE,"Low Risk")</f>
        <v>Low Risk</v>
      </c>
      <c r="G68" s="1" t="str">
        <f>IF(OR(Raw_Data!D68="Yes",Raw_Data!E68="Yes"),"Has Plan","No Special Plan")</f>
        <v>Has Plan</v>
      </c>
      <c r="H68" s="1" t="str">
        <f>IF(NOT(Raw_Data!S68&gt;=3),"Normal Service Contact","Frequent Service Contact")</f>
        <v>Normal Service Contact</v>
      </c>
      <c r="I68" s="1" t="str" cm="1">
        <f t="array" ref="I68">_xlfn.SWITCH(Raw_Data!D68,"Yes","International Customer","No","Domestic Plan","Unknown")</f>
        <v>International Customer</v>
      </c>
      <c r="J68" s="1" t="str">
        <f>IF(ISERROR(Raw_Data!G68/0),"Error","Valid")</f>
        <v>Error</v>
      </c>
      <c r="K68" s="1" t="str">
        <f>IF(ISBLANK(Raw_Data!A68),"Missing","Available")</f>
        <v>Available</v>
      </c>
      <c r="L68" s="5" t="str">
        <f>IF(ISNUMBER(Raw_Data!G68),"Numeric","Not Numeric")</f>
        <v>Numeric</v>
      </c>
    </row>
    <row r="69" spans="1:12" x14ac:dyDescent="0.25">
      <c r="A69" s="4" t="str">
        <f>Raw_Data!A69</f>
        <v>DE</v>
      </c>
      <c r="B69" s="1" t="b">
        <f>Raw_Data!T69</f>
        <v>0</v>
      </c>
      <c r="C69" s="1" t="str">
        <f t="shared" si="1"/>
        <v>Retained</v>
      </c>
      <c r="D69" s="1" t="str">
        <f>IF(Raw_Data!S69=0,"Low Contact",IF(Raw_Data!S69&lt;=2,"Normal Contact","High Contact"))</f>
        <v>Low Contact</v>
      </c>
      <c r="E69" s="1" t="str">
        <f>IF(AND(Raw_Data!G69&gt;200,Raw_Data!H69&gt;100),"High Usage","Normal Usage")</f>
        <v>Normal Usage</v>
      </c>
      <c r="F69" s="1" t="str" cm="1">
        <f t="array" ref="F69">_xlfn.IFS(B69=TRUE,"High Risk",AND(Raw_Data!S69&gt;=3,Raw_Data!G69&gt;200),"High Risk",Raw_Data!S69&gt;=2,"Medium Risk",TRUE,"Low Risk")</f>
        <v>Low Risk</v>
      </c>
      <c r="G69" s="1" t="str">
        <f>IF(OR(Raw_Data!D69="Yes",Raw_Data!E69="Yes"),"Has Plan","No Special Plan")</f>
        <v>No Special Plan</v>
      </c>
      <c r="H69" s="1" t="str">
        <f>IF(NOT(Raw_Data!S69&gt;=3),"Normal Service Contact","Frequent Service Contact")</f>
        <v>Normal Service Contact</v>
      </c>
      <c r="I69" s="1" t="str" cm="1">
        <f t="array" ref="I69">_xlfn.SWITCH(Raw_Data!D69,"Yes","International Customer","No","Domestic Plan","Unknown")</f>
        <v>Domestic Plan</v>
      </c>
      <c r="J69" s="1" t="str">
        <f>IF(ISERROR(Raw_Data!G69/0),"Error","Valid")</f>
        <v>Error</v>
      </c>
      <c r="K69" s="1" t="str">
        <f>IF(ISBLANK(Raw_Data!A69),"Missing","Available")</f>
        <v>Available</v>
      </c>
      <c r="L69" s="5" t="str">
        <f>IF(ISNUMBER(Raw_Data!G69),"Numeric","Not Numeric")</f>
        <v>Numeric</v>
      </c>
    </row>
    <row r="70" spans="1:12" x14ac:dyDescent="0.25">
      <c r="A70" s="4" t="str">
        <f>Raw_Data!A70</f>
        <v>MS</v>
      </c>
      <c r="B70" s="1" t="b">
        <f>Raw_Data!T70</f>
        <v>0</v>
      </c>
      <c r="C70" s="1" t="str">
        <f t="shared" si="1"/>
        <v>Retained</v>
      </c>
      <c r="D70" s="1" t="str">
        <f>IF(Raw_Data!S70=0,"Low Contact",IF(Raw_Data!S70&lt;=2,"Normal Contact","High Contact"))</f>
        <v>Normal Contact</v>
      </c>
      <c r="E70" s="1" t="str">
        <f>IF(AND(Raw_Data!G70&gt;200,Raw_Data!H70&gt;100),"High Usage","Normal Usage")</f>
        <v>Normal Usage</v>
      </c>
      <c r="F70" s="1" t="str" cm="1">
        <f t="array" ref="F70">_xlfn.IFS(B70=TRUE,"High Risk",AND(Raw_Data!S70&gt;=3,Raw_Data!G70&gt;200),"High Risk",Raw_Data!S70&gt;=2,"Medium Risk",TRUE,"Low Risk")</f>
        <v>Medium Risk</v>
      </c>
      <c r="G70" s="1" t="str">
        <f>IF(OR(Raw_Data!D70="Yes",Raw_Data!E70="Yes"),"Has Plan","No Special Plan")</f>
        <v>No Special Plan</v>
      </c>
      <c r="H70" s="1" t="str">
        <f>IF(NOT(Raw_Data!S70&gt;=3),"Normal Service Contact","Frequent Service Contact")</f>
        <v>Normal Service Contact</v>
      </c>
      <c r="I70" s="1" t="str" cm="1">
        <f t="array" ref="I70">_xlfn.SWITCH(Raw_Data!D70,"Yes","International Customer","No","Domestic Plan","Unknown")</f>
        <v>Domestic Plan</v>
      </c>
      <c r="J70" s="1" t="str">
        <f>IF(ISERROR(Raw_Data!G70/0),"Error","Valid")</f>
        <v>Error</v>
      </c>
      <c r="K70" s="1" t="str">
        <f>IF(ISBLANK(Raw_Data!A70),"Missing","Available")</f>
        <v>Available</v>
      </c>
      <c r="L70" s="5" t="str">
        <f>IF(ISNUMBER(Raw_Data!G70),"Numeric","Not Numeric")</f>
        <v>Numeric</v>
      </c>
    </row>
    <row r="71" spans="1:12" x14ac:dyDescent="0.25">
      <c r="A71" s="4" t="str">
        <f>Raw_Data!A71</f>
        <v>NC</v>
      </c>
      <c r="B71" s="1" t="b">
        <f>Raw_Data!T71</f>
        <v>0</v>
      </c>
      <c r="C71" s="1" t="str">
        <f t="shared" si="1"/>
        <v>Retained</v>
      </c>
      <c r="D71" s="1" t="str">
        <f>IF(Raw_Data!S71=0,"Low Contact",IF(Raw_Data!S71&lt;=2,"Normal Contact","High Contact"))</f>
        <v>Normal Contact</v>
      </c>
      <c r="E71" s="1" t="str">
        <f>IF(AND(Raw_Data!G71&gt;200,Raw_Data!H71&gt;100),"High Usage","Normal Usage")</f>
        <v>Normal Usage</v>
      </c>
      <c r="F71" s="1" t="str" cm="1">
        <f t="array" ref="F71">_xlfn.IFS(B71=TRUE,"High Risk",AND(Raw_Data!S71&gt;=3,Raw_Data!G71&gt;200),"High Risk",Raw_Data!S71&gt;=2,"Medium Risk",TRUE,"Low Risk")</f>
        <v>Low Risk</v>
      </c>
      <c r="G71" s="1" t="str">
        <f>IF(OR(Raw_Data!D71="Yes",Raw_Data!E71="Yes"),"Has Plan","No Special Plan")</f>
        <v>No Special Plan</v>
      </c>
      <c r="H71" s="1" t="str">
        <f>IF(NOT(Raw_Data!S71&gt;=3),"Normal Service Contact","Frequent Service Contact")</f>
        <v>Normal Service Contact</v>
      </c>
      <c r="I71" s="1" t="str" cm="1">
        <f t="array" ref="I71">_xlfn.SWITCH(Raw_Data!D71,"Yes","International Customer","No","Domestic Plan","Unknown")</f>
        <v>Domestic Plan</v>
      </c>
      <c r="J71" s="1" t="str">
        <f>IF(ISERROR(Raw_Data!G71/0),"Error","Valid")</f>
        <v>Error</v>
      </c>
      <c r="K71" s="1" t="str">
        <f>IF(ISBLANK(Raw_Data!A71),"Missing","Available")</f>
        <v>Available</v>
      </c>
      <c r="L71" s="5" t="str">
        <f>IF(ISNUMBER(Raw_Data!G71),"Numeric","Not Numeric")</f>
        <v>Numeric</v>
      </c>
    </row>
    <row r="72" spans="1:12" x14ac:dyDescent="0.25">
      <c r="A72" s="4" t="str">
        <f>Raw_Data!A72</f>
        <v>SD</v>
      </c>
      <c r="B72" s="1" t="b">
        <f>Raw_Data!T72</f>
        <v>0</v>
      </c>
      <c r="C72" s="1" t="str">
        <f t="shared" si="1"/>
        <v>Retained</v>
      </c>
      <c r="D72" s="1" t="str">
        <f>IF(Raw_Data!S72=0,"Low Contact",IF(Raw_Data!S72&lt;=2,"Normal Contact","High Contact"))</f>
        <v>Low Contact</v>
      </c>
      <c r="E72" s="1" t="str">
        <f>IF(AND(Raw_Data!G72&gt;200,Raw_Data!H72&gt;100),"High Usage","Normal Usage")</f>
        <v>High Usage</v>
      </c>
      <c r="F72" s="1" t="str" cm="1">
        <f t="array" ref="F72">_xlfn.IFS(B72=TRUE,"High Risk",AND(Raw_Data!S72&gt;=3,Raw_Data!G72&gt;200),"High Risk",Raw_Data!S72&gt;=2,"Medium Risk",TRUE,"Low Risk")</f>
        <v>Low Risk</v>
      </c>
      <c r="G72" s="1" t="str">
        <f>IF(OR(Raw_Data!D72="Yes",Raw_Data!E72="Yes"),"Has Plan","No Special Plan")</f>
        <v>Has Plan</v>
      </c>
      <c r="H72" s="1" t="str">
        <f>IF(NOT(Raw_Data!S72&gt;=3),"Normal Service Contact","Frequent Service Contact")</f>
        <v>Normal Service Contact</v>
      </c>
      <c r="I72" s="1" t="str" cm="1">
        <f t="array" ref="I72">_xlfn.SWITCH(Raw_Data!D72,"Yes","International Customer","No","Domestic Plan","Unknown")</f>
        <v>Domestic Plan</v>
      </c>
      <c r="J72" s="1" t="str">
        <f>IF(ISERROR(Raw_Data!G72/0),"Error","Valid")</f>
        <v>Error</v>
      </c>
      <c r="K72" s="1" t="str">
        <f>IF(ISBLANK(Raw_Data!A72),"Missing","Available")</f>
        <v>Available</v>
      </c>
      <c r="L72" s="5" t="str">
        <f>IF(ISNUMBER(Raw_Data!G72),"Numeric","Not Numeric")</f>
        <v>Numeric</v>
      </c>
    </row>
    <row r="73" spans="1:12" x14ac:dyDescent="0.25">
      <c r="A73" s="4" t="str">
        <f>Raw_Data!A73</f>
        <v>NH</v>
      </c>
      <c r="B73" s="1" t="b">
        <f>Raw_Data!T73</f>
        <v>0</v>
      </c>
      <c r="C73" s="1" t="str">
        <f t="shared" si="1"/>
        <v>Retained</v>
      </c>
      <c r="D73" s="1" t="str">
        <f>IF(Raw_Data!S73=0,"Low Contact",IF(Raw_Data!S73&lt;=2,"Normal Contact","High Contact"))</f>
        <v>Normal Contact</v>
      </c>
      <c r="E73" s="1" t="str">
        <f>IF(AND(Raw_Data!G73&gt;200,Raw_Data!H73&gt;100),"High Usage","Normal Usage")</f>
        <v>High Usage</v>
      </c>
      <c r="F73" s="1" t="str" cm="1">
        <f t="array" ref="F73">_xlfn.IFS(B73=TRUE,"High Risk",AND(Raw_Data!S73&gt;=3,Raw_Data!G73&gt;200),"High Risk",Raw_Data!S73&gt;=2,"Medium Risk",TRUE,"Low Risk")</f>
        <v>Low Risk</v>
      </c>
      <c r="G73" s="1" t="str">
        <f>IF(OR(Raw_Data!D73="Yes",Raw_Data!E73="Yes"),"Has Plan","No Special Plan")</f>
        <v>No Special Plan</v>
      </c>
      <c r="H73" s="1" t="str">
        <f>IF(NOT(Raw_Data!S73&gt;=3),"Normal Service Contact","Frequent Service Contact")</f>
        <v>Normal Service Contact</v>
      </c>
      <c r="I73" s="1" t="str" cm="1">
        <f t="array" ref="I73">_xlfn.SWITCH(Raw_Data!D73,"Yes","International Customer","No","Domestic Plan","Unknown")</f>
        <v>Domestic Plan</v>
      </c>
      <c r="J73" s="1" t="str">
        <f>IF(ISERROR(Raw_Data!G73/0),"Error","Valid")</f>
        <v>Error</v>
      </c>
      <c r="K73" s="1" t="str">
        <f>IF(ISBLANK(Raw_Data!A73),"Missing","Available")</f>
        <v>Available</v>
      </c>
      <c r="L73" s="5" t="str">
        <f>IF(ISNUMBER(Raw_Data!G73),"Numeric","Not Numeric")</f>
        <v>Numeric</v>
      </c>
    </row>
    <row r="74" spans="1:12" x14ac:dyDescent="0.25">
      <c r="A74" s="4" t="str">
        <f>Raw_Data!A74</f>
        <v>MA</v>
      </c>
      <c r="B74" s="1" t="b">
        <f>Raw_Data!T74</f>
        <v>0</v>
      </c>
      <c r="C74" s="1" t="str">
        <f t="shared" si="1"/>
        <v>Retained</v>
      </c>
      <c r="D74" s="1" t="str">
        <f>IF(Raw_Data!S74=0,"Low Contact",IF(Raw_Data!S74&lt;=2,"Normal Contact","High Contact"))</f>
        <v>Low Contact</v>
      </c>
      <c r="E74" s="1" t="str">
        <f>IF(AND(Raw_Data!G74&gt;200,Raw_Data!H74&gt;100),"High Usage","Normal Usage")</f>
        <v>Normal Usage</v>
      </c>
      <c r="F74" s="1" t="str" cm="1">
        <f t="array" ref="F74">_xlfn.IFS(B74=TRUE,"High Risk",AND(Raw_Data!S74&gt;=3,Raw_Data!G74&gt;200),"High Risk",Raw_Data!S74&gt;=2,"Medium Risk",TRUE,"Low Risk")</f>
        <v>Low Risk</v>
      </c>
      <c r="G74" s="1" t="str">
        <f>IF(OR(Raw_Data!D74="Yes",Raw_Data!E74="Yes"),"Has Plan","No Special Plan")</f>
        <v>No Special Plan</v>
      </c>
      <c r="H74" s="1" t="str">
        <f>IF(NOT(Raw_Data!S74&gt;=3),"Normal Service Contact","Frequent Service Contact")</f>
        <v>Normal Service Contact</v>
      </c>
      <c r="I74" s="1" t="str" cm="1">
        <f t="array" ref="I74">_xlfn.SWITCH(Raw_Data!D74,"Yes","International Customer","No","Domestic Plan","Unknown")</f>
        <v>Domestic Plan</v>
      </c>
      <c r="J74" s="1" t="str">
        <f>IF(ISERROR(Raw_Data!G74/0),"Error","Valid")</f>
        <v>Error</v>
      </c>
      <c r="K74" s="1" t="str">
        <f>IF(ISBLANK(Raw_Data!A74),"Missing","Available")</f>
        <v>Available</v>
      </c>
      <c r="L74" s="5" t="str">
        <f>IF(ISNUMBER(Raw_Data!G74),"Numeric","Not Numeric")</f>
        <v>Numeric</v>
      </c>
    </row>
    <row r="75" spans="1:12" x14ac:dyDescent="0.25">
      <c r="A75" s="4" t="str">
        <f>Raw_Data!A75</f>
        <v>TX</v>
      </c>
      <c r="B75" s="1" t="b">
        <f>Raw_Data!T75</f>
        <v>0</v>
      </c>
      <c r="C75" s="1" t="str">
        <f t="shared" si="1"/>
        <v>Retained</v>
      </c>
      <c r="D75" s="1" t="str">
        <f>IF(Raw_Data!S75=0,"Low Contact",IF(Raw_Data!S75&lt;=2,"Normal Contact","High Contact"))</f>
        <v>Low Contact</v>
      </c>
      <c r="E75" s="1" t="str">
        <f>IF(AND(Raw_Data!G75&gt;200,Raw_Data!H75&gt;100),"High Usage","Normal Usage")</f>
        <v>Normal Usage</v>
      </c>
      <c r="F75" s="1" t="str" cm="1">
        <f t="array" ref="F75">_xlfn.IFS(B75=TRUE,"High Risk",AND(Raw_Data!S75&gt;=3,Raw_Data!G75&gt;200),"High Risk",Raw_Data!S75&gt;=2,"Medium Risk",TRUE,"Low Risk")</f>
        <v>Low Risk</v>
      </c>
      <c r="G75" s="1" t="str">
        <f>IF(OR(Raw_Data!D75="Yes",Raw_Data!E75="Yes"),"Has Plan","No Special Plan")</f>
        <v>No Special Plan</v>
      </c>
      <c r="H75" s="1" t="str">
        <f>IF(NOT(Raw_Data!S75&gt;=3),"Normal Service Contact","Frequent Service Contact")</f>
        <v>Normal Service Contact</v>
      </c>
      <c r="I75" s="1" t="str" cm="1">
        <f t="array" ref="I75">_xlfn.SWITCH(Raw_Data!D75,"Yes","International Customer","No","Domestic Plan","Unknown")</f>
        <v>Domestic Plan</v>
      </c>
      <c r="J75" s="1" t="str">
        <f>IF(ISERROR(Raw_Data!G75/0),"Error","Valid")</f>
        <v>Error</v>
      </c>
      <c r="K75" s="1" t="str">
        <f>IF(ISBLANK(Raw_Data!A75),"Missing","Available")</f>
        <v>Available</v>
      </c>
      <c r="L75" s="5" t="str">
        <f>IF(ISNUMBER(Raw_Data!G75),"Numeric","Not Numeric")</f>
        <v>Numeric</v>
      </c>
    </row>
    <row r="76" spans="1:12" x14ac:dyDescent="0.25">
      <c r="A76" s="4" t="str">
        <f>Raw_Data!A76</f>
        <v>OR</v>
      </c>
      <c r="B76" s="1" t="b">
        <f>Raw_Data!T76</f>
        <v>1</v>
      </c>
      <c r="C76" s="1" t="str">
        <f t="shared" si="1"/>
        <v>Churned</v>
      </c>
      <c r="D76" s="1" t="str">
        <f>IF(Raw_Data!S76=0,"Low Contact",IF(Raw_Data!S76&lt;=2,"Normal Contact","High Contact"))</f>
        <v>Normal Contact</v>
      </c>
      <c r="E76" s="1" t="str">
        <f>IF(AND(Raw_Data!G76&gt;200,Raw_Data!H76&gt;100),"High Usage","Normal Usage")</f>
        <v>High Usage</v>
      </c>
      <c r="F76" s="1" t="str" cm="1">
        <f t="array" ref="F76">_xlfn.IFS(B76=TRUE,"High Risk",AND(Raw_Data!S76&gt;=3,Raw_Data!G76&gt;200),"High Risk",Raw_Data!S76&gt;=2,"Medium Risk",TRUE,"Low Risk")</f>
        <v>High Risk</v>
      </c>
      <c r="G76" s="1" t="str">
        <f>IF(OR(Raw_Data!D76="Yes",Raw_Data!E76="Yes"),"Has Plan","No Special Plan")</f>
        <v>No Special Plan</v>
      </c>
      <c r="H76" s="1" t="str">
        <f>IF(NOT(Raw_Data!S76&gt;=3),"Normal Service Contact","Frequent Service Contact")</f>
        <v>Normal Service Contact</v>
      </c>
      <c r="I76" s="1" t="str" cm="1">
        <f t="array" ref="I76">_xlfn.SWITCH(Raw_Data!D76,"Yes","International Customer","No","Domestic Plan","Unknown")</f>
        <v>Domestic Plan</v>
      </c>
      <c r="J76" s="1" t="str">
        <f>IF(ISERROR(Raw_Data!G76/0),"Error","Valid")</f>
        <v>Error</v>
      </c>
      <c r="K76" s="1" t="str">
        <f>IF(ISBLANK(Raw_Data!A76),"Missing","Available")</f>
        <v>Available</v>
      </c>
      <c r="L76" s="5" t="str">
        <f>IF(ISNUMBER(Raw_Data!G76),"Numeric","Not Numeric")</f>
        <v>Numeric</v>
      </c>
    </row>
    <row r="77" spans="1:12" x14ac:dyDescent="0.25">
      <c r="A77" s="4" t="str">
        <f>Raw_Data!A77</f>
        <v>UT</v>
      </c>
      <c r="B77" s="1" t="b">
        <f>Raw_Data!T77</f>
        <v>0</v>
      </c>
      <c r="C77" s="1" t="str">
        <f t="shared" si="1"/>
        <v>Retained</v>
      </c>
      <c r="D77" s="1" t="str">
        <f>IF(Raw_Data!S77=0,"Low Contact",IF(Raw_Data!S77&lt;=2,"Normal Contact","High Contact"))</f>
        <v>Normal Contact</v>
      </c>
      <c r="E77" s="1" t="str">
        <f>IF(AND(Raw_Data!G77&gt;200,Raw_Data!H77&gt;100),"High Usage","Normal Usage")</f>
        <v>Normal Usage</v>
      </c>
      <c r="F77" s="1" t="str" cm="1">
        <f t="array" ref="F77">_xlfn.IFS(B77=TRUE,"High Risk",AND(Raw_Data!S77&gt;=3,Raw_Data!G77&gt;200),"High Risk",Raw_Data!S77&gt;=2,"Medium Risk",TRUE,"Low Risk")</f>
        <v>Low Risk</v>
      </c>
      <c r="G77" s="1" t="str">
        <f>IF(OR(Raw_Data!D77="Yes",Raw_Data!E77="Yes"),"Has Plan","No Special Plan")</f>
        <v>Has Plan</v>
      </c>
      <c r="H77" s="1" t="str">
        <f>IF(NOT(Raw_Data!S77&gt;=3),"Normal Service Contact","Frequent Service Contact")</f>
        <v>Normal Service Contact</v>
      </c>
      <c r="I77" s="1" t="str" cm="1">
        <f t="array" ref="I77">_xlfn.SWITCH(Raw_Data!D77,"Yes","International Customer","No","Domestic Plan","Unknown")</f>
        <v>Domestic Plan</v>
      </c>
      <c r="J77" s="1" t="str">
        <f>IF(ISERROR(Raw_Data!G77/0),"Error","Valid")</f>
        <v>Error</v>
      </c>
      <c r="K77" s="1" t="str">
        <f>IF(ISBLANK(Raw_Data!A77),"Missing","Available")</f>
        <v>Available</v>
      </c>
      <c r="L77" s="5" t="str">
        <f>IF(ISNUMBER(Raw_Data!G77),"Numeric","Not Numeric")</f>
        <v>Numeric</v>
      </c>
    </row>
    <row r="78" spans="1:12" x14ac:dyDescent="0.25">
      <c r="A78" s="4" t="str">
        <f>Raw_Data!A78</f>
        <v>NV</v>
      </c>
      <c r="B78" s="1" t="b">
        <f>Raw_Data!T78</f>
        <v>0</v>
      </c>
      <c r="C78" s="1" t="str">
        <f t="shared" si="1"/>
        <v>Retained</v>
      </c>
      <c r="D78" s="1" t="str">
        <f>IF(Raw_Data!S78=0,"Low Contact",IF(Raw_Data!S78&lt;=2,"Normal Contact","High Contact"))</f>
        <v>Normal Contact</v>
      </c>
      <c r="E78" s="1" t="str">
        <f>IF(AND(Raw_Data!G78&gt;200,Raw_Data!H78&gt;100),"High Usage","Normal Usage")</f>
        <v>Normal Usage</v>
      </c>
      <c r="F78" s="1" t="str" cm="1">
        <f t="array" ref="F78">_xlfn.IFS(B78=TRUE,"High Risk",AND(Raw_Data!S78&gt;=3,Raw_Data!G78&gt;200),"High Risk",Raw_Data!S78&gt;=2,"Medium Risk",TRUE,"Low Risk")</f>
        <v>Medium Risk</v>
      </c>
      <c r="G78" s="1" t="str">
        <f>IF(OR(Raw_Data!D78="Yes",Raw_Data!E78="Yes"),"Has Plan","No Special Plan")</f>
        <v>No Special Plan</v>
      </c>
      <c r="H78" s="1" t="str">
        <f>IF(NOT(Raw_Data!S78&gt;=3),"Normal Service Contact","Frequent Service Contact")</f>
        <v>Normal Service Contact</v>
      </c>
      <c r="I78" s="1" t="str" cm="1">
        <f t="array" ref="I78">_xlfn.SWITCH(Raw_Data!D78,"Yes","International Customer","No","Domestic Plan","Unknown")</f>
        <v>Domestic Plan</v>
      </c>
      <c r="J78" s="1" t="str">
        <f>IF(ISERROR(Raw_Data!G78/0),"Error","Valid")</f>
        <v>Error</v>
      </c>
      <c r="K78" s="1" t="str">
        <f>IF(ISBLANK(Raw_Data!A78),"Missing","Available")</f>
        <v>Available</v>
      </c>
      <c r="L78" s="5" t="str">
        <f>IF(ISNUMBER(Raw_Data!G78),"Numeric","Not Numeric")</f>
        <v>Numeric</v>
      </c>
    </row>
    <row r="79" spans="1:12" x14ac:dyDescent="0.25">
      <c r="A79" s="4" t="str">
        <f>Raw_Data!A79</f>
        <v>NE</v>
      </c>
      <c r="B79" s="1" t="b">
        <f>Raw_Data!T79</f>
        <v>0</v>
      </c>
      <c r="C79" s="1" t="str">
        <f t="shared" si="1"/>
        <v>Retained</v>
      </c>
      <c r="D79" s="1" t="str">
        <f>IF(Raw_Data!S79=0,"Low Contact",IF(Raw_Data!S79&lt;=2,"Normal Contact","High Contact"))</f>
        <v>Low Contact</v>
      </c>
      <c r="E79" s="1" t="str">
        <f>IF(AND(Raw_Data!G79&gt;200,Raw_Data!H79&gt;100),"High Usage","Normal Usage")</f>
        <v>Normal Usage</v>
      </c>
      <c r="F79" s="1" t="str" cm="1">
        <f t="array" ref="F79">_xlfn.IFS(B79=TRUE,"High Risk",AND(Raw_Data!S79&gt;=3,Raw_Data!G79&gt;200),"High Risk",Raw_Data!S79&gt;=2,"Medium Risk",TRUE,"Low Risk")</f>
        <v>Low Risk</v>
      </c>
      <c r="G79" s="1" t="str">
        <f>IF(OR(Raw_Data!D79="Yes",Raw_Data!E79="Yes"),"Has Plan","No Special Plan")</f>
        <v>No Special Plan</v>
      </c>
      <c r="H79" s="1" t="str">
        <f>IF(NOT(Raw_Data!S79&gt;=3),"Normal Service Contact","Frequent Service Contact")</f>
        <v>Normal Service Contact</v>
      </c>
      <c r="I79" s="1" t="str" cm="1">
        <f t="array" ref="I79">_xlfn.SWITCH(Raw_Data!D79,"Yes","International Customer","No","Domestic Plan","Unknown")</f>
        <v>Domestic Plan</v>
      </c>
      <c r="J79" s="1" t="str">
        <f>IF(ISERROR(Raw_Data!G79/0),"Error","Valid")</f>
        <v>Error</v>
      </c>
      <c r="K79" s="1" t="str">
        <f>IF(ISBLANK(Raw_Data!A79),"Missing","Available")</f>
        <v>Available</v>
      </c>
      <c r="L79" s="5" t="str">
        <f>IF(ISNUMBER(Raw_Data!G79),"Numeric","Not Numeric")</f>
        <v>Numeric</v>
      </c>
    </row>
    <row r="80" spans="1:12" x14ac:dyDescent="0.25">
      <c r="A80" s="4" t="str">
        <f>Raw_Data!A80</f>
        <v>AZ</v>
      </c>
      <c r="B80" s="1" t="b">
        <f>Raw_Data!T80</f>
        <v>0</v>
      </c>
      <c r="C80" s="1" t="str">
        <f t="shared" si="1"/>
        <v>Retained</v>
      </c>
      <c r="D80" s="1" t="str">
        <f>IF(Raw_Data!S80=0,"Low Contact",IF(Raw_Data!S80&lt;=2,"Normal Contact","High Contact"))</f>
        <v>Low Contact</v>
      </c>
      <c r="E80" s="1" t="str">
        <f>IF(AND(Raw_Data!G80&gt;200,Raw_Data!H80&gt;100),"High Usage","Normal Usage")</f>
        <v>Normal Usage</v>
      </c>
      <c r="F80" s="1" t="str" cm="1">
        <f t="array" ref="F80">_xlfn.IFS(B80=TRUE,"High Risk",AND(Raw_Data!S80&gt;=3,Raw_Data!G80&gt;200),"High Risk",Raw_Data!S80&gt;=2,"Medium Risk",TRUE,"Low Risk")</f>
        <v>Low Risk</v>
      </c>
      <c r="G80" s="1" t="str">
        <f>IF(OR(Raw_Data!D80="Yes",Raw_Data!E80="Yes"),"Has Plan","No Special Plan")</f>
        <v>No Special Plan</v>
      </c>
      <c r="H80" s="1" t="str">
        <f>IF(NOT(Raw_Data!S80&gt;=3),"Normal Service Contact","Frequent Service Contact")</f>
        <v>Normal Service Contact</v>
      </c>
      <c r="I80" s="1" t="str" cm="1">
        <f t="array" ref="I80">_xlfn.SWITCH(Raw_Data!D80,"Yes","International Customer","No","Domestic Plan","Unknown")</f>
        <v>Domestic Plan</v>
      </c>
      <c r="J80" s="1" t="str">
        <f>IF(ISERROR(Raw_Data!G80/0),"Error","Valid")</f>
        <v>Error</v>
      </c>
      <c r="K80" s="1" t="str">
        <f>IF(ISBLANK(Raw_Data!A80),"Missing","Available")</f>
        <v>Available</v>
      </c>
      <c r="L80" s="5" t="str">
        <f>IF(ISNUMBER(Raw_Data!G80),"Numeric","Not Numeric")</f>
        <v>Numeric</v>
      </c>
    </row>
    <row r="81" spans="1:12" x14ac:dyDescent="0.25">
      <c r="A81" s="4" t="str">
        <f>Raw_Data!A81</f>
        <v>DC</v>
      </c>
      <c r="B81" s="1" t="b">
        <f>Raw_Data!T81</f>
        <v>0</v>
      </c>
      <c r="C81" s="1" t="str">
        <f t="shared" si="1"/>
        <v>Retained</v>
      </c>
      <c r="D81" s="1" t="str">
        <f>IF(Raw_Data!S81=0,"Low Contact",IF(Raw_Data!S81&lt;=2,"Normal Contact","High Contact"))</f>
        <v>Normal Contact</v>
      </c>
      <c r="E81" s="1" t="str">
        <f>IF(AND(Raw_Data!G81&gt;200,Raw_Data!H81&gt;100),"High Usage","Normal Usage")</f>
        <v>High Usage</v>
      </c>
      <c r="F81" s="1" t="str" cm="1">
        <f t="array" ref="F81">_xlfn.IFS(B81=TRUE,"High Risk",AND(Raw_Data!S81&gt;=3,Raw_Data!G81&gt;200),"High Risk",Raw_Data!S81&gt;=2,"Medium Risk",TRUE,"Low Risk")</f>
        <v>Low Risk</v>
      </c>
      <c r="G81" s="1" t="str">
        <f>IF(OR(Raw_Data!D81="Yes",Raw_Data!E81="Yes"),"Has Plan","No Special Plan")</f>
        <v>Has Plan</v>
      </c>
      <c r="H81" s="1" t="str">
        <f>IF(NOT(Raw_Data!S81&gt;=3),"Normal Service Contact","Frequent Service Contact")</f>
        <v>Normal Service Contact</v>
      </c>
      <c r="I81" s="1" t="str" cm="1">
        <f t="array" ref="I81">_xlfn.SWITCH(Raw_Data!D81,"Yes","International Customer","No","Domestic Plan","Unknown")</f>
        <v>Domestic Plan</v>
      </c>
      <c r="J81" s="1" t="str">
        <f>IF(ISERROR(Raw_Data!G81/0),"Error","Valid")</f>
        <v>Error</v>
      </c>
      <c r="K81" s="1" t="str">
        <f>IF(ISBLANK(Raw_Data!A81),"Missing","Available")</f>
        <v>Available</v>
      </c>
      <c r="L81" s="5" t="str">
        <f>IF(ISNUMBER(Raw_Data!G81),"Numeric","Not Numeric")</f>
        <v>Numeric</v>
      </c>
    </row>
    <row r="82" spans="1:12" x14ac:dyDescent="0.25">
      <c r="A82" s="4" t="str">
        <f>Raw_Data!A82</f>
        <v>MA</v>
      </c>
      <c r="B82" s="1" t="b">
        <f>Raw_Data!T82</f>
        <v>0</v>
      </c>
      <c r="C82" s="1" t="str">
        <f t="shared" si="1"/>
        <v>Retained</v>
      </c>
      <c r="D82" s="1" t="str">
        <f>IF(Raw_Data!S82=0,"Low Contact",IF(Raw_Data!S82&lt;=2,"Normal Contact","High Contact"))</f>
        <v>Normal Contact</v>
      </c>
      <c r="E82" s="1" t="str">
        <f>IF(AND(Raw_Data!G82&gt;200,Raw_Data!H82&gt;100),"High Usage","Normal Usage")</f>
        <v>Normal Usage</v>
      </c>
      <c r="F82" s="1" t="str" cm="1">
        <f t="array" ref="F82">_xlfn.IFS(B82=TRUE,"High Risk",AND(Raw_Data!S82&gt;=3,Raw_Data!G82&gt;200),"High Risk",Raw_Data!S82&gt;=2,"Medium Risk",TRUE,"Low Risk")</f>
        <v>Low Risk</v>
      </c>
      <c r="G82" s="1" t="str">
        <f>IF(OR(Raw_Data!D82="Yes",Raw_Data!E82="Yes"),"Has Plan","No Special Plan")</f>
        <v>Has Plan</v>
      </c>
      <c r="H82" s="1" t="str">
        <f>IF(NOT(Raw_Data!S82&gt;=3),"Normal Service Contact","Frequent Service Contact")</f>
        <v>Normal Service Contact</v>
      </c>
      <c r="I82" s="1" t="str" cm="1">
        <f t="array" ref="I82">_xlfn.SWITCH(Raw_Data!D82,"Yes","International Customer","No","Domestic Plan","Unknown")</f>
        <v>International Customer</v>
      </c>
      <c r="J82" s="1" t="str">
        <f>IF(ISERROR(Raw_Data!G82/0),"Error","Valid")</f>
        <v>Error</v>
      </c>
      <c r="K82" s="1" t="str">
        <f>IF(ISBLANK(Raw_Data!A82),"Missing","Available")</f>
        <v>Available</v>
      </c>
      <c r="L82" s="5" t="str">
        <f>IF(ISNUMBER(Raw_Data!G82),"Numeric","Not Numeric")</f>
        <v>Numeric</v>
      </c>
    </row>
    <row r="83" spans="1:12" x14ac:dyDescent="0.25">
      <c r="A83" s="4" t="str">
        <f>Raw_Data!A83</f>
        <v>AZ</v>
      </c>
      <c r="B83" s="1" t="b">
        <f>Raw_Data!T83</f>
        <v>0</v>
      </c>
      <c r="C83" s="1" t="str">
        <f t="shared" si="1"/>
        <v>Retained</v>
      </c>
      <c r="D83" s="1" t="str">
        <f>IF(Raw_Data!S83=0,"Low Contact",IF(Raw_Data!S83&lt;=2,"Normal Contact","High Contact"))</f>
        <v>High Contact</v>
      </c>
      <c r="E83" s="1" t="str">
        <f>IF(AND(Raw_Data!G83&gt;200,Raw_Data!H83&gt;100),"High Usage","Normal Usage")</f>
        <v>Normal Usage</v>
      </c>
      <c r="F83" s="1" t="str" cm="1">
        <f t="array" ref="F83">_xlfn.IFS(B83=TRUE,"High Risk",AND(Raw_Data!S83&gt;=3,Raw_Data!G83&gt;200),"High Risk",Raw_Data!S83&gt;=2,"Medium Risk",TRUE,"Low Risk")</f>
        <v>Medium Risk</v>
      </c>
      <c r="G83" s="1" t="str">
        <f>IF(OR(Raw_Data!D83="Yes",Raw_Data!E83="Yes"),"Has Plan","No Special Plan")</f>
        <v>No Special Plan</v>
      </c>
      <c r="H83" s="1" t="str">
        <f>IF(NOT(Raw_Data!S83&gt;=3),"Normal Service Contact","Frequent Service Contact")</f>
        <v>Frequent Service Contact</v>
      </c>
      <c r="I83" s="1" t="str" cm="1">
        <f t="array" ref="I83">_xlfn.SWITCH(Raw_Data!D83,"Yes","International Customer","No","Domestic Plan","Unknown")</f>
        <v>Domestic Plan</v>
      </c>
      <c r="J83" s="1" t="str">
        <f>IF(ISERROR(Raw_Data!G83/0),"Error","Valid")</f>
        <v>Error</v>
      </c>
      <c r="K83" s="1" t="str">
        <f>IF(ISBLANK(Raw_Data!A83),"Missing","Available")</f>
        <v>Available</v>
      </c>
      <c r="L83" s="5" t="str">
        <f>IF(ISNUMBER(Raw_Data!G83),"Numeric","Not Numeric")</f>
        <v>Numeric</v>
      </c>
    </row>
    <row r="84" spans="1:12" x14ac:dyDescent="0.25">
      <c r="A84" s="4" t="str">
        <f>Raw_Data!A84</f>
        <v>MI</v>
      </c>
      <c r="B84" s="1" t="b">
        <f>Raw_Data!T84</f>
        <v>0</v>
      </c>
      <c r="C84" s="1" t="str">
        <f t="shared" si="1"/>
        <v>Retained</v>
      </c>
      <c r="D84" s="1" t="str">
        <f>IF(Raw_Data!S84=0,"Low Contact",IF(Raw_Data!S84&lt;=2,"Normal Contact","High Contact"))</f>
        <v>Normal Contact</v>
      </c>
      <c r="E84" s="1" t="str">
        <f>IF(AND(Raw_Data!G84&gt;200,Raw_Data!H84&gt;100),"High Usage","Normal Usage")</f>
        <v>Normal Usage</v>
      </c>
      <c r="F84" s="1" t="str" cm="1">
        <f t="array" ref="F84">_xlfn.IFS(B84=TRUE,"High Risk",AND(Raw_Data!S84&gt;=3,Raw_Data!G84&gt;200),"High Risk",Raw_Data!S84&gt;=2,"Medium Risk",TRUE,"Low Risk")</f>
        <v>Medium Risk</v>
      </c>
      <c r="G84" s="1" t="str">
        <f>IF(OR(Raw_Data!D84="Yes",Raw_Data!E84="Yes"),"Has Plan","No Special Plan")</f>
        <v>No Special Plan</v>
      </c>
      <c r="H84" s="1" t="str">
        <f>IF(NOT(Raw_Data!S84&gt;=3),"Normal Service Contact","Frequent Service Contact")</f>
        <v>Normal Service Contact</v>
      </c>
      <c r="I84" s="1" t="str" cm="1">
        <f t="array" ref="I84">_xlfn.SWITCH(Raw_Data!D84,"Yes","International Customer","No","Domestic Plan","Unknown")</f>
        <v>Domestic Plan</v>
      </c>
      <c r="J84" s="1" t="str">
        <f>IF(ISERROR(Raw_Data!G84/0),"Error","Valid")</f>
        <v>Error</v>
      </c>
      <c r="K84" s="1" t="str">
        <f>IF(ISBLANK(Raw_Data!A84),"Missing","Available")</f>
        <v>Available</v>
      </c>
      <c r="L84" s="5" t="str">
        <f>IF(ISNUMBER(Raw_Data!G84),"Numeric","Not Numeric")</f>
        <v>Numeric</v>
      </c>
    </row>
    <row r="85" spans="1:12" x14ac:dyDescent="0.25">
      <c r="A85" s="4" t="str">
        <f>Raw_Data!A85</f>
        <v>TX</v>
      </c>
      <c r="B85" s="1" t="b">
        <f>Raw_Data!T85</f>
        <v>0</v>
      </c>
      <c r="C85" s="1" t="str">
        <f t="shared" si="1"/>
        <v>Retained</v>
      </c>
      <c r="D85" s="1" t="str">
        <f>IF(Raw_Data!S85=0,"Low Contact",IF(Raw_Data!S85&lt;=2,"Normal Contact","High Contact"))</f>
        <v>Low Contact</v>
      </c>
      <c r="E85" s="1" t="str">
        <f>IF(AND(Raw_Data!G85&gt;200,Raw_Data!H85&gt;100),"High Usage","Normal Usage")</f>
        <v>Normal Usage</v>
      </c>
      <c r="F85" s="1" t="str" cm="1">
        <f t="array" ref="F85">_xlfn.IFS(B85=TRUE,"High Risk",AND(Raw_Data!S85&gt;=3,Raw_Data!G85&gt;200),"High Risk",Raw_Data!S85&gt;=2,"Medium Risk",TRUE,"Low Risk")</f>
        <v>Low Risk</v>
      </c>
      <c r="G85" s="1" t="str">
        <f>IF(OR(Raw_Data!D85="Yes",Raw_Data!E85="Yes"),"Has Plan","No Special Plan")</f>
        <v>No Special Plan</v>
      </c>
      <c r="H85" s="1" t="str">
        <f>IF(NOT(Raw_Data!S85&gt;=3),"Normal Service Contact","Frequent Service Contact")</f>
        <v>Normal Service Contact</v>
      </c>
      <c r="I85" s="1" t="str" cm="1">
        <f t="array" ref="I85">_xlfn.SWITCH(Raw_Data!D85,"Yes","International Customer","No","Domestic Plan","Unknown")</f>
        <v>Domestic Plan</v>
      </c>
      <c r="J85" s="1" t="str">
        <f>IF(ISERROR(Raw_Data!G85/0),"Error","Valid")</f>
        <v>Error</v>
      </c>
      <c r="K85" s="1" t="str">
        <f>IF(ISBLANK(Raw_Data!A85),"Missing","Available")</f>
        <v>Available</v>
      </c>
      <c r="L85" s="5" t="str">
        <f>IF(ISNUMBER(Raw_Data!G85),"Numeric","Not Numeric")</f>
        <v>Numeric</v>
      </c>
    </row>
    <row r="86" spans="1:12" x14ac:dyDescent="0.25">
      <c r="A86" s="4" t="str">
        <f>Raw_Data!A86</f>
        <v>ID</v>
      </c>
      <c r="B86" s="1" t="b">
        <f>Raw_Data!T86</f>
        <v>0</v>
      </c>
      <c r="C86" s="1" t="str">
        <f t="shared" si="1"/>
        <v>Retained</v>
      </c>
      <c r="D86" s="1" t="str">
        <f>IF(Raw_Data!S86=0,"Low Contact",IF(Raw_Data!S86&lt;=2,"Normal Contact","High Contact"))</f>
        <v>High Contact</v>
      </c>
      <c r="E86" s="1" t="str">
        <f>IF(AND(Raw_Data!G86&gt;200,Raw_Data!H86&gt;100),"High Usage","Normal Usage")</f>
        <v>Normal Usage</v>
      </c>
      <c r="F86" s="1" t="str" cm="1">
        <f t="array" ref="F86">_xlfn.IFS(B86=TRUE,"High Risk",AND(Raw_Data!S86&gt;=3,Raw_Data!G86&gt;200),"High Risk",Raw_Data!S86&gt;=2,"Medium Risk",TRUE,"Low Risk")</f>
        <v>High Risk</v>
      </c>
      <c r="G86" s="1" t="str">
        <f>IF(OR(Raw_Data!D86="Yes",Raw_Data!E86="Yes"),"Has Plan","No Special Plan")</f>
        <v>Has Plan</v>
      </c>
      <c r="H86" s="1" t="str">
        <f>IF(NOT(Raw_Data!S86&gt;=3),"Normal Service Contact","Frequent Service Contact")</f>
        <v>Frequent Service Contact</v>
      </c>
      <c r="I86" s="1" t="str" cm="1">
        <f t="array" ref="I86">_xlfn.SWITCH(Raw_Data!D86,"Yes","International Customer","No","Domestic Plan","Unknown")</f>
        <v>Domestic Plan</v>
      </c>
      <c r="J86" s="1" t="str">
        <f>IF(ISERROR(Raw_Data!G86/0),"Error","Valid")</f>
        <v>Error</v>
      </c>
      <c r="K86" s="1" t="str">
        <f>IF(ISBLANK(Raw_Data!A86),"Missing","Available")</f>
        <v>Available</v>
      </c>
      <c r="L86" s="5" t="str">
        <f>IF(ISNUMBER(Raw_Data!G86),"Numeric","Not Numeric")</f>
        <v>Numeric</v>
      </c>
    </row>
    <row r="87" spans="1:12" x14ac:dyDescent="0.25">
      <c r="A87" s="4" t="str">
        <f>Raw_Data!A87</f>
        <v>AL</v>
      </c>
      <c r="B87" s="1" t="b">
        <f>Raw_Data!T87</f>
        <v>0</v>
      </c>
      <c r="C87" s="1" t="str">
        <f t="shared" si="1"/>
        <v>Retained</v>
      </c>
      <c r="D87" s="1" t="str">
        <f>IF(Raw_Data!S87=0,"Low Contact",IF(Raw_Data!S87&lt;=2,"Normal Contact","High Contact"))</f>
        <v>Low Contact</v>
      </c>
      <c r="E87" s="1" t="str">
        <f>IF(AND(Raw_Data!G87&gt;200,Raw_Data!H87&gt;100),"High Usage","Normal Usage")</f>
        <v>Normal Usage</v>
      </c>
      <c r="F87" s="1" t="str" cm="1">
        <f t="array" ref="F87">_xlfn.IFS(B87=TRUE,"High Risk",AND(Raw_Data!S87&gt;=3,Raw_Data!G87&gt;200),"High Risk",Raw_Data!S87&gt;=2,"Medium Risk",TRUE,"Low Risk")</f>
        <v>Low Risk</v>
      </c>
      <c r="G87" s="1" t="str">
        <f>IF(OR(Raw_Data!D87="Yes",Raw_Data!E87="Yes"),"Has Plan","No Special Plan")</f>
        <v>No Special Plan</v>
      </c>
      <c r="H87" s="1" t="str">
        <f>IF(NOT(Raw_Data!S87&gt;=3),"Normal Service Contact","Frequent Service Contact")</f>
        <v>Normal Service Contact</v>
      </c>
      <c r="I87" s="1" t="str" cm="1">
        <f t="array" ref="I87">_xlfn.SWITCH(Raw_Data!D87,"Yes","International Customer","No","Domestic Plan","Unknown")</f>
        <v>Domestic Plan</v>
      </c>
      <c r="J87" s="1" t="str">
        <f>IF(ISERROR(Raw_Data!G87/0),"Error","Valid")</f>
        <v>Error</v>
      </c>
      <c r="K87" s="1" t="str">
        <f>IF(ISBLANK(Raw_Data!A87),"Missing","Available")</f>
        <v>Available</v>
      </c>
      <c r="L87" s="5" t="str">
        <f>IF(ISNUMBER(Raw_Data!G87),"Numeric","Not Numeric")</f>
        <v>Numeric</v>
      </c>
    </row>
    <row r="88" spans="1:12" x14ac:dyDescent="0.25">
      <c r="A88" s="4" t="str">
        <f>Raw_Data!A88</f>
        <v>SD</v>
      </c>
      <c r="B88" s="1" t="b">
        <f>Raw_Data!T88</f>
        <v>0</v>
      </c>
      <c r="C88" s="1" t="str">
        <f t="shared" si="1"/>
        <v>Retained</v>
      </c>
      <c r="D88" s="1" t="str">
        <f>IF(Raw_Data!S88=0,"Low Contact",IF(Raw_Data!S88&lt;=2,"Normal Contact","High Contact"))</f>
        <v>Low Contact</v>
      </c>
      <c r="E88" s="1" t="str">
        <f>IF(AND(Raw_Data!G88&gt;200,Raw_Data!H88&gt;100),"High Usage","Normal Usage")</f>
        <v>Normal Usage</v>
      </c>
      <c r="F88" s="1" t="str" cm="1">
        <f t="array" ref="F88">_xlfn.IFS(B88=TRUE,"High Risk",AND(Raw_Data!S88&gt;=3,Raw_Data!G88&gt;200),"High Risk",Raw_Data!S88&gt;=2,"Medium Risk",TRUE,"Low Risk")</f>
        <v>Low Risk</v>
      </c>
      <c r="G88" s="1" t="str">
        <f>IF(OR(Raw_Data!D88="Yes",Raw_Data!E88="Yes"),"Has Plan","No Special Plan")</f>
        <v>No Special Plan</v>
      </c>
      <c r="H88" s="1" t="str">
        <f>IF(NOT(Raw_Data!S88&gt;=3),"Normal Service Contact","Frequent Service Contact")</f>
        <v>Normal Service Contact</v>
      </c>
      <c r="I88" s="1" t="str" cm="1">
        <f t="array" ref="I88">_xlfn.SWITCH(Raw_Data!D88,"Yes","International Customer","No","Domestic Plan","Unknown")</f>
        <v>Domestic Plan</v>
      </c>
      <c r="J88" s="1" t="str">
        <f>IF(ISERROR(Raw_Data!G88/0),"Error","Valid")</f>
        <v>Error</v>
      </c>
      <c r="K88" s="1" t="str">
        <f>IF(ISBLANK(Raw_Data!A88),"Missing","Available")</f>
        <v>Available</v>
      </c>
      <c r="L88" s="5" t="str">
        <f>IF(ISNUMBER(Raw_Data!G88),"Numeric","Not Numeric")</f>
        <v>Numeric</v>
      </c>
    </row>
    <row r="89" spans="1:12" x14ac:dyDescent="0.25">
      <c r="A89" s="4" t="str">
        <f>Raw_Data!A89</f>
        <v>LA</v>
      </c>
      <c r="B89" s="1" t="b">
        <f>Raw_Data!T89</f>
        <v>0</v>
      </c>
      <c r="C89" s="1" t="str">
        <f t="shared" si="1"/>
        <v>Retained</v>
      </c>
      <c r="D89" s="1" t="str">
        <f>IF(Raw_Data!S89=0,"Low Contact",IF(Raw_Data!S89&lt;=2,"Normal Contact","High Contact"))</f>
        <v>Normal Contact</v>
      </c>
      <c r="E89" s="1" t="str">
        <f>IF(AND(Raw_Data!G89&gt;200,Raw_Data!H89&gt;100),"High Usage","Normal Usage")</f>
        <v>Normal Usage</v>
      </c>
      <c r="F89" s="1" t="str" cm="1">
        <f t="array" ref="F89">_xlfn.IFS(B89=TRUE,"High Risk",AND(Raw_Data!S89&gt;=3,Raw_Data!G89&gt;200),"High Risk",Raw_Data!S89&gt;=2,"Medium Risk",TRUE,"Low Risk")</f>
        <v>Low Risk</v>
      </c>
      <c r="G89" s="1" t="str">
        <f>IF(OR(Raw_Data!D89="Yes",Raw_Data!E89="Yes"),"Has Plan","No Special Plan")</f>
        <v>Has Plan</v>
      </c>
      <c r="H89" s="1" t="str">
        <f>IF(NOT(Raw_Data!S89&gt;=3),"Normal Service Contact","Frequent Service Contact")</f>
        <v>Normal Service Contact</v>
      </c>
      <c r="I89" s="1" t="str" cm="1">
        <f t="array" ref="I89">_xlfn.SWITCH(Raw_Data!D89,"Yes","International Customer","No","Domestic Plan","Unknown")</f>
        <v>Domestic Plan</v>
      </c>
      <c r="J89" s="1" t="str">
        <f>IF(ISERROR(Raw_Data!G89/0),"Error","Valid")</f>
        <v>Error</v>
      </c>
      <c r="K89" s="1" t="str">
        <f>IF(ISBLANK(Raw_Data!A89),"Missing","Available")</f>
        <v>Available</v>
      </c>
      <c r="L89" s="5" t="str">
        <f>IF(ISNUMBER(Raw_Data!G89),"Numeric","Not Numeric")</f>
        <v>Numeric</v>
      </c>
    </row>
    <row r="90" spans="1:12" x14ac:dyDescent="0.25">
      <c r="A90" s="4" t="str">
        <f>Raw_Data!A90</f>
        <v>AZ</v>
      </c>
      <c r="B90" s="1" t="b">
        <f>Raw_Data!T90</f>
        <v>0</v>
      </c>
      <c r="C90" s="1" t="str">
        <f t="shared" si="1"/>
        <v>Retained</v>
      </c>
      <c r="D90" s="1" t="str">
        <f>IF(Raw_Data!S90=0,"Low Contact",IF(Raw_Data!S90&lt;=2,"Normal Contact","High Contact"))</f>
        <v>Normal Contact</v>
      </c>
      <c r="E90" s="1" t="str">
        <f>IF(AND(Raw_Data!G90&gt;200,Raw_Data!H90&gt;100),"High Usage","Normal Usage")</f>
        <v>Normal Usage</v>
      </c>
      <c r="F90" s="1" t="str" cm="1">
        <f t="array" ref="F90">_xlfn.IFS(B90=TRUE,"High Risk",AND(Raw_Data!S90&gt;=3,Raw_Data!G90&gt;200),"High Risk",Raw_Data!S90&gt;=2,"Medium Risk",TRUE,"Low Risk")</f>
        <v>Medium Risk</v>
      </c>
      <c r="G90" s="1" t="str">
        <f>IF(OR(Raw_Data!D90="Yes",Raw_Data!E90="Yes"),"Has Plan","No Special Plan")</f>
        <v>No Special Plan</v>
      </c>
      <c r="H90" s="1" t="str">
        <f>IF(NOT(Raw_Data!S90&gt;=3),"Normal Service Contact","Frequent Service Contact")</f>
        <v>Normal Service Contact</v>
      </c>
      <c r="I90" s="1" t="str" cm="1">
        <f t="array" ref="I90">_xlfn.SWITCH(Raw_Data!D90,"Yes","International Customer","No","Domestic Plan","Unknown")</f>
        <v>Domestic Plan</v>
      </c>
      <c r="J90" s="1" t="str">
        <f>IF(ISERROR(Raw_Data!G90/0),"Error","Valid")</f>
        <v>Error</v>
      </c>
      <c r="K90" s="1" t="str">
        <f>IF(ISBLANK(Raw_Data!A90),"Missing","Available")</f>
        <v>Available</v>
      </c>
      <c r="L90" s="5" t="str">
        <f>IF(ISNUMBER(Raw_Data!G90),"Numeric","Not Numeric")</f>
        <v>Numeric</v>
      </c>
    </row>
    <row r="91" spans="1:12" x14ac:dyDescent="0.25">
      <c r="A91" s="4" t="str">
        <f>Raw_Data!A91</f>
        <v>RI</v>
      </c>
      <c r="B91" s="1" t="b">
        <f>Raw_Data!T91</f>
        <v>0</v>
      </c>
      <c r="C91" s="1" t="str">
        <f t="shared" si="1"/>
        <v>Retained</v>
      </c>
      <c r="D91" s="1" t="str">
        <f>IF(Raw_Data!S91=0,"Low Contact",IF(Raw_Data!S91&lt;=2,"Normal Contact","High Contact"))</f>
        <v>High Contact</v>
      </c>
      <c r="E91" s="1" t="str">
        <f>IF(AND(Raw_Data!G91&gt;200,Raw_Data!H91&gt;100),"High Usage","Normal Usage")</f>
        <v>Normal Usage</v>
      </c>
      <c r="F91" s="1" t="str" cm="1">
        <f t="array" ref="F91">_xlfn.IFS(B91=TRUE,"High Risk",AND(Raw_Data!S91&gt;=3,Raw_Data!G91&gt;200),"High Risk",Raw_Data!S91&gt;=2,"Medium Risk",TRUE,"Low Risk")</f>
        <v>Medium Risk</v>
      </c>
      <c r="G91" s="1" t="str">
        <f>IF(OR(Raw_Data!D91="Yes",Raw_Data!E91="Yes"),"Has Plan","No Special Plan")</f>
        <v>No Special Plan</v>
      </c>
      <c r="H91" s="1" t="str">
        <f>IF(NOT(Raw_Data!S91&gt;=3),"Normal Service Contact","Frequent Service Contact")</f>
        <v>Frequent Service Contact</v>
      </c>
      <c r="I91" s="1" t="str" cm="1">
        <f t="array" ref="I91">_xlfn.SWITCH(Raw_Data!D91,"Yes","International Customer","No","Domestic Plan","Unknown")</f>
        <v>Domestic Plan</v>
      </c>
      <c r="J91" s="1" t="str">
        <f>IF(ISERROR(Raw_Data!G91/0),"Error","Valid")</f>
        <v>Error</v>
      </c>
      <c r="K91" s="1" t="str">
        <f>IF(ISBLANK(Raw_Data!A91),"Missing","Available")</f>
        <v>Available</v>
      </c>
      <c r="L91" s="5" t="str">
        <f>IF(ISNUMBER(Raw_Data!G91),"Numeric","Not Numeric")</f>
        <v>Numeric</v>
      </c>
    </row>
    <row r="92" spans="1:12" x14ac:dyDescent="0.25">
      <c r="A92" s="4" t="str">
        <f>Raw_Data!A92</f>
        <v>OH</v>
      </c>
      <c r="B92" s="1" t="b">
        <f>Raw_Data!T92</f>
        <v>0</v>
      </c>
      <c r="C92" s="1" t="str">
        <f t="shared" si="1"/>
        <v>Retained</v>
      </c>
      <c r="D92" s="1" t="str">
        <f>IF(Raw_Data!S92=0,"Low Contact",IF(Raw_Data!S92&lt;=2,"Normal Contact","High Contact"))</f>
        <v>Normal Contact</v>
      </c>
      <c r="E92" s="1" t="str">
        <f>IF(AND(Raw_Data!G92&gt;200,Raw_Data!H92&gt;100),"High Usage","Normal Usage")</f>
        <v>Normal Usage</v>
      </c>
      <c r="F92" s="1" t="str" cm="1">
        <f t="array" ref="F92">_xlfn.IFS(B92=TRUE,"High Risk",AND(Raw_Data!S92&gt;=3,Raw_Data!G92&gt;200),"High Risk",Raw_Data!S92&gt;=2,"Medium Risk",TRUE,"Low Risk")</f>
        <v>Low Risk</v>
      </c>
      <c r="G92" s="1" t="str">
        <f>IF(OR(Raw_Data!D92="Yes",Raw_Data!E92="Yes"),"Has Plan","No Special Plan")</f>
        <v>Has Plan</v>
      </c>
      <c r="H92" s="1" t="str">
        <f>IF(NOT(Raw_Data!S92&gt;=3),"Normal Service Contact","Frequent Service Contact")</f>
        <v>Normal Service Contact</v>
      </c>
      <c r="I92" s="1" t="str" cm="1">
        <f t="array" ref="I92">_xlfn.SWITCH(Raw_Data!D92,"Yes","International Customer","No","Domestic Plan","Unknown")</f>
        <v>Domestic Plan</v>
      </c>
      <c r="J92" s="1" t="str">
        <f>IF(ISERROR(Raw_Data!G92/0),"Error","Valid")</f>
        <v>Error</v>
      </c>
      <c r="K92" s="1" t="str">
        <f>IF(ISBLANK(Raw_Data!A92),"Missing","Available")</f>
        <v>Available</v>
      </c>
      <c r="L92" s="5" t="str">
        <f>IF(ISNUMBER(Raw_Data!G92),"Numeric","Not Numeric")</f>
        <v>Numeric</v>
      </c>
    </row>
    <row r="93" spans="1:12" x14ac:dyDescent="0.25">
      <c r="A93" s="4" t="str">
        <f>Raw_Data!A93</f>
        <v>AZ</v>
      </c>
      <c r="B93" s="1" t="b">
        <f>Raw_Data!T93</f>
        <v>0</v>
      </c>
      <c r="C93" s="1" t="str">
        <f t="shared" si="1"/>
        <v>Retained</v>
      </c>
      <c r="D93" s="1" t="str">
        <f>IF(Raw_Data!S93=0,"Low Contact",IF(Raw_Data!S93&lt;=2,"Normal Contact","High Contact"))</f>
        <v>High Contact</v>
      </c>
      <c r="E93" s="1" t="str">
        <f>IF(AND(Raw_Data!G93&gt;200,Raw_Data!H93&gt;100),"High Usage","Normal Usage")</f>
        <v>Normal Usage</v>
      </c>
      <c r="F93" s="1" t="str" cm="1">
        <f t="array" ref="F93">_xlfn.IFS(B93=TRUE,"High Risk",AND(Raw_Data!S93&gt;=3,Raw_Data!G93&gt;200),"High Risk",Raw_Data!S93&gt;=2,"Medium Risk",TRUE,"Low Risk")</f>
        <v>Medium Risk</v>
      </c>
      <c r="G93" s="1" t="str">
        <f>IF(OR(Raw_Data!D93="Yes",Raw_Data!E93="Yes"),"Has Plan","No Special Plan")</f>
        <v>Has Plan</v>
      </c>
      <c r="H93" s="1" t="str">
        <f>IF(NOT(Raw_Data!S93&gt;=3),"Normal Service Contact","Frequent Service Contact")</f>
        <v>Frequent Service Contact</v>
      </c>
      <c r="I93" s="1" t="str" cm="1">
        <f t="array" ref="I93">_xlfn.SWITCH(Raw_Data!D93,"Yes","International Customer","No","Domestic Plan","Unknown")</f>
        <v>Domestic Plan</v>
      </c>
      <c r="J93" s="1" t="str">
        <f>IF(ISERROR(Raw_Data!G93/0),"Error","Valid")</f>
        <v>Error</v>
      </c>
      <c r="K93" s="1" t="str">
        <f>IF(ISBLANK(Raw_Data!A93),"Missing","Available")</f>
        <v>Available</v>
      </c>
      <c r="L93" s="5" t="str">
        <f>IF(ISNUMBER(Raw_Data!G93),"Numeric","Not Numeric")</f>
        <v>Numeric</v>
      </c>
    </row>
    <row r="94" spans="1:12" x14ac:dyDescent="0.25">
      <c r="A94" s="4" t="str">
        <f>Raw_Data!A94</f>
        <v>MI</v>
      </c>
      <c r="B94" s="1" t="b">
        <f>Raw_Data!T94</f>
        <v>0</v>
      </c>
      <c r="C94" s="1" t="str">
        <f t="shared" si="1"/>
        <v>Retained</v>
      </c>
      <c r="D94" s="1" t="str">
        <f>IF(Raw_Data!S94=0,"Low Contact",IF(Raw_Data!S94&lt;=2,"Normal Contact","High Contact"))</f>
        <v>Low Contact</v>
      </c>
      <c r="E94" s="1" t="str">
        <f>IF(AND(Raw_Data!G94&gt;200,Raw_Data!H94&gt;100),"High Usage","Normal Usage")</f>
        <v>High Usage</v>
      </c>
      <c r="F94" s="1" t="str" cm="1">
        <f t="array" ref="F94">_xlfn.IFS(B94=TRUE,"High Risk",AND(Raw_Data!S94&gt;=3,Raw_Data!G94&gt;200),"High Risk",Raw_Data!S94&gt;=2,"Medium Risk",TRUE,"Low Risk")</f>
        <v>Low Risk</v>
      </c>
      <c r="G94" s="1" t="str">
        <f>IF(OR(Raw_Data!D94="Yes",Raw_Data!E94="Yes"),"Has Plan","No Special Plan")</f>
        <v>Has Plan</v>
      </c>
      <c r="H94" s="1" t="str">
        <f>IF(NOT(Raw_Data!S94&gt;=3),"Normal Service Contact","Frequent Service Contact")</f>
        <v>Normal Service Contact</v>
      </c>
      <c r="I94" s="1" t="str" cm="1">
        <f t="array" ref="I94">_xlfn.SWITCH(Raw_Data!D94,"Yes","International Customer","No","Domestic Plan","Unknown")</f>
        <v>Domestic Plan</v>
      </c>
      <c r="J94" s="1" t="str">
        <f>IF(ISERROR(Raw_Data!G94/0),"Error","Valid")</f>
        <v>Error</v>
      </c>
      <c r="K94" s="1" t="str">
        <f>IF(ISBLANK(Raw_Data!A94),"Missing","Available")</f>
        <v>Available</v>
      </c>
      <c r="L94" s="5" t="str">
        <f>IF(ISNUMBER(Raw_Data!G94),"Numeric","Not Numeric")</f>
        <v>Numeric</v>
      </c>
    </row>
    <row r="95" spans="1:12" x14ac:dyDescent="0.25">
      <c r="A95" s="4" t="str">
        <f>Raw_Data!A95</f>
        <v>NV</v>
      </c>
      <c r="B95" s="1" t="b">
        <f>Raw_Data!T95</f>
        <v>0</v>
      </c>
      <c r="C95" s="1" t="str">
        <f t="shared" si="1"/>
        <v>Retained</v>
      </c>
      <c r="D95" s="1" t="str">
        <f>IF(Raw_Data!S95=0,"Low Contact",IF(Raw_Data!S95&lt;=2,"Normal Contact","High Contact"))</f>
        <v>Normal Contact</v>
      </c>
      <c r="E95" s="1" t="str">
        <f>IF(AND(Raw_Data!G95&gt;200,Raw_Data!H95&gt;100),"High Usage","Normal Usage")</f>
        <v>Normal Usage</v>
      </c>
      <c r="F95" s="1" t="str" cm="1">
        <f t="array" ref="F95">_xlfn.IFS(B95=TRUE,"High Risk",AND(Raw_Data!S95&gt;=3,Raw_Data!G95&gt;200),"High Risk",Raw_Data!S95&gt;=2,"Medium Risk",TRUE,"Low Risk")</f>
        <v>Low Risk</v>
      </c>
      <c r="G95" s="1" t="str">
        <f>IF(OR(Raw_Data!D95="Yes",Raw_Data!E95="Yes"),"Has Plan","No Special Plan")</f>
        <v>No Special Plan</v>
      </c>
      <c r="H95" s="1" t="str">
        <f>IF(NOT(Raw_Data!S95&gt;=3),"Normal Service Contact","Frequent Service Contact")</f>
        <v>Normal Service Contact</v>
      </c>
      <c r="I95" s="1" t="str" cm="1">
        <f t="array" ref="I95">_xlfn.SWITCH(Raw_Data!D95,"Yes","International Customer","No","Domestic Plan","Unknown")</f>
        <v>Domestic Plan</v>
      </c>
      <c r="J95" s="1" t="str">
        <f>IF(ISERROR(Raw_Data!G95/0),"Error","Valid")</f>
        <v>Error</v>
      </c>
      <c r="K95" s="1" t="str">
        <f>IF(ISBLANK(Raw_Data!A95),"Missing","Available")</f>
        <v>Available</v>
      </c>
      <c r="L95" s="5" t="str">
        <f>IF(ISNUMBER(Raw_Data!G95),"Numeric","Not Numeric")</f>
        <v>Numeric</v>
      </c>
    </row>
    <row r="96" spans="1:12" x14ac:dyDescent="0.25">
      <c r="A96" s="4" t="str">
        <f>Raw_Data!A96</f>
        <v>MA</v>
      </c>
      <c r="B96" s="1" t="b">
        <f>Raw_Data!T96</f>
        <v>0</v>
      </c>
      <c r="C96" s="1" t="str">
        <f t="shared" si="1"/>
        <v>Retained</v>
      </c>
      <c r="D96" s="1" t="str">
        <f>IF(Raw_Data!S96=0,"Low Contact",IF(Raw_Data!S96&lt;=2,"Normal Contact","High Contact"))</f>
        <v>Low Contact</v>
      </c>
      <c r="E96" s="1" t="str">
        <f>IF(AND(Raw_Data!G96&gt;200,Raw_Data!H96&gt;100),"High Usage","Normal Usage")</f>
        <v>High Usage</v>
      </c>
      <c r="F96" s="1" t="str" cm="1">
        <f t="array" ref="F96">_xlfn.IFS(B96=TRUE,"High Risk",AND(Raw_Data!S96&gt;=3,Raw_Data!G96&gt;200),"High Risk",Raw_Data!S96&gt;=2,"Medium Risk",TRUE,"Low Risk")</f>
        <v>Low Risk</v>
      </c>
      <c r="G96" s="1" t="str">
        <f>IF(OR(Raw_Data!D96="Yes",Raw_Data!E96="Yes"),"Has Plan","No Special Plan")</f>
        <v>Has Plan</v>
      </c>
      <c r="H96" s="1" t="str">
        <f>IF(NOT(Raw_Data!S96&gt;=3),"Normal Service Contact","Frequent Service Contact")</f>
        <v>Normal Service Contact</v>
      </c>
      <c r="I96" s="1" t="str" cm="1">
        <f t="array" ref="I96">_xlfn.SWITCH(Raw_Data!D96,"Yes","International Customer","No","Domestic Plan","Unknown")</f>
        <v>International Customer</v>
      </c>
      <c r="J96" s="1" t="str">
        <f>IF(ISERROR(Raw_Data!G96/0),"Error","Valid")</f>
        <v>Error</v>
      </c>
      <c r="K96" s="1" t="str">
        <f>IF(ISBLANK(Raw_Data!A96),"Missing","Available")</f>
        <v>Available</v>
      </c>
      <c r="L96" s="5" t="str">
        <f>IF(ISNUMBER(Raw_Data!G96),"Numeric","Not Numeric")</f>
        <v>Numeric</v>
      </c>
    </row>
    <row r="97" spans="1:12" x14ac:dyDescent="0.25">
      <c r="A97" s="4" t="str">
        <f>Raw_Data!A97</f>
        <v>IN</v>
      </c>
      <c r="B97" s="1" t="b">
        <f>Raw_Data!T97</f>
        <v>0</v>
      </c>
      <c r="C97" s="1" t="str">
        <f t="shared" si="1"/>
        <v>Retained</v>
      </c>
      <c r="D97" s="1" t="str">
        <f>IF(Raw_Data!S97=0,"Low Contact",IF(Raw_Data!S97&lt;=2,"Normal Contact","High Contact"))</f>
        <v>Low Contact</v>
      </c>
      <c r="E97" s="1" t="str">
        <f>IF(AND(Raw_Data!G97&gt;200,Raw_Data!H97&gt;100),"High Usage","Normal Usage")</f>
        <v>High Usage</v>
      </c>
      <c r="F97" s="1" t="str" cm="1">
        <f t="array" ref="F97">_xlfn.IFS(B97=TRUE,"High Risk",AND(Raw_Data!S97&gt;=3,Raw_Data!G97&gt;200),"High Risk",Raw_Data!S97&gt;=2,"Medium Risk",TRUE,"Low Risk")</f>
        <v>Low Risk</v>
      </c>
      <c r="G97" s="1" t="str">
        <f>IF(OR(Raw_Data!D97="Yes",Raw_Data!E97="Yes"),"Has Plan","No Special Plan")</f>
        <v>No Special Plan</v>
      </c>
      <c r="H97" s="1" t="str">
        <f>IF(NOT(Raw_Data!S97&gt;=3),"Normal Service Contact","Frequent Service Contact")</f>
        <v>Normal Service Contact</v>
      </c>
      <c r="I97" s="1" t="str" cm="1">
        <f t="array" ref="I97">_xlfn.SWITCH(Raw_Data!D97,"Yes","International Customer","No","Domestic Plan","Unknown")</f>
        <v>Domestic Plan</v>
      </c>
      <c r="J97" s="1" t="str">
        <f>IF(ISERROR(Raw_Data!G97/0),"Error","Valid")</f>
        <v>Error</v>
      </c>
      <c r="K97" s="1" t="str">
        <f>IF(ISBLANK(Raw_Data!A97),"Missing","Available")</f>
        <v>Available</v>
      </c>
      <c r="L97" s="5" t="str">
        <f>IF(ISNUMBER(Raw_Data!G97),"Numeric","Not Numeric")</f>
        <v>Numeric</v>
      </c>
    </row>
    <row r="98" spans="1:12" x14ac:dyDescent="0.25">
      <c r="A98" s="4" t="str">
        <f>Raw_Data!A98</f>
        <v>AL</v>
      </c>
      <c r="B98" s="1" t="b">
        <f>Raw_Data!T98</f>
        <v>1</v>
      </c>
      <c r="C98" s="1" t="str">
        <f t="shared" si="1"/>
        <v>Churned</v>
      </c>
      <c r="D98" s="1" t="str">
        <f>IF(Raw_Data!S98=0,"Low Contact",IF(Raw_Data!S98&lt;=2,"Normal Contact","High Contact"))</f>
        <v>Normal Contact</v>
      </c>
      <c r="E98" s="1" t="str">
        <f>IF(AND(Raw_Data!G98&gt;200,Raw_Data!H98&gt;100),"High Usage","Normal Usage")</f>
        <v>Normal Usage</v>
      </c>
      <c r="F98" s="1" t="str" cm="1">
        <f t="array" ref="F98">_xlfn.IFS(B98=TRUE,"High Risk",AND(Raw_Data!S98&gt;=3,Raw_Data!G98&gt;200),"High Risk",Raw_Data!S98&gt;=2,"Medium Risk",TRUE,"Low Risk")</f>
        <v>High Risk</v>
      </c>
      <c r="G98" s="1" t="str">
        <f>IF(OR(Raw_Data!D98="Yes",Raw_Data!E98="Yes"),"Has Plan","No Special Plan")</f>
        <v>Has Plan</v>
      </c>
      <c r="H98" s="1" t="str">
        <f>IF(NOT(Raw_Data!S98&gt;=3),"Normal Service Contact","Frequent Service Contact")</f>
        <v>Normal Service Contact</v>
      </c>
      <c r="I98" s="1" t="str" cm="1">
        <f t="array" ref="I98">_xlfn.SWITCH(Raw_Data!D98,"Yes","International Customer","No","Domestic Plan","Unknown")</f>
        <v>International Customer</v>
      </c>
      <c r="J98" s="1" t="str">
        <f>IF(ISERROR(Raw_Data!G98/0),"Error","Valid")</f>
        <v>Error</v>
      </c>
      <c r="K98" s="1" t="str">
        <f>IF(ISBLANK(Raw_Data!A98),"Missing","Available")</f>
        <v>Available</v>
      </c>
      <c r="L98" s="5" t="str">
        <f>IF(ISNUMBER(Raw_Data!G98),"Numeric","Not Numeric")</f>
        <v>Numeric</v>
      </c>
    </row>
    <row r="99" spans="1:12" x14ac:dyDescent="0.25">
      <c r="A99" s="4" t="str">
        <f>Raw_Data!A99</f>
        <v>RI</v>
      </c>
      <c r="B99" s="1" t="b">
        <f>Raw_Data!T99</f>
        <v>0</v>
      </c>
      <c r="C99" s="1" t="str">
        <f t="shared" si="1"/>
        <v>Retained</v>
      </c>
      <c r="D99" s="1" t="str">
        <f>IF(Raw_Data!S99=0,"Low Contact",IF(Raw_Data!S99&lt;=2,"Normal Contact","High Contact"))</f>
        <v>Normal Contact</v>
      </c>
      <c r="E99" s="1" t="str">
        <f>IF(AND(Raw_Data!G99&gt;200,Raw_Data!H99&gt;100),"High Usage","Normal Usage")</f>
        <v>Normal Usage</v>
      </c>
      <c r="F99" s="1" t="str" cm="1">
        <f t="array" ref="F99">_xlfn.IFS(B99=TRUE,"High Risk",AND(Raw_Data!S99&gt;=3,Raw_Data!G99&gt;200),"High Risk",Raw_Data!S99&gt;=2,"Medium Risk",TRUE,"Low Risk")</f>
        <v>Medium Risk</v>
      </c>
      <c r="G99" s="1" t="str">
        <f>IF(OR(Raw_Data!D99="Yes",Raw_Data!E99="Yes"),"Has Plan","No Special Plan")</f>
        <v>Has Plan</v>
      </c>
      <c r="H99" s="1" t="str">
        <f>IF(NOT(Raw_Data!S99&gt;=3),"Normal Service Contact","Frequent Service Contact")</f>
        <v>Normal Service Contact</v>
      </c>
      <c r="I99" s="1" t="str" cm="1">
        <f t="array" ref="I99">_xlfn.SWITCH(Raw_Data!D99,"Yes","International Customer","No","Domestic Plan","Unknown")</f>
        <v>Domestic Plan</v>
      </c>
      <c r="J99" s="1" t="str">
        <f>IF(ISERROR(Raw_Data!G99/0),"Error","Valid")</f>
        <v>Error</v>
      </c>
      <c r="K99" s="1" t="str">
        <f>IF(ISBLANK(Raw_Data!A99),"Missing","Available")</f>
        <v>Available</v>
      </c>
      <c r="L99" s="5" t="str">
        <f>IF(ISNUMBER(Raw_Data!G99),"Numeric","Not Numeric")</f>
        <v>Numeric</v>
      </c>
    </row>
    <row r="100" spans="1:12" x14ac:dyDescent="0.25">
      <c r="A100" s="4" t="str">
        <f>Raw_Data!A100</f>
        <v>ME</v>
      </c>
      <c r="B100" s="1" t="b">
        <f>Raw_Data!T100</f>
        <v>1</v>
      </c>
      <c r="C100" s="1" t="str">
        <f t="shared" si="1"/>
        <v>Churned</v>
      </c>
      <c r="D100" s="1" t="str">
        <f>IF(Raw_Data!S100=0,"Low Contact",IF(Raw_Data!S100&lt;=2,"Normal Contact","High Contact"))</f>
        <v>High Contact</v>
      </c>
      <c r="E100" s="1" t="str">
        <f>IF(AND(Raw_Data!G100&gt;200,Raw_Data!H100&gt;100),"High Usage","Normal Usage")</f>
        <v>Normal Usage</v>
      </c>
      <c r="F100" s="1" t="str" cm="1">
        <f t="array" ref="F100">_xlfn.IFS(B100=TRUE,"High Risk",AND(Raw_Data!S100&gt;=3,Raw_Data!G100&gt;200),"High Risk",Raw_Data!S100&gt;=2,"Medium Risk",TRUE,"Low Risk")</f>
        <v>High Risk</v>
      </c>
      <c r="G100" s="1" t="str">
        <f>IF(OR(Raw_Data!D100="Yes",Raw_Data!E100="Yes"),"Has Plan","No Special Plan")</f>
        <v>Has Plan</v>
      </c>
      <c r="H100" s="1" t="str">
        <f>IF(NOT(Raw_Data!S100&gt;=3),"Normal Service Contact","Frequent Service Contact")</f>
        <v>Frequent Service Contact</v>
      </c>
      <c r="I100" s="1" t="str" cm="1">
        <f t="array" ref="I100">_xlfn.SWITCH(Raw_Data!D100,"Yes","International Customer","No","Domestic Plan","Unknown")</f>
        <v>International Customer</v>
      </c>
      <c r="J100" s="1" t="str">
        <f>IF(ISERROR(Raw_Data!G100/0),"Error","Valid")</f>
        <v>Error</v>
      </c>
      <c r="K100" s="1" t="str">
        <f>IF(ISBLANK(Raw_Data!A100),"Missing","Available")</f>
        <v>Available</v>
      </c>
      <c r="L100" s="5" t="str">
        <f>IF(ISNUMBER(Raw_Data!G100),"Numeric","Not Numeric")</f>
        <v>Numeric</v>
      </c>
    </row>
    <row r="101" spans="1:12" x14ac:dyDescent="0.25">
      <c r="A101" s="4" t="str">
        <f>Raw_Data!A101</f>
        <v>SD</v>
      </c>
      <c r="B101" s="1" t="b">
        <f>Raw_Data!T101</f>
        <v>0</v>
      </c>
      <c r="C101" s="1" t="str">
        <f t="shared" si="1"/>
        <v>Retained</v>
      </c>
      <c r="D101" s="1" t="str">
        <f>IF(Raw_Data!S101=0,"Low Contact",IF(Raw_Data!S101&lt;=2,"Normal Contact","High Contact"))</f>
        <v>High Contact</v>
      </c>
      <c r="E101" s="1" t="str">
        <f>IF(AND(Raw_Data!G101&gt;200,Raw_Data!H101&gt;100),"High Usage","Normal Usage")</f>
        <v>Normal Usage</v>
      </c>
      <c r="F101" s="1" t="str" cm="1">
        <f t="array" ref="F101">_xlfn.IFS(B101=TRUE,"High Risk",AND(Raw_Data!S101&gt;=3,Raw_Data!G101&gt;200),"High Risk",Raw_Data!S101&gt;=2,"Medium Risk",TRUE,"Low Risk")</f>
        <v>Medium Risk</v>
      </c>
      <c r="G101" s="1" t="str">
        <f>IF(OR(Raw_Data!D101="Yes",Raw_Data!E101="Yes"),"Has Plan","No Special Plan")</f>
        <v>Has Plan</v>
      </c>
      <c r="H101" s="1" t="str">
        <f>IF(NOT(Raw_Data!S101&gt;=3),"Normal Service Contact","Frequent Service Contact")</f>
        <v>Frequent Service Contact</v>
      </c>
      <c r="I101" s="1" t="str" cm="1">
        <f t="array" ref="I101">_xlfn.SWITCH(Raw_Data!D101,"Yes","International Customer","No","Domestic Plan","Unknown")</f>
        <v>Domestic Plan</v>
      </c>
      <c r="J101" s="1" t="str">
        <f>IF(ISERROR(Raw_Data!G101/0),"Error","Valid")</f>
        <v>Error</v>
      </c>
      <c r="K101" s="1" t="str">
        <f>IF(ISBLANK(Raw_Data!A101),"Missing","Available")</f>
        <v>Available</v>
      </c>
      <c r="L101" s="5" t="str">
        <f>IF(ISNUMBER(Raw_Data!G101),"Numeric","Not Numeric")</f>
        <v>Numeric</v>
      </c>
    </row>
    <row r="102" spans="1:12" x14ac:dyDescent="0.25">
      <c r="A102" s="4" t="str">
        <f>Raw_Data!A102</f>
        <v>MO</v>
      </c>
      <c r="B102" s="1" t="b">
        <f>Raw_Data!T102</f>
        <v>1</v>
      </c>
      <c r="C102" s="1" t="str">
        <f t="shared" si="1"/>
        <v>Churned</v>
      </c>
      <c r="D102" s="1" t="str">
        <f>IF(Raw_Data!S102=0,"Low Contact",IF(Raw_Data!S102&lt;=2,"Normal Contact","High Contact"))</f>
        <v>High Contact</v>
      </c>
      <c r="E102" s="1" t="str">
        <f>IF(AND(Raw_Data!G102&gt;200,Raw_Data!H102&gt;100),"High Usage","Normal Usage")</f>
        <v>Normal Usage</v>
      </c>
      <c r="F102" s="1" t="str" cm="1">
        <f t="array" ref="F102">_xlfn.IFS(B102=TRUE,"High Risk",AND(Raw_Data!S102&gt;=3,Raw_Data!G102&gt;200),"High Risk",Raw_Data!S102&gt;=2,"Medium Risk",TRUE,"Low Risk")</f>
        <v>High Risk</v>
      </c>
      <c r="G102" s="1" t="str">
        <f>IF(OR(Raw_Data!D102="Yes",Raw_Data!E102="Yes"),"Has Plan","No Special Plan")</f>
        <v>No Special Plan</v>
      </c>
      <c r="H102" s="1" t="str">
        <f>IF(NOT(Raw_Data!S102&gt;=3),"Normal Service Contact","Frequent Service Contact")</f>
        <v>Frequent Service Contact</v>
      </c>
      <c r="I102" s="1" t="str" cm="1">
        <f t="array" ref="I102">_xlfn.SWITCH(Raw_Data!D102,"Yes","International Customer","No","Domestic Plan","Unknown")</f>
        <v>Domestic Plan</v>
      </c>
      <c r="J102" s="1" t="str">
        <f>IF(ISERROR(Raw_Data!G102/0),"Error","Valid")</f>
        <v>Error</v>
      </c>
      <c r="K102" s="1" t="str">
        <f>IF(ISBLANK(Raw_Data!A102),"Missing","Available")</f>
        <v>Available</v>
      </c>
      <c r="L102" s="5" t="str">
        <f>IF(ISNUMBER(Raw_Data!G102),"Numeric","Not Numeric")</f>
        <v>Numeric</v>
      </c>
    </row>
    <row r="103" spans="1:12" x14ac:dyDescent="0.25">
      <c r="A103" s="4" t="str">
        <f>Raw_Data!A103</f>
        <v>OK</v>
      </c>
      <c r="B103" s="1" t="b">
        <f>Raw_Data!T103</f>
        <v>0</v>
      </c>
      <c r="C103" s="1" t="str">
        <f t="shared" si="1"/>
        <v>Retained</v>
      </c>
      <c r="D103" s="1" t="str">
        <f>IF(Raw_Data!S103=0,"Low Contact",IF(Raw_Data!S103&lt;=2,"Normal Contact","High Contact"))</f>
        <v>Normal Contact</v>
      </c>
      <c r="E103" s="1" t="str">
        <f>IF(AND(Raw_Data!G103&gt;200,Raw_Data!H103&gt;100),"High Usage","Normal Usage")</f>
        <v>Normal Usage</v>
      </c>
      <c r="F103" s="1" t="str" cm="1">
        <f t="array" ref="F103">_xlfn.IFS(B103=TRUE,"High Risk",AND(Raw_Data!S103&gt;=3,Raw_Data!G103&gt;200),"High Risk",Raw_Data!S103&gt;=2,"Medium Risk",TRUE,"Low Risk")</f>
        <v>Medium Risk</v>
      </c>
      <c r="G103" s="1" t="str">
        <f>IF(OR(Raw_Data!D103="Yes",Raw_Data!E103="Yes"),"Has Plan","No Special Plan")</f>
        <v>No Special Plan</v>
      </c>
      <c r="H103" s="1" t="str">
        <f>IF(NOT(Raw_Data!S103&gt;=3),"Normal Service Contact","Frequent Service Contact")</f>
        <v>Normal Service Contact</v>
      </c>
      <c r="I103" s="1" t="str" cm="1">
        <f t="array" ref="I103">_xlfn.SWITCH(Raw_Data!D103,"Yes","International Customer","No","Domestic Plan","Unknown")</f>
        <v>Domestic Plan</v>
      </c>
      <c r="J103" s="1" t="str">
        <f>IF(ISERROR(Raw_Data!G103/0),"Error","Valid")</f>
        <v>Error</v>
      </c>
      <c r="K103" s="1" t="str">
        <f>IF(ISBLANK(Raw_Data!A103),"Missing","Available")</f>
        <v>Available</v>
      </c>
      <c r="L103" s="5" t="str">
        <f>IF(ISNUMBER(Raw_Data!G103),"Numeric","Not Numeric")</f>
        <v>Numeric</v>
      </c>
    </row>
    <row r="104" spans="1:12" x14ac:dyDescent="0.25">
      <c r="A104" s="4" t="str">
        <f>Raw_Data!A104</f>
        <v>IL</v>
      </c>
      <c r="B104" s="1" t="b">
        <f>Raw_Data!T104</f>
        <v>0</v>
      </c>
      <c r="C104" s="1" t="str">
        <f t="shared" si="1"/>
        <v>Retained</v>
      </c>
      <c r="D104" s="1" t="str">
        <f>IF(Raw_Data!S104=0,"Low Contact",IF(Raw_Data!S104&lt;=2,"Normal Contact","High Contact"))</f>
        <v>Normal Contact</v>
      </c>
      <c r="E104" s="1" t="str">
        <f>IF(AND(Raw_Data!G104&gt;200,Raw_Data!H104&gt;100),"High Usage","Normal Usage")</f>
        <v>High Usage</v>
      </c>
      <c r="F104" s="1" t="str" cm="1">
        <f t="array" ref="F104">_xlfn.IFS(B104=TRUE,"High Risk",AND(Raw_Data!S104&gt;=3,Raw_Data!G104&gt;200),"High Risk",Raw_Data!S104&gt;=2,"Medium Risk",TRUE,"Low Risk")</f>
        <v>Low Risk</v>
      </c>
      <c r="G104" s="1" t="str">
        <f>IF(OR(Raw_Data!D104="Yes",Raw_Data!E104="Yes"),"Has Plan","No Special Plan")</f>
        <v>No Special Plan</v>
      </c>
      <c r="H104" s="1" t="str">
        <f>IF(NOT(Raw_Data!S104&gt;=3),"Normal Service Contact","Frequent Service Contact")</f>
        <v>Normal Service Contact</v>
      </c>
      <c r="I104" s="1" t="str" cm="1">
        <f t="array" ref="I104">_xlfn.SWITCH(Raw_Data!D104,"Yes","International Customer","No","Domestic Plan","Unknown")</f>
        <v>Domestic Plan</v>
      </c>
      <c r="J104" s="1" t="str">
        <f>IF(ISERROR(Raw_Data!G104/0),"Error","Valid")</f>
        <v>Error</v>
      </c>
      <c r="K104" s="1" t="str">
        <f>IF(ISBLANK(Raw_Data!A104),"Missing","Available")</f>
        <v>Available</v>
      </c>
      <c r="L104" s="5" t="str">
        <f>IF(ISNUMBER(Raw_Data!G104),"Numeric","Not Numeric")</f>
        <v>Numeric</v>
      </c>
    </row>
    <row r="105" spans="1:12" x14ac:dyDescent="0.25">
      <c r="A105" s="4" t="str">
        <f>Raw_Data!A105</f>
        <v>NJ</v>
      </c>
      <c r="B105" s="1" t="b">
        <f>Raw_Data!T105</f>
        <v>0</v>
      </c>
      <c r="C105" s="1" t="str">
        <f t="shared" si="1"/>
        <v>Retained</v>
      </c>
      <c r="D105" s="1" t="str">
        <f>IF(Raw_Data!S105=0,"Low Contact",IF(Raw_Data!S105&lt;=2,"Normal Contact","High Contact"))</f>
        <v>Low Contact</v>
      </c>
      <c r="E105" s="1" t="str">
        <f>IF(AND(Raw_Data!G105&gt;200,Raw_Data!H105&gt;100),"High Usage","Normal Usage")</f>
        <v>Normal Usage</v>
      </c>
      <c r="F105" s="1" t="str" cm="1">
        <f t="array" ref="F105">_xlfn.IFS(B105=TRUE,"High Risk",AND(Raw_Data!S105&gt;=3,Raw_Data!G105&gt;200),"High Risk",Raw_Data!S105&gt;=2,"Medium Risk",TRUE,"Low Risk")</f>
        <v>Low Risk</v>
      </c>
      <c r="G105" s="1" t="str">
        <f>IF(OR(Raw_Data!D105="Yes",Raw_Data!E105="Yes"),"Has Plan","No Special Plan")</f>
        <v>Has Plan</v>
      </c>
      <c r="H105" s="1" t="str">
        <f>IF(NOT(Raw_Data!S105&gt;=3),"Normal Service Contact","Frequent Service Contact")</f>
        <v>Normal Service Contact</v>
      </c>
      <c r="I105" s="1" t="str" cm="1">
        <f t="array" ref="I105">_xlfn.SWITCH(Raw_Data!D105,"Yes","International Customer","No","Domestic Plan","Unknown")</f>
        <v>Domestic Plan</v>
      </c>
      <c r="J105" s="1" t="str">
        <f>IF(ISERROR(Raw_Data!G105/0),"Error","Valid")</f>
        <v>Error</v>
      </c>
      <c r="K105" s="1" t="str">
        <f>IF(ISBLANK(Raw_Data!A105),"Missing","Available")</f>
        <v>Available</v>
      </c>
      <c r="L105" s="5" t="str">
        <f>IF(ISNUMBER(Raw_Data!G105),"Numeric","Not Numeric")</f>
        <v>Numeric</v>
      </c>
    </row>
    <row r="106" spans="1:12" x14ac:dyDescent="0.25">
      <c r="A106" s="4" t="str">
        <f>Raw_Data!A106</f>
        <v>LA</v>
      </c>
      <c r="B106" s="1" t="b">
        <f>Raw_Data!T106</f>
        <v>0</v>
      </c>
      <c r="C106" s="1" t="str">
        <f t="shared" si="1"/>
        <v>Retained</v>
      </c>
      <c r="D106" s="1" t="str">
        <f>IF(Raw_Data!S106=0,"Low Contact",IF(Raw_Data!S106&lt;=2,"Normal Contact","High Contact"))</f>
        <v>High Contact</v>
      </c>
      <c r="E106" s="1" t="str">
        <f>IF(AND(Raw_Data!G106&gt;200,Raw_Data!H106&gt;100),"High Usage","Normal Usage")</f>
        <v>Normal Usage</v>
      </c>
      <c r="F106" s="1" t="str" cm="1">
        <f t="array" ref="F106">_xlfn.IFS(B106=TRUE,"High Risk",AND(Raw_Data!S106&gt;=3,Raw_Data!G106&gt;200),"High Risk",Raw_Data!S106&gt;=2,"Medium Risk",TRUE,"Low Risk")</f>
        <v>High Risk</v>
      </c>
      <c r="G106" s="1" t="str">
        <f>IF(OR(Raw_Data!D106="Yes",Raw_Data!E106="Yes"),"Has Plan","No Special Plan")</f>
        <v>No Special Plan</v>
      </c>
      <c r="H106" s="1" t="str">
        <f>IF(NOT(Raw_Data!S106&gt;=3),"Normal Service Contact","Frequent Service Contact")</f>
        <v>Frequent Service Contact</v>
      </c>
      <c r="I106" s="1" t="str" cm="1">
        <f t="array" ref="I106">_xlfn.SWITCH(Raw_Data!D106,"Yes","International Customer","No","Domestic Plan","Unknown")</f>
        <v>Domestic Plan</v>
      </c>
      <c r="J106" s="1" t="str">
        <f>IF(ISERROR(Raw_Data!G106/0),"Error","Valid")</f>
        <v>Error</v>
      </c>
      <c r="K106" s="1" t="str">
        <f>IF(ISBLANK(Raw_Data!A106),"Missing","Available")</f>
        <v>Available</v>
      </c>
      <c r="L106" s="5" t="str">
        <f>IF(ISNUMBER(Raw_Data!G106),"Numeric","Not Numeric")</f>
        <v>Numeric</v>
      </c>
    </row>
    <row r="107" spans="1:12" x14ac:dyDescent="0.25">
      <c r="A107" s="4" t="str">
        <f>Raw_Data!A107</f>
        <v>OR</v>
      </c>
      <c r="B107" s="1" t="b">
        <f>Raw_Data!T107</f>
        <v>0</v>
      </c>
      <c r="C107" s="1" t="str">
        <f t="shared" si="1"/>
        <v>Retained</v>
      </c>
      <c r="D107" s="1" t="str">
        <f>IF(Raw_Data!S107=0,"Low Contact",IF(Raw_Data!S107&lt;=2,"Normal Contact","High Contact"))</f>
        <v>Low Contact</v>
      </c>
      <c r="E107" s="1" t="str">
        <f>IF(AND(Raw_Data!G107&gt;200,Raw_Data!H107&gt;100),"High Usage","Normal Usage")</f>
        <v>High Usage</v>
      </c>
      <c r="F107" s="1" t="str" cm="1">
        <f t="array" ref="F107">_xlfn.IFS(B107=TRUE,"High Risk",AND(Raw_Data!S107&gt;=3,Raw_Data!G107&gt;200),"High Risk",Raw_Data!S107&gt;=2,"Medium Risk",TRUE,"Low Risk")</f>
        <v>Low Risk</v>
      </c>
      <c r="G107" s="1" t="str">
        <f>IF(OR(Raw_Data!D107="Yes",Raw_Data!E107="Yes"),"Has Plan","No Special Plan")</f>
        <v>No Special Plan</v>
      </c>
      <c r="H107" s="1" t="str">
        <f>IF(NOT(Raw_Data!S107&gt;=3),"Normal Service Contact","Frequent Service Contact")</f>
        <v>Normal Service Contact</v>
      </c>
      <c r="I107" s="1" t="str" cm="1">
        <f t="array" ref="I107">_xlfn.SWITCH(Raw_Data!D107,"Yes","International Customer","No","Domestic Plan","Unknown")</f>
        <v>Domestic Plan</v>
      </c>
      <c r="J107" s="1" t="str">
        <f>IF(ISERROR(Raw_Data!G107/0),"Error","Valid")</f>
        <v>Error</v>
      </c>
      <c r="K107" s="1" t="str">
        <f>IF(ISBLANK(Raw_Data!A107),"Missing","Available")</f>
        <v>Available</v>
      </c>
      <c r="L107" s="5" t="str">
        <f>IF(ISNUMBER(Raw_Data!G107),"Numeric","Not Numeric")</f>
        <v>Numeric</v>
      </c>
    </row>
    <row r="108" spans="1:12" x14ac:dyDescent="0.25">
      <c r="A108" s="4" t="str">
        <f>Raw_Data!A108</f>
        <v>RI</v>
      </c>
      <c r="B108" s="1" t="b">
        <f>Raw_Data!T108</f>
        <v>0</v>
      </c>
      <c r="C108" s="1" t="str">
        <f t="shared" si="1"/>
        <v>Retained</v>
      </c>
      <c r="D108" s="1" t="str">
        <f>IF(Raw_Data!S108=0,"Low Contact",IF(Raw_Data!S108&lt;=2,"Normal Contact","High Contact"))</f>
        <v>Low Contact</v>
      </c>
      <c r="E108" s="1" t="str">
        <f>IF(AND(Raw_Data!G108&gt;200,Raw_Data!H108&gt;100),"High Usage","Normal Usage")</f>
        <v>Normal Usage</v>
      </c>
      <c r="F108" s="1" t="str" cm="1">
        <f t="array" ref="F108">_xlfn.IFS(B108=TRUE,"High Risk",AND(Raw_Data!S108&gt;=3,Raw_Data!G108&gt;200),"High Risk",Raw_Data!S108&gt;=2,"Medium Risk",TRUE,"Low Risk")</f>
        <v>Low Risk</v>
      </c>
      <c r="G108" s="1" t="str">
        <f>IF(OR(Raw_Data!D108="Yes",Raw_Data!E108="Yes"),"Has Plan","No Special Plan")</f>
        <v>Has Plan</v>
      </c>
      <c r="H108" s="1" t="str">
        <f>IF(NOT(Raw_Data!S108&gt;=3),"Normal Service Contact","Frequent Service Contact")</f>
        <v>Normal Service Contact</v>
      </c>
      <c r="I108" s="1" t="str" cm="1">
        <f t="array" ref="I108">_xlfn.SWITCH(Raw_Data!D108,"Yes","International Customer","No","Domestic Plan","Unknown")</f>
        <v>Domestic Plan</v>
      </c>
      <c r="J108" s="1" t="str">
        <f>IF(ISERROR(Raw_Data!G108/0),"Error","Valid")</f>
        <v>Error</v>
      </c>
      <c r="K108" s="1" t="str">
        <f>IF(ISBLANK(Raw_Data!A108),"Missing","Available")</f>
        <v>Available</v>
      </c>
      <c r="L108" s="5" t="str">
        <f>IF(ISNUMBER(Raw_Data!G108),"Numeric","Not Numeric")</f>
        <v>Numeric</v>
      </c>
    </row>
    <row r="109" spans="1:12" x14ac:dyDescent="0.25">
      <c r="A109" s="4" t="str">
        <f>Raw_Data!A109</f>
        <v>NC</v>
      </c>
      <c r="B109" s="1" t="b">
        <f>Raw_Data!T109</f>
        <v>0</v>
      </c>
      <c r="C109" s="1" t="str">
        <f t="shared" si="1"/>
        <v>Retained</v>
      </c>
      <c r="D109" s="1" t="str">
        <f>IF(Raw_Data!S109=0,"Low Contact",IF(Raw_Data!S109&lt;=2,"Normal Contact","High Contact"))</f>
        <v>High Contact</v>
      </c>
      <c r="E109" s="1" t="str">
        <f>IF(AND(Raw_Data!G109&gt;200,Raw_Data!H109&gt;100),"High Usage","Normal Usage")</f>
        <v>High Usage</v>
      </c>
      <c r="F109" s="1" t="str" cm="1">
        <f t="array" ref="F109">_xlfn.IFS(B109=TRUE,"High Risk",AND(Raw_Data!S109&gt;=3,Raw_Data!G109&gt;200),"High Risk",Raw_Data!S109&gt;=2,"Medium Risk",TRUE,"Low Risk")</f>
        <v>High Risk</v>
      </c>
      <c r="G109" s="1" t="str">
        <f>IF(OR(Raw_Data!D109="Yes",Raw_Data!E109="Yes"),"Has Plan","No Special Plan")</f>
        <v>No Special Plan</v>
      </c>
      <c r="H109" s="1" t="str">
        <f>IF(NOT(Raw_Data!S109&gt;=3),"Normal Service Contact","Frequent Service Contact")</f>
        <v>Frequent Service Contact</v>
      </c>
      <c r="I109" s="1" t="str" cm="1">
        <f t="array" ref="I109">_xlfn.SWITCH(Raw_Data!D109,"Yes","International Customer","No","Domestic Plan","Unknown")</f>
        <v>Domestic Plan</v>
      </c>
      <c r="J109" s="1" t="str">
        <f>IF(ISERROR(Raw_Data!G109/0),"Error","Valid")</f>
        <v>Error</v>
      </c>
      <c r="K109" s="1" t="str">
        <f>IF(ISBLANK(Raw_Data!A109),"Missing","Available")</f>
        <v>Available</v>
      </c>
      <c r="L109" s="5" t="str">
        <f>IF(ISNUMBER(Raw_Data!G109),"Numeric","Not Numeric")</f>
        <v>Numeric</v>
      </c>
    </row>
    <row r="110" spans="1:12" x14ac:dyDescent="0.25">
      <c r="A110" s="4" t="str">
        <f>Raw_Data!A110</f>
        <v>MD</v>
      </c>
      <c r="B110" s="1" t="b">
        <f>Raw_Data!T110</f>
        <v>0</v>
      </c>
      <c r="C110" s="1" t="str">
        <f t="shared" si="1"/>
        <v>Retained</v>
      </c>
      <c r="D110" s="1" t="str">
        <f>IF(Raw_Data!S110=0,"Low Contact",IF(Raw_Data!S110&lt;=2,"Normal Contact","High Contact"))</f>
        <v>High Contact</v>
      </c>
      <c r="E110" s="1" t="str">
        <f>IF(AND(Raw_Data!G110&gt;200,Raw_Data!H110&gt;100),"High Usage","Normal Usage")</f>
        <v>Normal Usage</v>
      </c>
      <c r="F110" s="1" t="str" cm="1">
        <f t="array" ref="F110">_xlfn.IFS(B110=TRUE,"High Risk",AND(Raw_Data!S110&gt;=3,Raw_Data!G110&gt;200),"High Risk",Raw_Data!S110&gt;=2,"Medium Risk",TRUE,"Low Risk")</f>
        <v>Medium Risk</v>
      </c>
      <c r="G110" s="1" t="str">
        <f>IF(OR(Raw_Data!D110="Yes",Raw_Data!E110="Yes"),"Has Plan","No Special Plan")</f>
        <v>Has Plan</v>
      </c>
      <c r="H110" s="1" t="str">
        <f>IF(NOT(Raw_Data!S110&gt;=3),"Normal Service Contact","Frequent Service Contact")</f>
        <v>Frequent Service Contact</v>
      </c>
      <c r="I110" s="1" t="str" cm="1">
        <f t="array" ref="I110">_xlfn.SWITCH(Raw_Data!D110,"Yes","International Customer","No","Domestic Plan","Unknown")</f>
        <v>Domestic Plan</v>
      </c>
      <c r="J110" s="1" t="str">
        <f>IF(ISERROR(Raw_Data!G110/0),"Error","Valid")</f>
        <v>Error</v>
      </c>
      <c r="K110" s="1" t="str">
        <f>IF(ISBLANK(Raw_Data!A110),"Missing","Available")</f>
        <v>Available</v>
      </c>
      <c r="L110" s="5" t="str">
        <f>IF(ISNUMBER(Raw_Data!G110),"Numeric","Not Numeric")</f>
        <v>Numeric</v>
      </c>
    </row>
    <row r="111" spans="1:12" x14ac:dyDescent="0.25">
      <c r="A111" s="4" t="str">
        <f>Raw_Data!A111</f>
        <v>WI</v>
      </c>
      <c r="B111" s="1" t="b">
        <f>Raw_Data!T111</f>
        <v>1</v>
      </c>
      <c r="C111" s="1" t="str">
        <f t="shared" si="1"/>
        <v>Churned</v>
      </c>
      <c r="D111" s="1" t="str">
        <f>IF(Raw_Data!S111=0,"Low Contact",IF(Raw_Data!S111&lt;=2,"Normal Contact","High Contact"))</f>
        <v>Normal Contact</v>
      </c>
      <c r="E111" s="1" t="str">
        <f>IF(AND(Raw_Data!G111&gt;200,Raw_Data!H111&gt;100),"High Usage","Normal Usage")</f>
        <v>Normal Usage</v>
      </c>
      <c r="F111" s="1" t="str" cm="1">
        <f t="array" ref="F111">_xlfn.IFS(B111=TRUE,"High Risk",AND(Raw_Data!S111&gt;=3,Raw_Data!G111&gt;200),"High Risk",Raw_Data!S111&gt;=2,"Medium Risk",TRUE,"Low Risk")</f>
        <v>High Risk</v>
      </c>
      <c r="G111" s="1" t="str">
        <f>IF(OR(Raw_Data!D111="Yes",Raw_Data!E111="Yes"),"Has Plan","No Special Plan")</f>
        <v>Has Plan</v>
      </c>
      <c r="H111" s="1" t="str">
        <f>IF(NOT(Raw_Data!S111&gt;=3),"Normal Service Contact","Frequent Service Contact")</f>
        <v>Normal Service Contact</v>
      </c>
      <c r="I111" s="1" t="str" cm="1">
        <f t="array" ref="I111">_xlfn.SWITCH(Raw_Data!D111,"Yes","International Customer","No","Domestic Plan","Unknown")</f>
        <v>International Customer</v>
      </c>
      <c r="J111" s="1" t="str">
        <f>IF(ISERROR(Raw_Data!G111/0),"Error","Valid")</f>
        <v>Error</v>
      </c>
      <c r="K111" s="1" t="str">
        <f>IF(ISBLANK(Raw_Data!A111),"Missing","Available")</f>
        <v>Available</v>
      </c>
      <c r="L111" s="5" t="str">
        <f>IF(ISNUMBER(Raw_Data!G111),"Numeric","Not Numeric")</f>
        <v>Numeric</v>
      </c>
    </row>
    <row r="112" spans="1:12" x14ac:dyDescent="0.25">
      <c r="A112" s="4" t="str">
        <f>Raw_Data!A112</f>
        <v>VT</v>
      </c>
      <c r="B112" s="1" t="b">
        <f>Raw_Data!T112</f>
        <v>1</v>
      </c>
      <c r="C112" s="1" t="str">
        <f t="shared" si="1"/>
        <v>Churned</v>
      </c>
      <c r="D112" s="1" t="str">
        <f>IF(Raw_Data!S112=0,"Low Contact",IF(Raw_Data!S112&lt;=2,"Normal Contact","High Contact"))</f>
        <v>High Contact</v>
      </c>
      <c r="E112" s="1" t="str">
        <f>IF(AND(Raw_Data!G112&gt;200,Raw_Data!H112&gt;100),"High Usage","Normal Usage")</f>
        <v>Normal Usage</v>
      </c>
      <c r="F112" s="1" t="str" cm="1">
        <f t="array" ref="F112">_xlfn.IFS(B112=TRUE,"High Risk",AND(Raw_Data!S112&gt;=3,Raw_Data!G112&gt;200),"High Risk",Raw_Data!S112&gt;=2,"Medium Risk",TRUE,"Low Risk")</f>
        <v>High Risk</v>
      </c>
      <c r="G112" s="1" t="str">
        <f>IF(OR(Raw_Data!D112="Yes",Raw_Data!E112="Yes"),"Has Plan","No Special Plan")</f>
        <v>Has Plan</v>
      </c>
      <c r="H112" s="1" t="str">
        <f>IF(NOT(Raw_Data!S112&gt;=3),"Normal Service Contact","Frequent Service Contact")</f>
        <v>Frequent Service Contact</v>
      </c>
      <c r="I112" s="1" t="str" cm="1">
        <f t="array" ref="I112">_xlfn.SWITCH(Raw_Data!D112,"Yes","International Customer","No","Domestic Plan","Unknown")</f>
        <v>International Customer</v>
      </c>
      <c r="J112" s="1" t="str">
        <f>IF(ISERROR(Raw_Data!G112/0),"Error","Valid")</f>
        <v>Error</v>
      </c>
      <c r="K112" s="1" t="str">
        <f>IF(ISBLANK(Raw_Data!A112),"Missing","Available")</f>
        <v>Available</v>
      </c>
      <c r="L112" s="5" t="str">
        <f>IF(ISNUMBER(Raw_Data!G112),"Numeric","Not Numeric")</f>
        <v>Numeric</v>
      </c>
    </row>
    <row r="113" spans="1:12" x14ac:dyDescent="0.25">
      <c r="A113" s="4" t="str">
        <f>Raw_Data!A113</f>
        <v>NY</v>
      </c>
      <c r="B113" s="1" t="b">
        <f>Raw_Data!T113</f>
        <v>0</v>
      </c>
      <c r="C113" s="1" t="str">
        <f t="shared" si="1"/>
        <v>Retained</v>
      </c>
      <c r="D113" s="1" t="str">
        <f>IF(Raw_Data!S113=0,"Low Contact",IF(Raw_Data!S113&lt;=2,"Normal Contact","High Contact"))</f>
        <v>Normal Contact</v>
      </c>
      <c r="E113" s="1" t="str">
        <f>IF(AND(Raw_Data!G113&gt;200,Raw_Data!H113&gt;100),"High Usage","Normal Usage")</f>
        <v>High Usage</v>
      </c>
      <c r="F113" s="1" t="str" cm="1">
        <f t="array" ref="F113">_xlfn.IFS(B113=TRUE,"High Risk",AND(Raw_Data!S113&gt;=3,Raw_Data!G113&gt;200),"High Risk",Raw_Data!S113&gt;=2,"Medium Risk",TRUE,"Low Risk")</f>
        <v>Medium Risk</v>
      </c>
      <c r="G113" s="1" t="str">
        <f>IF(OR(Raw_Data!D113="Yes",Raw_Data!E113="Yes"),"Has Plan","No Special Plan")</f>
        <v>No Special Plan</v>
      </c>
      <c r="H113" s="1" t="str">
        <f>IF(NOT(Raw_Data!S113&gt;=3),"Normal Service Contact","Frequent Service Contact")</f>
        <v>Normal Service Contact</v>
      </c>
      <c r="I113" s="1" t="str" cm="1">
        <f t="array" ref="I113">_xlfn.SWITCH(Raw_Data!D113,"Yes","International Customer","No","Domestic Plan","Unknown")</f>
        <v>Domestic Plan</v>
      </c>
      <c r="J113" s="1" t="str">
        <f>IF(ISERROR(Raw_Data!G113/0),"Error","Valid")</f>
        <v>Error</v>
      </c>
      <c r="K113" s="1" t="str">
        <f>IF(ISBLANK(Raw_Data!A113),"Missing","Available")</f>
        <v>Available</v>
      </c>
      <c r="L113" s="5" t="str">
        <f>IF(ISNUMBER(Raw_Data!G113),"Numeric","Not Numeric")</f>
        <v>Numeric</v>
      </c>
    </row>
    <row r="114" spans="1:12" x14ac:dyDescent="0.25">
      <c r="A114" s="4" t="str">
        <f>Raw_Data!A114</f>
        <v>VT</v>
      </c>
      <c r="B114" s="1" t="b">
        <f>Raw_Data!T114</f>
        <v>0</v>
      </c>
      <c r="C114" s="1" t="str">
        <f t="shared" si="1"/>
        <v>Retained</v>
      </c>
      <c r="D114" s="1" t="str">
        <f>IF(Raw_Data!S114=0,"Low Contact",IF(Raw_Data!S114&lt;=2,"Normal Contact","High Contact"))</f>
        <v>Normal Contact</v>
      </c>
      <c r="E114" s="1" t="str">
        <f>IF(AND(Raw_Data!G114&gt;200,Raw_Data!H114&gt;100),"High Usage","Normal Usage")</f>
        <v>Normal Usage</v>
      </c>
      <c r="F114" s="1" t="str" cm="1">
        <f t="array" ref="F114">_xlfn.IFS(B114=TRUE,"High Risk",AND(Raw_Data!S114&gt;=3,Raw_Data!G114&gt;200),"High Risk",Raw_Data!S114&gt;=2,"Medium Risk",TRUE,"Low Risk")</f>
        <v>Low Risk</v>
      </c>
      <c r="G114" s="1" t="str">
        <f>IF(OR(Raw_Data!D114="Yes",Raw_Data!E114="Yes"),"Has Plan","No Special Plan")</f>
        <v>No Special Plan</v>
      </c>
      <c r="H114" s="1" t="str">
        <f>IF(NOT(Raw_Data!S114&gt;=3),"Normal Service Contact","Frequent Service Contact")</f>
        <v>Normal Service Contact</v>
      </c>
      <c r="I114" s="1" t="str" cm="1">
        <f t="array" ref="I114">_xlfn.SWITCH(Raw_Data!D114,"Yes","International Customer","No","Domestic Plan","Unknown")</f>
        <v>Domestic Plan</v>
      </c>
      <c r="J114" s="1" t="str">
        <f>IF(ISERROR(Raw_Data!G114/0),"Error","Valid")</f>
        <v>Error</v>
      </c>
      <c r="K114" s="1" t="str">
        <f>IF(ISBLANK(Raw_Data!A114),"Missing","Available")</f>
        <v>Available</v>
      </c>
      <c r="L114" s="5" t="str">
        <f>IF(ISNUMBER(Raw_Data!G114),"Numeric","Not Numeric")</f>
        <v>Numeric</v>
      </c>
    </row>
    <row r="115" spans="1:12" x14ac:dyDescent="0.25">
      <c r="A115" s="4" t="str">
        <f>Raw_Data!A115</f>
        <v>AZ</v>
      </c>
      <c r="B115" s="1" t="b">
        <f>Raw_Data!T115</f>
        <v>0</v>
      </c>
      <c r="C115" s="1" t="str">
        <f t="shared" si="1"/>
        <v>Retained</v>
      </c>
      <c r="D115" s="1" t="str">
        <f>IF(Raw_Data!S115=0,"Low Contact",IF(Raw_Data!S115&lt;=2,"Normal Contact","High Contact"))</f>
        <v>Normal Contact</v>
      </c>
      <c r="E115" s="1" t="str">
        <f>IF(AND(Raw_Data!G115&gt;200,Raw_Data!H115&gt;100),"High Usage","Normal Usage")</f>
        <v>Normal Usage</v>
      </c>
      <c r="F115" s="1" t="str" cm="1">
        <f t="array" ref="F115">_xlfn.IFS(B115=TRUE,"High Risk",AND(Raw_Data!S115&gt;=3,Raw_Data!G115&gt;200),"High Risk",Raw_Data!S115&gt;=2,"Medium Risk",TRUE,"Low Risk")</f>
        <v>Medium Risk</v>
      </c>
      <c r="G115" s="1" t="str">
        <f>IF(OR(Raw_Data!D115="Yes",Raw_Data!E115="Yes"),"Has Plan","No Special Plan")</f>
        <v>Has Plan</v>
      </c>
      <c r="H115" s="1" t="str">
        <f>IF(NOT(Raw_Data!S115&gt;=3),"Normal Service Contact","Frequent Service Contact")</f>
        <v>Normal Service Contact</v>
      </c>
      <c r="I115" s="1" t="str" cm="1">
        <f t="array" ref="I115">_xlfn.SWITCH(Raw_Data!D115,"Yes","International Customer","No","Domestic Plan","Unknown")</f>
        <v>Domestic Plan</v>
      </c>
      <c r="J115" s="1" t="str">
        <f>IF(ISERROR(Raw_Data!G115/0),"Error","Valid")</f>
        <v>Error</v>
      </c>
      <c r="K115" s="1" t="str">
        <f>IF(ISBLANK(Raw_Data!A115),"Missing","Available")</f>
        <v>Available</v>
      </c>
      <c r="L115" s="5" t="str">
        <f>IF(ISNUMBER(Raw_Data!G115),"Numeric","Not Numeric")</f>
        <v>Numeric</v>
      </c>
    </row>
    <row r="116" spans="1:12" x14ac:dyDescent="0.25">
      <c r="A116" s="4" t="str">
        <f>Raw_Data!A116</f>
        <v>WV</v>
      </c>
      <c r="B116" s="1" t="b">
        <f>Raw_Data!T116</f>
        <v>1</v>
      </c>
      <c r="C116" s="1" t="str">
        <f t="shared" si="1"/>
        <v>Churned</v>
      </c>
      <c r="D116" s="1" t="str">
        <f>IF(Raw_Data!S116=0,"Low Contact",IF(Raw_Data!S116&lt;=2,"Normal Contact","High Contact"))</f>
        <v>Normal Contact</v>
      </c>
      <c r="E116" s="1" t="str">
        <f>IF(AND(Raw_Data!G116&gt;200,Raw_Data!H116&gt;100),"High Usage","Normal Usage")</f>
        <v>High Usage</v>
      </c>
      <c r="F116" s="1" t="str" cm="1">
        <f t="array" ref="F116">_xlfn.IFS(B116=TRUE,"High Risk",AND(Raw_Data!S116&gt;=3,Raw_Data!G116&gt;200),"High Risk",Raw_Data!S116&gt;=2,"Medium Risk",TRUE,"Low Risk")</f>
        <v>High Risk</v>
      </c>
      <c r="G116" s="1" t="str">
        <f>IF(OR(Raw_Data!D116="Yes",Raw_Data!E116="Yes"),"Has Plan","No Special Plan")</f>
        <v>No Special Plan</v>
      </c>
      <c r="H116" s="1" t="str">
        <f>IF(NOT(Raw_Data!S116&gt;=3),"Normal Service Contact","Frequent Service Contact")</f>
        <v>Normal Service Contact</v>
      </c>
      <c r="I116" s="1" t="str" cm="1">
        <f t="array" ref="I116">_xlfn.SWITCH(Raw_Data!D116,"Yes","International Customer","No","Domestic Plan","Unknown")</f>
        <v>Domestic Plan</v>
      </c>
      <c r="J116" s="1" t="str">
        <f>IF(ISERROR(Raw_Data!G116/0),"Error","Valid")</f>
        <v>Error</v>
      </c>
      <c r="K116" s="1" t="str">
        <f>IF(ISBLANK(Raw_Data!A116),"Missing","Available")</f>
        <v>Available</v>
      </c>
      <c r="L116" s="5" t="str">
        <f>IF(ISNUMBER(Raw_Data!G116),"Numeric","Not Numeric")</f>
        <v>Numeric</v>
      </c>
    </row>
    <row r="117" spans="1:12" x14ac:dyDescent="0.25">
      <c r="A117" s="4" t="str">
        <f>Raw_Data!A117</f>
        <v>OK</v>
      </c>
      <c r="B117" s="1" t="b">
        <f>Raw_Data!T117</f>
        <v>1</v>
      </c>
      <c r="C117" s="1" t="str">
        <f t="shared" si="1"/>
        <v>Churned</v>
      </c>
      <c r="D117" s="1" t="str">
        <f>IF(Raw_Data!S117=0,"Low Contact",IF(Raw_Data!S117&lt;=2,"Normal Contact","High Contact"))</f>
        <v>High Contact</v>
      </c>
      <c r="E117" s="1" t="str">
        <f>IF(AND(Raw_Data!G117&gt;200,Raw_Data!H117&gt;100),"High Usage","Normal Usage")</f>
        <v>Normal Usage</v>
      </c>
      <c r="F117" s="1" t="str" cm="1">
        <f t="array" ref="F117">_xlfn.IFS(B117=TRUE,"High Risk",AND(Raw_Data!S117&gt;=3,Raw_Data!G117&gt;200),"High Risk",Raw_Data!S117&gt;=2,"Medium Risk",TRUE,"Low Risk")</f>
        <v>High Risk</v>
      </c>
      <c r="G117" s="1" t="str">
        <f>IF(OR(Raw_Data!D117="Yes",Raw_Data!E117="Yes"),"Has Plan","No Special Plan")</f>
        <v>No Special Plan</v>
      </c>
      <c r="H117" s="1" t="str">
        <f>IF(NOT(Raw_Data!S117&gt;=3),"Normal Service Contact","Frequent Service Contact")</f>
        <v>Frequent Service Contact</v>
      </c>
      <c r="I117" s="1" t="str" cm="1">
        <f t="array" ref="I117">_xlfn.SWITCH(Raw_Data!D117,"Yes","International Customer","No","Domestic Plan","Unknown")</f>
        <v>Domestic Plan</v>
      </c>
      <c r="J117" s="1" t="str">
        <f>IF(ISERROR(Raw_Data!G117/0),"Error","Valid")</f>
        <v>Error</v>
      </c>
      <c r="K117" s="1" t="str">
        <f>IF(ISBLANK(Raw_Data!A117),"Missing","Available")</f>
        <v>Available</v>
      </c>
      <c r="L117" s="5" t="str">
        <f>IF(ISNUMBER(Raw_Data!G117),"Numeric","Not Numeric")</f>
        <v>Numeric</v>
      </c>
    </row>
    <row r="118" spans="1:12" x14ac:dyDescent="0.25">
      <c r="A118" s="4" t="str">
        <f>Raw_Data!A118</f>
        <v>WI</v>
      </c>
      <c r="B118" s="1" t="b">
        <f>Raw_Data!T118</f>
        <v>0</v>
      </c>
      <c r="C118" s="1" t="str">
        <f t="shared" si="1"/>
        <v>Retained</v>
      </c>
      <c r="D118" s="1" t="str">
        <f>IF(Raw_Data!S118=0,"Low Contact",IF(Raw_Data!S118&lt;=2,"Normal Contact","High Contact"))</f>
        <v>Normal Contact</v>
      </c>
      <c r="E118" s="1" t="str">
        <f>IF(AND(Raw_Data!G118&gt;200,Raw_Data!H118&gt;100),"High Usage","Normal Usage")</f>
        <v>Normal Usage</v>
      </c>
      <c r="F118" s="1" t="str" cm="1">
        <f t="array" ref="F118">_xlfn.IFS(B118=TRUE,"High Risk",AND(Raw_Data!S118&gt;=3,Raw_Data!G118&gt;200),"High Risk",Raw_Data!S118&gt;=2,"Medium Risk",TRUE,"Low Risk")</f>
        <v>Low Risk</v>
      </c>
      <c r="G118" s="1" t="str">
        <f>IF(OR(Raw_Data!D118="Yes",Raw_Data!E118="Yes"),"Has Plan","No Special Plan")</f>
        <v>Has Plan</v>
      </c>
      <c r="H118" s="1" t="str">
        <f>IF(NOT(Raw_Data!S118&gt;=3),"Normal Service Contact","Frequent Service Contact")</f>
        <v>Normal Service Contact</v>
      </c>
      <c r="I118" s="1" t="str" cm="1">
        <f t="array" ref="I118">_xlfn.SWITCH(Raw_Data!D118,"Yes","International Customer","No","Domestic Plan","Unknown")</f>
        <v>Domestic Plan</v>
      </c>
      <c r="J118" s="1" t="str">
        <f>IF(ISERROR(Raw_Data!G118/0),"Error","Valid")</f>
        <v>Error</v>
      </c>
      <c r="K118" s="1" t="str">
        <f>IF(ISBLANK(Raw_Data!A118),"Missing","Available")</f>
        <v>Available</v>
      </c>
      <c r="L118" s="5" t="str">
        <f>IF(ISNUMBER(Raw_Data!G118),"Numeric","Not Numeric")</f>
        <v>Numeric</v>
      </c>
    </row>
    <row r="119" spans="1:12" x14ac:dyDescent="0.25">
      <c r="A119" s="4" t="str">
        <f>Raw_Data!A119</f>
        <v>PA</v>
      </c>
      <c r="B119" s="1" t="b">
        <f>Raw_Data!T119</f>
        <v>0</v>
      </c>
      <c r="C119" s="1" t="str">
        <f t="shared" si="1"/>
        <v>Retained</v>
      </c>
      <c r="D119" s="1" t="str">
        <f>IF(Raw_Data!S119=0,"Low Contact",IF(Raw_Data!S119&lt;=2,"Normal Contact","High Contact"))</f>
        <v>Normal Contact</v>
      </c>
      <c r="E119" s="1" t="str">
        <f>IF(AND(Raw_Data!G119&gt;200,Raw_Data!H119&gt;100),"High Usage","Normal Usage")</f>
        <v>Normal Usage</v>
      </c>
      <c r="F119" s="1" t="str" cm="1">
        <f t="array" ref="F119">_xlfn.IFS(B119=TRUE,"High Risk",AND(Raw_Data!S119&gt;=3,Raw_Data!G119&gt;200),"High Risk",Raw_Data!S119&gt;=2,"Medium Risk",TRUE,"Low Risk")</f>
        <v>Low Risk</v>
      </c>
      <c r="G119" s="1" t="str">
        <f>IF(OR(Raw_Data!D119="Yes",Raw_Data!E119="Yes"),"Has Plan","No Special Plan")</f>
        <v>No Special Plan</v>
      </c>
      <c r="H119" s="1" t="str">
        <f>IF(NOT(Raw_Data!S119&gt;=3),"Normal Service Contact","Frequent Service Contact")</f>
        <v>Normal Service Contact</v>
      </c>
      <c r="I119" s="1" t="str" cm="1">
        <f t="array" ref="I119">_xlfn.SWITCH(Raw_Data!D119,"Yes","International Customer","No","Domestic Plan","Unknown")</f>
        <v>Domestic Plan</v>
      </c>
      <c r="J119" s="1" t="str">
        <f>IF(ISERROR(Raw_Data!G119/0),"Error","Valid")</f>
        <v>Error</v>
      </c>
      <c r="K119" s="1" t="str">
        <f>IF(ISBLANK(Raw_Data!A119),"Missing","Available")</f>
        <v>Available</v>
      </c>
      <c r="L119" s="5" t="str">
        <f>IF(ISNUMBER(Raw_Data!G119),"Numeric","Not Numeric")</f>
        <v>Numeric</v>
      </c>
    </row>
    <row r="120" spans="1:12" x14ac:dyDescent="0.25">
      <c r="A120" s="4" t="str">
        <f>Raw_Data!A120</f>
        <v>NY</v>
      </c>
      <c r="B120" s="1" t="b">
        <f>Raw_Data!T120</f>
        <v>0</v>
      </c>
      <c r="C120" s="1" t="str">
        <f t="shared" si="1"/>
        <v>Retained</v>
      </c>
      <c r="D120" s="1" t="str">
        <f>IF(Raw_Data!S120=0,"Low Contact",IF(Raw_Data!S120&lt;=2,"Normal Contact","High Contact"))</f>
        <v>Normal Contact</v>
      </c>
      <c r="E120" s="1" t="str">
        <f>IF(AND(Raw_Data!G120&gt;200,Raw_Data!H120&gt;100),"High Usage","Normal Usage")</f>
        <v>Normal Usage</v>
      </c>
      <c r="F120" s="1" t="str" cm="1">
        <f t="array" ref="F120">_xlfn.IFS(B120=TRUE,"High Risk",AND(Raw_Data!S120&gt;=3,Raw_Data!G120&gt;200),"High Risk",Raw_Data!S120&gt;=2,"Medium Risk",TRUE,"Low Risk")</f>
        <v>Medium Risk</v>
      </c>
      <c r="G120" s="1" t="str">
        <f>IF(OR(Raw_Data!D120="Yes",Raw_Data!E120="Yes"),"Has Plan","No Special Plan")</f>
        <v>No Special Plan</v>
      </c>
      <c r="H120" s="1" t="str">
        <f>IF(NOT(Raw_Data!S120&gt;=3),"Normal Service Contact","Frequent Service Contact")</f>
        <v>Normal Service Contact</v>
      </c>
      <c r="I120" s="1" t="str" cm="1">
        <f t="array" ref="I120">_xlfn.SWITCH(Raw_Data!D120,"Yes","International Customer","No","Domestic Plan","Unknown")</f>
        <v>Domestic Plan</v>
      </c>
      <c r="J120" s="1" t="str">
        <f>IF(ISERROR(Raw_Data!G120/0),"Error","Valid")</f>
        <v>Error</v>
      </c>
      <c r="K120" s="1" t="str">
        <f>IF(ISBLANK(Raw_Data!A120),"Missing","Available")</f>
        <v>Available</v>
      </c>
      <c r="L120" s="5" t="str">
        <f>IF(ISNUMBER(Raw_Data!G120),"Numeric","Not Numeric")</f>
        <v>Numeric</v>
      </c>
    </row>
    <row r="121" spans="1:12" x14ac:dyDescent="0.25">
      <c r="A121" s="4" t="str">
        <f>Raw_Data!A121</f>
        <v>NM</v>
      </c>
      <c r="B121" s="1" t="b">
        <f>Raw_Data!T121</f>
        <v>0</v>
      </c>
      <c r="C121" s="1" t="str">
        <f t="shared" si="1"/>
        <v>Retained</v>
      </c>
      <c r="D121" s="1" t="str">
        <f>IF(Raw_Data!S121=0,"Low Contact",IF(Raw_Data!S121&lt;=2,"Normal Contact","High Contact"))</f>
        <v>Normal Contact</v>
      </c>
      <c r="E121" s="1" t="str">
        <f>IF(AND(Raw_Data!G121&gt;200,Raw_Data!H121&gt;100),"High Usage","Normal Usage")</f>
        <v>Normal Usage</v>
      </c>
      <c r="F121" s="1" t="str" cm="1">
        <f t="array" ref="F121">_xlfn.IFS(B121=TRUE,"High Risk",AND(Raw_Data!S121&gt;=3,Raw_Data!G121&gt;200),"High Risk",Raw_Data!S121&gt;=2,"Medium Risk",TRUE,"Low Risk")</f>
        <v>Low Risk</v>
      </c>
      <c r="G121" s="1" t="str">
        <f>IF(OR(Raw_Data!D121="Yes",Raw_Data!E121="Yes"),"Has Plan","No Special Plan")</f>
        <v>No Special Plan</v>
      </c>
      <c r="H121" s="1" t="str">
        <f>IF(NOT(Raw_Data!S121&gt;=3),"Normal Service Contact","Frequent Service Contact")</f>
        <v>Normal Service Contact</v>
      </c>
      <c r="I121" s="1" t="str" cm="1">
        <f t="array" ref="I121">_xlfn.SWITCH(Raw_Data!D121,"Yes","International Customer","No","Domestic Plan","Unknown")</f>
        <v>Domestic Plan</v>
      </c>
      <c r="J121" s="1" t="str">
        <f>IF(ISERROR(Raw_Data!G121/0),"Error","Valid")</f>
        <v>Error</v>
      </c>
      <c r="K121" s="1" t="str">
        <f>IF(ISBLANK(Raw_Data!A121),"Missing","Available")</f>
        <v>Available</v>
      </c>
      <c r="L121" s="5" t="str">
        <f>IF(ISNUMBER(Raw_Data!G121),"Numeric","Not Numeric")</f>
        <v>Numeric</v>
      </c>
    </row>
    <row r="122" spans="1:12" x14ac:dyDescent="0.25">
      <c r="A122" s="4" t="str">
        <f>Raw_Data!A122</f>
        <v>NC</v>
      </c>
      <c r="B122" s="1" t="b">
        <f>Raw_Data!T122</f>
        <v>0</v>
      </c>
      <c r="C122" s="1" t="str">
        <f t="shared" si="1"/>
        <v>Retained</v>
      </c>
      <c r="D122" s="1" t="str">
        <f>IF(Raw_Data!S122=0,"Low Contact",IF(Raw_Data!S122&lt;=2,"Normal Contact","High Contact"))</f>
        <v>Normal Contact</v>
      </c>
      <c r="E122" s="1" t="str">
        <f>IF(AND(Raw_Data!G122&gt;200,Raw_Data!H122&gt;100),"High Usage","Normal Usage")</f>
        <v>Normal Usage</v>
      </c>
      <c r="F122" s="1" t="str" cm="1">
        <f t="array" ref="F122">_xlfn.IFS(B122=TRUE,"High Risk",AND(Raw_Data!S122&gt;=3,Raw_Data!G122&gt;200),"High Risk",Raw_Data!S122&gt;=2,"Medium Risk",TRUE,"Low Risk")</f>
        <v>Low Risk</v>
      </c>
      <c r="G122" s="1" t="str">
        <f>IF(OR(Raw_Data!D122="Yes",Raw_Data!E122="Yes"),"Has Plan","No Special Plan")</f>
        <v>Has Plan</v>
      </c>
      <c r="H122" s="1" t="str">
        <f>IF(NOT(Raw_Data!S122&gt;=3),"Normal Service Contact","Frequent Service Contact")</f>
        <v>Normal Service Contact</v>
      </c>
      <c r="I122" s="1" t="str" cm="1">
        <f t="array" ref="I122">_xlfn.SWITCH(Raw_Data!D122,"Yes","International Customer","No","Domestic Plan","Unknown")</f>
        <v>Domestic Plan</v>
      </c>
      <c r="J122" s="1" t="str">
        <f>IF(ISERROR(Raw_Data!G122/0),"Error","Valid")</f>
        <v>Error</v>
      </c>
      <c r="K122" s="1" t="str">
        <f>IF(ISBLANK(Raw_Data!A122),"Missing","Available")</f>
        <v>Available</v>
      </c>
      <c r="L122" s="5" t="str">
        <f>IF(ISNUMBER(Raw_Data!G122),"Numeric","Not Numeric")</f>
        <v>Numeric</v>
      </c>
    </row>
    <row r="123" spans="1:12" x14ac:dyDescent="0.25">
      <c r="A123" s="4" t="str">
        <f>Raw_Data!A123</f>
        <v>WY</v>
      </c>
      <c r="B123" s="1" t="b">
        <f>Raw_Data!T123</f>
        <v>0</v>
      </c>
      <c r="C123" s="1" t="str">
        <f t="shared" si="1"/>
        <v>Retained</v>
      </c>
      <c r="D123" s="1" t="str">
        <f>IF(Raw_Data!S123=0,"Low Contact",IF(Raw_Data!S123&lt;=2,"Normal Contact","High Contact"))</f>
        <v>High Contact</v>
      </c>
      <c r="E123" s="1" t="str">
        <f>IF(AND(Raw_Data!G123&gt;200,Raw_Data!H123&gt;100),"High Usage","Normal Usage")</f>
        <v>Normal Usage</v>
      </c>
      <c r="F123" s="1" t="str" cm="1">
        <f t="array" ref="F123">_xlfn.IFS(B123=TRUE,"High Risk",AND(Raw_Data!S123&gt;=3,Raw_Data!G123&gt;200),"High Risk",Raw_Data!S123&gt;=2,"Medium Risk",TRUE,"Low Risk")</f>
        <v>Medium Risk</v>
      </c>
      <c r="G123" s="1" t="str">
        <f>IF(OR(Raw_Data!D123="Yes",Raw_Data!E123="Yes"),"Has Plan","No Special Plan")</f>
        <v>No Special Plan</v>
      </c>
      <c r="H123" s="1" t="str">
        <f>IF(NOT(Raw_Data!S123&gt;=3),"Normal Service Contact","Frequent Service Contact")</f>
        <v>Frequent Service Contact</v>
      </c>
      <c r="I123" s="1" t="str" cm="1">
        <f t="array" ref="I123">_xlfn.SWITCH(Raw_Data!D123,"Yes","International Customer","No","Domestic Plan","Unknown")</f>
        <v>Domestic Plan</v>
      </c>
      <c r="J123" s="1" t="str">
        <f>IF(ISERROR(Raw_Data!G123/0),"Error","Valid")</f>
        <v>Error</v>
      </c>
      <c r="K123" s="1" t="str">
        <f>IF(ISBLANK(Raw_Data!A123),"Missing","Available")</f>
        <v>Available</v>
      </c>
      <c r="L123" s="5" t="str">
        <f>IF(ISNUMBER(Raw_Data!G123),"Numeric","Not Numeric")</f>
        <v>Numeric</v>
      </c>
    </row>
    <row r="124" spans="1:12" x14ac:dyDescent="0.25">
      <c r="A124" s="4" t="str">
        <f>Raw_Data!A124</f>
        <v>PA</v>
      </c>
      <c r="B124" s="1" t="b">
        <f>Raw_Data!T124</f>
        <v>0</v>
      </c>
      <c r="C124" s="1" t="str">
        <f t="shared" si="1"/>
        <v>Retained</v>
      </c>
      <c r="D124" s="1" t="str">
        <f>IF(Raw_Data!S124=0,"Low Contact",IF(Raw_Data!S124&lt;=2,"Normal Contact","High Contact"))</f>
        <v>High Contact</v>
      </c>
      <c r="E124" s="1" t="str">
        <f>IF(AND(Raw_Data!G124&gt;200,Raw_Data!H124&gt;100),"High Usage","Normal Usage")</f>
        <v>High Usage</v>
      </c>
      <c r="F124" s="1" t="str" cm="1">
        <f t="array" ref="F124">_xlfn.IFS(B124=TRUE,"High Risk",AND(Raw_Data!S124&gt;=3,Raw_Data!G124&gt;200),"High Risk",Raw_Data!S124&gt;=2,"Medium Risk",TRUE,"Low Risk")</f>
        <v>High Risk</v>
      </c>
      <c r="G124" s="1" t="str">
        <f>IF(OR(Raw_Data!D124="Yes",Raw_Data!E124="Yes"),"Has Plan","No Special Plan")</f>
        <v>No Special Plan</v>
      </c>
      <c r="H124" s="1" t="str">
        <f>IF(NOT(Raw_Data!S124&gt;=3),"Normal Service Contact","Frequent Service Contact")</f>
        <v>Frequent Service Contact</v>
      </c>
      <c r="I124" s="1" t="str" cm="1">
        <f t="array" ref="I124">_xlfn.SWITCH(Raw_Data!D124,"Yes","International Customer","No","Domestic Plan","Unknown")</f>
        <v>Domestic Plan</v>
      </c>
      <c r="J124" s="1" t="str">
        <f>IF(ISERROR(Raw_Data!G124/0),"Error","Valid")</f>
        <v>Error</v>
      </c>
      <c r="K124" s="1" t="str">
        <f>IF(ISBLANK(Raw_Data!A124),"Missing","Available")</f>
        <v>Available</v>
      </c>
      <c r="L124" s="5" t="str">
        <f>IF(ISNUMBER(Raw_Data!G124),"Numeric","Not Numeric")</f>
        <v>Numeric</v>
      </c>
    </row>
    <row r="125" spans="1:12" x14ac:dyDescent="0.25">
      <c r="A125" s="4" t="str">
        <f>Raw_Data!A125</f>
        <v>NV</v>
      </c>
      <c r="B125" s="1" t="b">
        <f>Raw_Data!T125</f>
        <v>1</v>
      </c>
      <c r="C125" s="1" t="str">
        <f t="shared" si="1"/>
        <v>Churned</v>
      </c>
      <c r="D125" s="1" t="str">
        <f>IF(Raw_Data!S125=0,"Low Contact",IF(Raw_Data!S125&lt;=2,"Normal Contact","High Contact"))</f>
        <v>Normal Contact</v>
      </c>
      <c r="E125" s="1" t="str">
        <f>IF(AND(Raw_Data!G125&gt;200,Raw_Data!H125&gt;100),"High Usage","Normal Usage")</f>
        <v>Normal Usage</v>
      </c>
      <c r="F125" s="1" t="str" cm="1">
        <f t="array" ref="F125">_xlfn.IFS(B125=TRUE,"High Risk",AND(Raw_Data!S125&gt;=3,Raw_Data!G125&gt;200),"High Risk",Raw_Data!S125&gt;=2,"Medium Risk",TRUE,"Low Risk")</f>
        <v>High Risk</v>
      </c>
      <c r="G125" s="1" t="str">
        <f>IF(OR(Raw_Data!D125="Yes",Raw_Data!E125="Yes"),"Has Plan","No Special Plan")</f>
        <v>Has Plan</v>
      </c>
      <c r="H125" s="1" t="str">
        <f>IF(NOT(Raw_Data!S125&gt;=3),"Normal Service Contact","Frequent Service Contact")</f>
        <v>Normal Service Contact</v>
      </c>
      <c r="I125" s="1" t="str" cm="1">
        <f t="array" ref="I125">_xlfn.SWITCH(Raw_Data!D125,"Yes","International Customer","No","Domestic Plan","Unknown")</f>
        <v>International Customer</v>
      </c>
      <c r="J125" s="1" t="str">
        <f>IF(ISERROR(Raw_Data!G125/0),"Error","Valid")</f>
        <v>Error</v>
      </c>
      <c r="K125" s="1" t="str">
        <f>IF(ISBLANK(Raw_Data!A125),"Missing","Available")</f>
        <v>Available</v>
      </c>
      <c r="L125" s="5" t="str">
        <f>IF(ISNUMBER(Raw_Data!G125),"Numeric","Not Numeric")</f>
        <v>Numeric</v>
      </c>
    </row>
    <row r="126" spans="1:12" x14ac:dyDescent="0.25">
      <c r="A126" s="4" t="str">
        <f>Raw_Data!A126</f>
        <v>WA</v>
      </c>
      <c r="B126" s="1" t="b">
        <f>Raw_Data!T126</f>
        <v>0</v>
      </c>
      <c r="C126" s="1" t="str">
        <f t="shared" si="1"/>
        <v>Retained</v>
      </c>
      <c r="D126" s="1" t="str">
        <f>IF(Raw_Data!S126=0,"Low Contact",IF(Raw_Data!S126&lt;=2,"Normal Contact","High Contact"))</f>
        <v>Normal Contact</v>
      </c>
      <c r="E126" s="1" t="str">
        <f>IF(AND(Raw_Data!G126&gt;200,Raw_Data!H126&gt;100),"High Usage","Normal Usage")</f>
        <v>Normal Usage</v>
      </c>
      <c r="F126" s="1" t="str" cm="1">
        <f t="array" ref="F126">_xlfn.IFS(B126=TRUE,"High Risk",AND(Raw_Data!S126&gt;=3,Raw_Data!G126&gt;200),"High Risk",Raw_Data!S126&gt;=2,"Medium Risk",TRUE,"Low Risk")</f>
        <v>Medium Risk</v>
      </c>
      <c r="G126" s="1" t="str">
        <f>IF(OR(Raw_Data!D126="Yes",Raw_Data!E126="Yes"),"Has Plan","No Special Plan")</f>
        <v>Has Plan</v>
      </c>
      <c r="H126" s="1" t="str">
        <f>IF(NOT(Raw_Data!S126&gt;=3),"Normal Service Contact","Frequent Service Contact")</f>
        <v>Normal Service Contact</v>
      </c>
      <c r="I126" s="1" t="str" cm="1">
        <f t="array" ref="I126">_xlfn.SWITCH(Raw_Data!D126,"Yes","International Customer","No","Domestic Plan","Unknown")</f>
        <v>International Customer</v>
      </c>
      <c r="J126" s="1" t="str">
        <f>IF(ISERROR(Raw_Data!G126/0),"Error","Valid")</f>
        <v>Error</v>
      </c>
      <c r="K126" s="1" t="str">
        <f>IF(ISBLANK(Raw_Data!A126),"Missing","Available")</f>
        <v>Available</v>
      </c>
      <c r="L126" s="5" t="str">
        <f>IF(ISNUMBER(Raw_Data!G126),"Numeric","Not Numeric")</f>
        <v>Numeric</v>
      </c>
    </row>
    <row r="127" spans="1:12" x14ac:dyDescent="0.25">
      <c r="A127" s="4" t="str">
        <f>Raw_Data!A127</f>
        <v>FL</v>
      </c>
      <c r="B127" s="1" t="b">
        <f>Raw_Data!T127</f>
        <v>0</v>
      </c>
      <c r="C127" s="1" t="str">
        <f t="shared" si="1"/>
        <v>Retained</v>
      </c>
      <c r="D127" s="1" t="str">
        <f>IF(Raw_Data!S127=0,"Low Contact",IF(Raw_Data!S127&lt;=2,"Normal Contact","High Contact"))</f>
        <v>High Contact</v>
      </c>
      <c r="E127" s="1" t="str">
        <f>IF(AND(Raw_Data!G127&gt;200,Raw_Data!H127&gt;100),"High Usage","Normal Usage")</f>
        <v>Normal Usage</v>
      </c>
      <c r="F127" s="1" t="str" cm="1">
        <f t="array" ref="F127">_xlfn.IFS(B127=TRUE,"High Risk",AND(Raw_Data!S127&gt;=3,Raw_Data!G127&gt;200),"High Risk",Raw_Data!S127&gt;=2,"Medium Risk",TRUE,"Low Risk")</f>
        <v>Medium Risk</v>
      </c>
      <c r="G127" s="1" t="str">
        <f>IF(OR(Raw_Data!D127="Yes",Raw_Data!E127="Yes"),"Has Plan","No Special Plan")</f>
        <v>No Special Plan</v>
      </c>
      <c r="H127" s="1" t="str">
        <f>IF(NOT(Raw_Data!S127&gt;=3),"Normal Service Contact","Frequent Service Contact")</f>
        <v>Frequent Service Contact</v>
      </c>
      <c r="I127" s="1" t="str" cm="1">
        <f t="array" ref="I127">_xlfn.SWITCH(Raw_Data!D127,"Yes","International Customer","No","Domestic Plan","Unknown")</f>
        <v>Domestic Plan</v>
      </c>
      <c r="J127" s="1" t="str">
        <f>IF(ISERROR(Raw_Data!G127/0),"Error","Valid")</f>
        <v>Error</v>
      </c>
      <c r="K127" s="1" t="str">
        <f>IF(ISBLANK(Raw_Data!A127),"Missing","Available")</f>
        <v>Available</v>
      </c>
      <c r="L127" s="5" t="str">
        <f>IF(ISNUMBER(Raw_Data!G127),"Numeric","Not Numeric")</f>
        <v>Numeric</v>
      </c>
    </row>
    <row r="128" spans="1:12" x14ac:dyDescent="0.25">
      <c r="A128" s="4" t="str">
        <f>Raw_Data!A128</f>
        <v>ME</v>
      </c>
      <c r="B128" s="1" t="b">
        <f>Raw_Data!T128</f>
        <v>0</v>
      </c>
      <c r="C128" s="1" t="str">
        <f t="shared" si="1"/>
        <v>Retained</v>
      </c>
      <c r="D128" s="1" t="str">
        <f>IF(Raw_Data!S128=0,"Low Contact",IF(Raw_Data!S128&lt;=2,"Normal Contact","High Contact"))</f>
        <v>Normal Contact</v>
      </c>
      <c r="E128" s="1" t="str">
        <f>IF(AND(Raw_Data!G128&gt;200,Raw_Data!H128&gt;100),"High Usage","Normal Usage")</f>
        <v>Normal Usage</v>
      </c>
      <c r="F128" s="1" t="str" cm="1">
        <f t="array" ref="F128">_xlfn.IFS(B128=TRUE,"High Risk",AND(Raw_Data!S128&gt;=3,Raw_Data!G128&gt;200),"High Risk",Raw_Data!S128&gt;=2,"Medium Risk",TRUE,"Low Risk")</f>
        <v>Medium Risk</v>
      </c>
      <c r="G128" s="1" t="str">
        <f>IF(OR(Raw_Data!D128="Yes",Raw_Data!E128="Yes"),"Has Plan","No Special Plan")</f>
        <v>Has Plan</v>
      </c>
      <c r="H128" s="1" t="str">
        <f>IF(NOT(Raw_Data!S128&gt;=3),"Normal Service Contact","Frequent Service Contact")</f>
        <v>Normal Service Contact</v>
      </c>
      <c r="I128" s="1" t="str" cm="1">
        <f t="array" ref="I128">_xlfn.SWITCH(Raw_Data!D128,"Yes","International Customer","No","Domestic Plan","Unknown")</f>
        <v>Domestic Plan</v>
      </c>
      <c r="J128" s="1" t="str">
        <f>IF(ISERROR(Raw_Data!G128/0),"Error","Valid")</f>
        <v>Error</v>
      </c>
      <c r="K128" s="1" t="str">
        <f>IF(ISBLANK(Raw_Data!A128),"Missing","Available")</f>
        <v>Available</v>
      </c>
      <c r="L128" s="5" t="str">
        <f>IF(ISNUMBER(Raw_Data!G128),"Numeric","Not Numeric")</f>
        <v>Numeric</v>
      </c>
    </row>
    <row r="129" spans="1:12" x14ac:dyDescent="0.25">
      <c r="A129" s="4" t="str">
        <f>Raw_Data!A129</f>
        <v>LA</v>
      </c>
      <c r="B129" s="1" t="b">
        <f>Raw_Data!T129</f>
        <v>0</v>
      </c>
      <c r="C129" s="1" t="str">
        <f t="shared" si="1"/>
        <v>Retained</v>
      </c>
      <c r="D129" s="1" t="str">
        <f>IF(Raw_Data!S129=0,"Low Contact",IF(Raw_Data!S129&lt;=2,"Normal Contact","High Contact"))</f>
        <v>High Contact</v>
      </c>
      <c r="E129" s="1" t="str">
        <f>IF(AND(Raw_Data!G129&gt;200,Raw_Data!H129&gt;100),"High Usage","Normal Usage")</f>
        <v>High Usage</v>
      </c>
      <c r="F129" s="1" t="str" cm="1">
        <f t="array" ref="F129">_xlfn.IFS(B129=TRUE,"High Risk",AND(Raw_Data!S129&gt;=3,Raw_Data!G129&gt;200),"High Risk",Raw_Data!S129&gt;=2,"Medium Risk",TRUE,"Low Risk")</f>
        <v>High Risk</v>
      </c>
      <c r="G129" s="1" t="str">
        <f>IF(OR(Raw_Data!D129="Yes",Raw_Data!E129="Yes"),"Has Plan","No Special Plan")</f>
        <v>No Special Plan</v>
      </c>
      <c r="H129" s="1" t="str">
        <f>IF(NOT(Raw_Data!S129&gt;=3),"Normal Service Contact","Frequent Service Contact")</f>
        <v>Frequent Service Contact</v>
      </c>
      <c r="I129" s="1" t="str" cm="1">
        <f t="array" ref="I129">_xlfn.SWITCH(Raw_Data!D129,"Yes","International Customer","No","Domestic Plan","Unknown")</f>
        <v>Domestic Plan</v>
      </c>
      <c r="J129" s="1" t="str">
        <f>IF(ISERROR(Raw_Data!G129/0),"Error","Valid")</f>
        <v>Error</v>
      </c>
      <c r="K129" s="1" t="str">
        <f>IF(ISBLANK(Raw_Data!A129),"Missing","Available")</f>
        <v>Available</v>
      </c>
      <c r="L129" s="5" t="str">
        <f>IF(ISNUMBER(Raw_Data!G129),"Numeric","Not Numeric")</f>
        <v>Numeric</v>
      </c>
    </row>
    <row r="130" spans="1:12" x14ac:dyDescent="0.25">
      <c r="A130" s="4" t="str">
        <f>Raw_Data!A130</f>
        <v>KS</v>
      </c>
      <c r="B130" s="1" t="b">
        <f>Raw_Data!T130</f>
        <v>0</v>
      </c>
      <c r="C130" s="1" t="str">
        <f t="shared" si="1"/>
        <v>Retained</v>
      </c>
      <c r="D130" s="1" t="str">
        <f>IF(Raw_Data!S130=0,"Low Contact",IF(Raw_Data!S130&lt;=2,"Normal Contact","High Contact"))</f>
        <v>Normal Contact</v>
      </c>
      <c r="E130" s="1" t="str">
        <f>IF(AND(Raw_Data!G130&gt;200,Raw_Data!H130&gt;100),"High Usage","Normal Usage")</f>
        <v>Normal Usage</v>
      </c>
      <c r="F130" s="1" t="str" cm="1">
        <f t="array" ref="F130">_xlfn.IFS(B130=TRUE,"High Risk",AND(Raw_Data!S130&gt;=3,Raw_Data!G130&gt;200),"High Risk",Raw_Data!S130&gt;=2,"Medium Risk",TRUE,"Low Risk")</f>
        <v>Low Risk</v>
      </c>
      <c r="G130" s="1" t="str">
        <f>IF(OR(Raw_Data!D130="Yes",Raw_Data!E130="Yes"),"Has Plan","No Special Plan")</f>
        <v>No Special Plan</v>
      </c>
      <c r="H130" s="1" t="str">
        <f>IF(NOT(Raw_Data!S130&gt;=3),"Normal Service Contact","Frequent Service Contact")</f>
        <v>Normal Service Contact</v>
      </c>
      <c r="I130" s="1" t="str" cm="1">
        <f t="array" ref="I130">_xlfn.SWITCH(Raw_Data!D130,"Yes","International Customer","No","Domestic Plan","Unknown")</f>
        <v>Domestic Plan</v>
      </c>
      <c r="J130" s="1" t="str">
        <f>IF(ISERROR(Raw_Data!G130/0),"Error","Valid")</f>
        <v>Error</v>
      </c>
      <c r="K130" s="1" t="str">
        <f>IF(ISBLANK(Raw_Data!A130),"Missing","Available")</f>
        <v>Available</v>
      </c>
      <c r="L130" s="5" t="str">
        <f>IF(ISNUMBER(Raw_Data!G130),"Numeric","Not Numeric")</f>
        <v>Numeric</v>
      </c>
    </row>
    <row r="131" spans="1:12" x14ac:dyDescent="0.25">
      <c r="A131" s="4" t="str">
        <f>Raw_Data!A131</f>
        <v>ND</v>
      </c>
      <c r="B131" s="1" t="b">
        <f>Raw_Data!T131</f>
        <v>0</v>
      </c>
      <c r="C131" s="1" t="str">
        <f t="shared" ref="C131:C194" si="2">IF(B131=TRUE,"Churned","Retained")</f>
        <v>Retained</v>
      </c>
      <c r="D131" s="1" t="str">
        <f>IF(Raw_Data!S131=0,"Low Contact",IF(Raw_Data!S131&lt;=2,"Normal Contact","High Contact"))</f>
        <v>Normal Contact</v>
      </c>
      <c r="E131" s="1" t="str">
        <f>IF(AND(Raw_Data!G131&gt;200,Raw_Data!H131&gt;100),"High Usage","Normal Usage")</f>
        <v>Normal Usage</v>
      </c>
      <c r="F131" s="1" t="str" cm="1">
        <f t="array" ref="F131">_xlfn.IFS(B131=TRUE,"High Risk",AND(Raw_Data!S131&gt;=3,Raw_Data!G131&gt;200),"High Risk",Raw_Data!S131&gt;=2,"Medium Risk",TRUE,"Low Risk")</f>
        <v>Medium Risk</v>
      </c>
      <c r="G131" s="1" t="str">
        <f>IF(OR(Raw_Data!D131="Yes",Raw_Data!E131="Yes"),"Has Plan","No Special Plan")</f>
        <v>No Special Plan</v>
      </c>
      <c r="H131" s="1" t="str">
        <f>IF(NOT(Raw_Data!S131&gt;=3),"Normal Service Contact","Frequent Service Contact")</f>
        <v>Normal Service Contact</v>
      </c>
      <c r="I131" s="1" t="str" cm="1">
        <f t="array" ref="I131">_xlfn.SWITCH(Raw_Data!D131,"Yes","International Customer","No","Domestic Plan","Unknown")</f>
        <v>Domestic Plan</v>
      </c>
      <c r="J131" s="1" t="str">
        <f>IF(ISERROR(Raw_Data!G131/0),"Error","Valid")</f>
        <v>Error</v>
      </c>
      <c r="K131" s="1" t="str">
        <f>IF(ISBLANK(Raw_Data!A131),"Missing","Available")</f>
        <v>Available</v>
      </c>
      <c r="L131" s="5" t="str">
        <f>IF(ISNUMBER(Raw_Data!G131),"Numeric","Not Numeric")</f>
        <v>Numeric</v>
      </c>
    </row>
    <row r="132" spans="1:12" x14ac:dyDescent="0.25">
      <c r="A132" s="4" t="str">
        <f>Raw_Data!A132</f>
        <v>WV</v>
      </c>
      <c r="B132" s="1" t="b">
        <f>Raw_Data!T132</f>
        <v>0</v>
      </c>
      <c r="C132" s="1" t="str">
        <f t="shared" si="2"/>
        <v>Retained</v>
      </c>
      <c r="D132" s="1" t="str">
        <f>IF(Raw_Data!S132=0,"Low Contact",IF(Raw_Data!S132&lt;=2,"Normal Contact","High Contact"))</f>
        <v>Low Contact</v>
      </c>
      <c r="E132" s="1" t="str">
        <f>IF(AND(Raw_Data!G132&gt;200,Raw_Data!H132&gt;100),"High Usage","Normal Usage")</f>
        <v>Normal Usage</v>
      </c>
      <c r="F132" s="1" t="str" cm="1">
        <f t="array" ref="F132">_xlfn.IFS(B132=TRUE,"High Risk",AND(Raw_Data!S132&gt;=3,Raw_Data!G132&gt;200),"High Risk",Raw_Data!S132&gt;=2,"Medium Risk",TRUE,"Low Risk")</f>
        <v>Low Risk</v>
      </c>
      <c r="G132" s="1" t="str">
        <f>IF(OR(Raw_Data!D132="Yes",Raw_Data!E132="Yes"),"Has Plan","No Special Plan")</f>
        <v>Has Plan</v>
      </c>
      <c r="H132" s="1" t="str">
        <f>IF(NOT(Raw_Data!S132&gt;=3),"Normal Service Contact","Frequent Service Contact")</f>
        <v>Normal Service Contact</v>
      </c>
      <c r="I132" s="1" t="str" cm="1">
        <f t="array" ref="I132">_xlfn.SWITCH(Raw_Data!D132,"Yes","International Customer","No","Domestic Plan","Unknown")</f>
        <v>Domestic Plan</v>
      </c>
      <c r="J132" s="1" t="str">
        <f>IF(ISERROR(Raw_Data!G132/0),"Error","Valid")</f>
        <v>Error</v>
      </c>
      <c r="K132" s="1" t="str">
        <f>IF(ISBLANK(Raw_Data!A132),"Missing","Available")</f>
        <v>Available</v>
      </c>
      <c r="L132" s="5" t="str">
        <f>IF(ISNUMBER(Raw_Data!G132),"Numeric","Not Numeric")</f>
        <v>Numeric</v>
      </c>
    </row>
    <row r="133" spans="1:12" x14ac:dyDescent="0.25">
      <c r="A133" s="4" t="str">
        <f>Raw_Data!A133</f>
        <v>AR</v>
      </c>
      <c r="B133" s="1" t="b">
        <f>Raw_Data!T133</f>
        <v>0</v>
      </c>
      <c r="C133" s="1" t="str">
        <f t="shared" si="2"/>
        <v>Retained</v>
      </c>
      <c r="D133" s="1" t="str">
        <f>IF(Raw_Data!S133=0,"Low Contact",IF(Raw_Data!S133&lt;=2,"Normal Contact","High Contact"))</f>
        <v>High Contact</v>
      </c>
      <c r="E133" s="1" t="str">
        <f>IF(AND(Raw_Data!G133&gt;200,Raw_Data!H133&gt;100),"High Usage","Normal Usage")</f>
        <v>High Usage</v>
      </c>
      <c r="F133" s="1" t="str" cm="1">
        <f t="array" ref="F133">_xlfn.IFS(B133=TRUE,"High Risk",AND(Raw_Data!S133&gt;=3,Raw_Data!G133&gt;200),"High Risk",Raw_Data!S133&gt;=2,"Medium Risk",TRUE,"Low Risk")</f>
        <v>High Risk</v>
      </c>
      <c r="G133" s="1" t="str">
        <f>IF(OR(Raw_Data!D133="Yes",Raw_Data!E133="Yes"),"Has Plan","No Special Plan")</f>
        <v>Has Plan</v>
      </c>
      <c r="H133" s="1" t="str">
        <f>IF(NOT(Raw_Data!S133&gt;=3),"Normal Service Contact","Frequent Service Contact")</f>
        <v>Frequent Service Contact</v>
      </c>
      <c r="I133" s="1" t="str" cm="1">
        <f t="array" ref="I133">_xlfn.SWITCH(Raw_Data!D133,"Yes","International Customer","No","Domestic Plan","Unknown")</f>
        <v>Domestic Plan</v>
      </c>
      <c r="J133" s="1" t="str">
        <f>IF(ISERROR(Raw_Data!G133/0),"Error","Valid")</f>
        <v>Error</v>
      </c>
      <c r="K133" s="1" t="str">
        <f>IF(ISBLANK(Raw_Data!A133),"Missing","Available")</f>
        <v>Available</v>
      </c>
      <c r="L133" s="5" t="str">
        <f>IF(ISNUMBER(Raw_Data!G133),"Numeric","Not Numeric")</f>
        <v>Numeric</v>
      </c>
    </row>
    <row r="134" spans="1:12" x14ac:dyDescent="0.25">
      <c r="A134" s="4" t="str">
        <f>Raw_Data!A134</f>
        <v>CA</v>
      </c>
      <c r="B134" s="1" t="b">
        <f>Raw_Data!T134</f>
        <v>1</v>
      </c>
      <c r="C134" s="1" t="str">
        <f t="shared" si="2"/>
        <v>Churned</v>
      </c>
      <c r="D134" s="1" t="str">
        <f>IF(Raw_Data!S134=0,"Low Contact",IF(Raw_Data!S134&lt;=2,"Normal Contact","High Contact"))</f>
        <v>High Contact</v>
      </c>
      <c r="E134" s="1" t="str">
        <f>IF(AND(Raw_Data!G134&gt;200,Raw_Data!H134&gt;100),"High Usage","Normal Usage")</f>
        <v>Normal Usage</v>
      </c>
      <c r="F134" s="1" t="str" cm="1">
        <f t="array" ref="F134">_xlfn.IFS(B134=TRUE,"High Risk",AND(Raw_Data!S134&gt;=3,Raw_Data!G134&gt;200),"High Risk",Raw_Data!S134&gt;=2,"Medium Risk",TRUE,"Low Risk")</f>
        <v>High Risk</v>
      </c>
      <c r="G134" s="1" t="str">
        <f>IF(OR(Raw_Data!D134="Yes",Raw_Data!E134="Yes"),"Has Plan","No Special Plan")</f>
        <v>No Special Plan</v>
      </c>
      <c r="H134" s="1" t="str">
        <f>IF(NOT(Raw_Data!S134&gt;=3),"Normal Service Contact","Frequent Service Contact")</f>
        <v>Frequent Service Contact</v>
      </c>
      <c r="I134" s="1" t="str" cm="1">
        <f t="array" ref="I134">_xlfn.SWITCH(Raw_Data!D134,"Yes","International Customer","No","Domestic Plan","Unknown")</f>
        <v>Domestic Plan</v>
      </c>
      <c r="J134" s="1" t="str">
        <f>IF(ISERROR(Raw_Data!G134/0),"Error","Valid")</f>
        <v>Error</v>
      </c>
      <c r="K134" s="1" t="str">
        <f>IF(ISBLANK(Raw_Data!A134),"Missing","Available")</f>
        <v>Available</v>
      </c>
      <c r="L134" s="5" t="str">
        <f>IF(ISNUMBER(Raw_Data!G134),"Numeric","Not Numeric")</f>
        <v>Numeric</v>
      </c>
    </row>
    <row r="135" spans="1:12" x14ac:dyDescent="0.25">
      <c r="A135" s="4" t="str">
        <f>Raw_Data!A135</f>
        <v>MN</v>
      </c>
      <c r="B135" s="1" t="b">
        <f>Raw_Data!T135</f>
        <v>0</v>
      </c>
      <c r="C135" s="1" t="str">
        <f t="shared" si="2"/>
        <v>Retained</v>
      </c>
      <c r="D135" s="1" t="str">
        <f>IF(Raw_Data!S135=0,"Low Contact",IF(Raw_Data!S135&lt;=2,"Normal Contact","High Contact"))</f>
        <v>Low Contact</v>
      </c>
      <c r="E135" s="1" t="str">
        <f>IF(AND(Raw_Data!G135&gt;200,Raw_Data!H135&gt;100),"High Usage","Normal Usage")</f>
        <v>Normal Usage</v>
      </c>
      <c r="F135" s="1" t="str" cm="1">
        <f t="array" ref="F135">_xlfn.IFS(B135=TRUE,"High Risk",AND(Raw_Data!S135&gt;=3,Raw_Data!G135&gt;200),"High Risk",Raw_Data!S135&gt;=2,"Medium Risk",TRUE,"Low Risk")</f>
        <v>Low Risk</v>
      </c>
      <c r="G135" s="1" t="str">
        <f>IF(OR(Raw_Data!D135="Yes",Raw_Data!E135="Yes"),"Has Plan","No Special Plan")</f>
        <v>No Special Plan</v>
      </c>
      <c r="H135" s="1" t="str">
        <f>IF(NOT(Raw_Data!S135&gt;=3),"Normal Service Contact","Frequent Service Contact")</f>
        <v>Normal Service Contact</v>
      </c>
      <c r="I135" s="1" t="str" cm="1">
        <f t="array" ref="I135">_xlfn.SWITCH(Raw_Data!D135,"Yes","International Customer","No","Domestic Plan","Unknown")</f>
        <v>Domestic Plan</v>
      </c>
      <c r="J135" s="1" t="str">
        <f>IF(ISERROR(Raw_Data!G135/0),"Error","Valid")</f>
        <v>Error</v>
      </c>
      <c r="K135" s="1" t="str">
        <f>IF(ISBLANK(Raw_Data!A135),"Missing","Available")</f>
        <v>Available</v>
      </c>
      <c r="L135" s="5" t="str">
        <f>IF(ISNUMBER(Raw_Data!G135),"Numeric","Not Numeric")</f>
        <v>Numeric</v>
      </c>
    </row>
    <row r="136" spans="1:12" x14ac:dyDescent="0.25">
      <c r="A136" s="4" t="str">
        <f>Raw_Data!A136</f>
        <v>MT</v>
      </c>
      <c r="B136" s="1" t="b">
        <f>Raw_Data!T136</f>
        <v>1</v>
      </c>
      <c r="C136" s="1" t="str">
        <f t="shared" si="2"/>
        <v>Churned</v>
      </c>
      <c r="D136" s="1" t="str">
        <f>IF(Raw_Data!S136=0,"Low Contact",IF(Raw_Data!S136&lt;=2,"Normal Contact","High Contact"))</f>
        <v>Normal Contact</v>
      </c>
      <c r="E136" s="1" t="str">
        <f>IF(AND(Raw_Data!G136&gt;200,Raw_Data!H136&gt;100),"High Usage","Normal Usage")</f>
        <v>Normal Usage</v>
      </c>
      <c r="F136" s="1" t="str" cm="1">
        <f t="array" ref="F136">_xlfn.IFS(B136=TRUE,"High Risk",AND(Raw_Data!S136&gt;=3,Raw_Data!G136&gt;200),"High Risk",Raw_Data!S136&gt;=2,"Medium Risk",TRUE,"Low Risk")</f>
        <v>High Risk</v>
      </c>
      <c r="G136" s="1" t="str">
        <f>IF(OR(Raw_Data!D136="Yes",Raw_Data!E136="Yes"),"Has Plan","No Special Plan")</f>
        <v>No Special Plan</v>
      </c>
      <c r="H136" s="1" t="str">
        <f>IF(NOT(Raw_Data!S136&gt;=3),"Normal Service Contact","Frequent Service Contact")</f>
        <v>Normal Service Contact</v>
      </c>
      <c r="I136" s="1" t="str" cm="1">
        <f t="array" ref="I136">_xlfn.SWITCH(Raw_Data!D136,"Yes","International Customer","No","Domestic Plan","Unknown")</f>
        <v>Domestic Plan</v>
      </c>
      <c r="J136" s="1" t="str">
        <f>IF(ISERROR(Raw_Data!G136/0),"Error","Valid")</f>
        <v>Error</v>
      </c>
      <c r="K136" s="1" t="str">
        <f>IF(ISBLANK(Raw_Data!A136),"Missing","Available")</f>
        <v>Available</v>
      </c>
      <c r="L136" s="5" t="str">
        <f>IF(ISNUMBER(Raw_Data!G136),"Numeric","Not Numeric")</f>
        <v>Numeric</v>
      </c>
    </row>
    <row r="137" spans="1:12" x14ac:dyDescent="0.25">
      <c r="A137" s="4" t="str">
        <f>Raw_Data!A137</f>
        <v>SD</v>
      </c>
      <c r="B137" s="1" t="b">
        <f>Raw_Data!T137</f>
        <v>0</v>
      </c>
      <c r="C137" s="1" t="str">
        <f t="shared" si="2"/>
        <v>Retained</v>
      </c>
      <c r="D137" s="1" t="str">
        <f>IF(Raw_Data!S137=0,"Low Contact",IF(Raw_Data!S137&lt;=2,"Normal Contact","High Contact"))</f>
        <v>Normal Contact</v>
      </c>
      <c r="E137" s="1" t="str">
        <f>IF(AND(Raw_Data!G137&gt;200,Raw_Data!H137&gt;100),"High Usage","Normal Usage")</f>
        <v>Normal Usage</v>
      </c>
      <c r="F137" s="1" t="str" cm="1">
        <f t="array" ref="F137">_xlfn.IFS(B137=TRUE,"High Risk",AND(Raw_Data!S137&gt;=3,Raw_Data!G137&gt;200),"High Risk",Raw_Data!S137&gt;=2,"Medium Risk",TRUE,"Low Risk")</f>
        <v>Low Risk</v>
      </c>
      <c r="G137" s="1" t="str">
        <f>IF(OR(Raw_Data!D137="Yes",Raw_Data!E137="Yes"),"Has Plan","No Special Plan")</f>
        <v>Has Plan</v>
      </c>
      <c r="H137" s="1" t="str">
        <f>IF(NOT(Raw_Data!S137&gt;=3),"Normal Service Contact","Frequent Service Contact")</f>
        <v>Normal Service Contact</v>
      </c>
      <c r="I137" s="1" t="str" cm="1">
        <f t="array" ref="I137">_xlfn.SWITCH(Raw_Data!D137,"Yes","International Customer","No","Domestic Plan","Unknown")</f>
        <v>Domestic Plan</v>
      </c>
      <c r="J137" s="1" t="str">
        <f>IF(ISERROR(Raw_Data!G137/0),"Error","Valid")</f>
        <v>Error</v>
      </c>
      <c r="K137" s="1" t="str">
        <f>IF(ISBLANK(Raw_Data!A137),"Missing","Available")</f>
        <v>Available</v>
      </c>
      <c r="L137" s="5" t="str">
        <f>IF(ISNUMBER(Raw_Data!G137),"Numeric","Not Numeric")</f>
        <v>Numeric</v>
      </c>
    </row>
    <row r="138" spans="1:12" x14ac:dyDescent="0.25">
      <c r="A138" s="4" t="str">
        <f>Raw_Data!A138</f>
        <v>MT</v>
      </c>
      <c r="B138" s="1" t="b">
        <f>Raw_Data!T138</f>
        <v>0</v>
      </c>
      <c r="C138" s="1" t="str">
        <f t="shared" si="2"/>
        <v>Retained</v>
      </c>
      <c r="D138" s="1" t="str">
        <f>IF(Raw_Data!S138=0,"Low Contact",IF(Raw_Data!S138&lt;=2,"Normal Contact","High Contact"))</f>
        <v>Low Contact</v>
      </c>
      <c r="E138" s="1" t="str">
        <f>IF(AND(Raw_Data!G138&gt;200,Raw_Data!H138&gt;100),"High Usage","Normal Usage")</f>
        <v>Normal Usage</v>
      </c>
      <c r="F138" s="1" t="str" cm="1">
        <f t="array" ref="F138">_xlfn.IFS(B138=TRUE,"High Risk",AND(Raw_Data!S138&gt;=3,Raw_Data!G138&gt;200),"High Risk",Raw_Data!S138&gt;=2,"Medium Risk",TRUE,"Low Risk")</f>
        <v>Low Risk</v>
      </c>
      <c r="G138" s="1" t="str">
        <f>IF(OR(Raw_Data!D138="Yes",Raw_Data!E138="Yes"),"Has Plan","No Special Plan")</f>
        <v>No Special Plan</v>
      </c>
      <c r="H138" s="1" t="str">
        <f>IF(NOT(Raw_Data!S138&gt;=3),"Normal Service Contact","Frequent Service Contact")</f>
        <v>Normal Service Contact</v>
      </c>
      <c r="I138" s="1" t="str" cm="1">
        <f t="array" ref="I138">_xlfn.SWITCH(Raw_Data!D138,"Yes","International Customer","No","Domestic Plan","Unknown")</f>
        <v>Domestic Plan</v>
      </c>
      <c r="J138" s="1" t="str">
        <f>IF(ISERROR(Raw_Data!G138/0),"Error","Valid")</f>
        <v>Error</v>
      </c>
      <c r="K138" s="1" t="str">
        <f>IF(ISBLANK(Raw_Data!A138),"Missing","Available")</f>
        <v>Available</v>
      </c>
      <c r="L138" s="5" t="str">
        <f>IF(ISNUMBER(Raw_Data!G138),"Numeric","Not Numeric")</f>
        <v>Numeric</v>
      </c>
    </row>
    <row r="139" spans="1:12" x14ac:dyDescent="0.25">
      <c r="A139" s="4" t="str">
        <f>Raw_Data!A139</f>
        <v>WV</v>
      </c>
      <c r="B139" s="1" t="b">
        <f>Raw_Data!T139</f>
        <v>0</v>
      </c>
      <c r="C139" s="1" t="str">
        <f t="shared" si="2"/>
        <v>Retained</v>
      </c>
      <c r="D139" s="1" t="str">
        <f>IF(Raw_Data!S139=0,"Low Contact",IF(Raw_Data!S139&lt;=2,"Normal Contact","High Contact"))</f>
        <v>Normal Contact</v>
      </c>
      <c r="E139" s="1" t="str">
        <f>IF(AND(Raw_Data!G139&gt;200,Raw_Data!H139&gt;100),"High Usage","Normal Usage")</f>
        <v>High Usage</v>
      </c>
      <c r="F139" s="1" t="str" cm="1">
        <f t="array" ref="F139">_xlfn.IFS(B139=TRUE,"High Risk",AND(Raw_Data!S139&gt;=3,Raw_Data!G139&gt;200),"High Risk",Raw_Data!S139&gt;=2,"Medium Risk",TRUE,"Low Risk")</f>
        <v>Low Risk</v>
      </c>
      <c r="G139" s="1" t="str">
        <f>IF(OR(Raw_Data!D139="Yes",Raw_Data!E139="Yes"),"Has Plan","No Special Plan")</f>
        <v>Has Plan</v>
      </c>
      <c r="H139" s="1" t="str">
        <f>IF(NOT(Raw_Data!S139&gt;=3),"Normal Service Contact","Frequent Service Contact")</f>
        <v>Normal Service Contact</v>
      </c>
      <c r="I139" s="1" t="str" cm="1">
        <f t="array" ref="I139">_xlfn.SWITCH(Raw_Data!D139,"Yes","International Customer","No","Domestic Plan","Unknown")</f>
        <v>Domestic Plan</v>
      </c>
      <c r="J139" s="1" t="str">
        <f>IF(ISERROR(Raw_Data!G139/0),"Error","Valid")</f>
        <v>Error</v>
      </c>
      <c r="K139" s="1" t="str">
        <f>IF(ISBLANK(Raw_Data!A139),"Missing","Available")</f>
        <v>Available</v>
      </c>
      <c r="L139" s="5" t="str">
        <f>IF(ISNUMBER(Raw_Data!G139),"Numeric","Not Numeric")</f>
        <v>Numeric</v>
      </c>
    </row>
    <row r="140" spans="1:12" x14ac:dyDescent="0.25">
      <c r="A140" s="4" t="str">
        <f>Raw_Data!A140</f>
        <v>CT</v>
      </c>
      <c r="B140" s="1" t="b">
        <f>Raw_Data!T140</f>
        <v>0</v>
      </c>
      <c r="C140" s="1" t="str">
        <f t="shared" si="2"/>
        <v>Retained</v>
      </c>
      <c r="D140" s="1" t="str">
        <f>IF(Raw_Data!S140=0,"Low Contact",IF(Raw_Data!S140&lt;=2,"Normal Contact","High Contact"))</f>
        <v>Normal Contact</v>
      </c>
      <c r="E140" s="1" t="str">
        <f>IF(AND(Raw_Data!G140&gt;200,Raw_Data!H140&gt;100),"High Usage","Normal Usage")</f>
        <v>Normal Usage</v>
      </c>
      <c r="F140" s="1" t="str" cm="1">
        <f t="array" ref="F140">_xlfn.IFS(B140=TRUE,"High Risk",AND(Raw_Data!S140&gt;=3,Raw_Data!G140&gt;200),"High Risk",Raw_Data!S140&gt;=2,"Medium Risk",TRUE,"Low Risk")</f>
        <v>Medium Risk</v>
      </c>
      <c r="G140" s="1" t="str">
        <f>IF(OR(Raw_Data!D140="Yes",Raw_Data!E140="Yes"),"Has Plan","No Special Plan")</f>
        <v>Has Plan</v>
      </c>
      <c r="H140" s="1" t="str">
        <f>IF(NOT(Raw_Data!S140&gt;=3),"Normal Service Contact","Frequent Service Contact")</f>
        <v>Normal Service Contact</v>
      </c>
      <c r="I140" s="1" t="str" cm="1">
        <f t="array" ref="I140">_xlfn.SWITCH(Raw_Data!D140,"Yes","International Customer","No","Domestic Plan","Unknown")</f>
        <v>Domestic Plan</v>
      </c>
      <c r="J140" s="1" t="str">
        <f>IF(ISERROR(Raw_Data!G140/0),"Error","Valid")</f>
        <v>Error</v>
      </c>
      <c r="K140" s="1" t="str">
        <f>IF(ISBLANK(Raw_Data!A140),"Missing","Available")</f>
        <v>Available</v>
      </c>
      <c r="L140" s="5" t="str">
        <f>IF(ISNUMBER(Raw_Data!G140),"Numeric","Not Numeric")</f>
        <v>Numeric</v>
      </c>
    </row>
    <row r="141" spans="1:12" x14ac:dyDescent="0.25">
      <c r="A141" s="4" t="str">
        <f>Raw_Data!A141</f>
        <v>DE</v>
      </c>
      <c r="B141" s="1" t="b">
        <f>Raw_Data!T141</f>
        <v>0</v>
      </c>
      <c r="C141" s="1" t="str">
        <f t="shared" si="2"/>
        <v>Retained</v>
      </c>
      <c r="D141" s="1" t="str">
        <f>IF(Raw_Data!S141=0,"Low Contact",IF(Raw_Data!S141&lt;=2,"Normal Contact","High Contact"))</f>
        <v>Normal Contact</v>
      </c>
      <c r="E141" s="1" t="str">
        <f>IF(AND(Raw_Data!G141&gt;200,Raw_Data!H141&gt;100),"High Usage","Normal Usage")</f>
        <v>Normal Usage</v>
      </c>
      <c r="F141" s="1" t="str" cm="1">
        <f t="array" ref="F141">_xlfn.IFS(B141=TRUE,"High Risk",AND(Raw_Data!S141&gt;=3,Raw_Data!G141&gt;200),"High Risk",Raw_Data!S141&gt;=2,"Medium Risk",TRUE,"Low Risk")</f>
        <v>Low Risk</v>
      </c>
      <c r="G141" s="1" t="str">
        <f>IF(OR(Raw_Data!D141="Yes",Raw_Data!E141="Yes"),"Has Plan","No Special Plan")</f>
        <v>No Special Plan</v>
      </c>
      <c r="H141" s="1" t="str">
        <f>IF(NOT(Raw_Data!S141&gt;=3),"Normal Service Contact","Frequent Service Contact")</f>
        <v>Normal Service Contact</v>
      </c>
      <c r="I141" s="1" t="str" cm="1">
        <f t="array" ref="I141">_xlfn.SWITCH(Raw_Data!D141,"Yes","International Customer","No","Domestic Plan","Unknown")</f>
        <v>Domestic Plan</v>
      </c>
      <c r="J141" s="1" t="str">
        <f>IF(ISERROR(Raw_Data!G141/0),"Error","Valid")</f>
        <v>Error</v>
      </c>
      <c r="K141" s="1" t="str">
        <f>IF(ISBLANK(Raw_Data!A141),"Missing","Available")</f>
        <v>Available</v>
      </c>
      <c r="L141" s="5" t="str">
        <f>IF(ISNUMBER(Raw_Data!G141),"Numeric","Not Numeric")</f>
        <v>Numeric</v>
      </c>
    </row>
    <row r="142" spans="1:12" x14ac:dyDescent="0.25">
      <c r="A142" s="4" t="str">
        <f>Raw_Data!A142</f>
        <v>LA</v>
      </c>
      <c r="B142" s="1" t="b">
        <f>Raw_Data!T142</f>
        <v>0</v>
      </c>
      <c r="C142" s="1" t="str">
        <f t="shared" si="2"/>
        <v>Retained</v>
      </c>
      <c r="D142" s="1" t="str">
        <f>IF(Raw_Data!S142=0,"Low Contact",IF(Raw_Data!S142&lt;=2,"Normal Contact","High Contact"))</f>
        <v>Normal Contact</v>
      </c>
      <c r="E142" s="1" t="str">
        <f>IF(AND(Raw_Data!G142&gt;200,Raw_Data!H142&gt;100),"High Usage","Normal Usage")</f>
        <v>High Usage</v>
      </c>
      <c r="F142" s="1" t="str" cm="1">
        <f t="array" ref="F142">_xlfn.IFS(B142=TRUE,"High Risk",AND(Raw_Data!S142&gt;=3,Raw_Data!G142&gt;200),"High Risk",Raw_Data!S142&gt;=2,"Medium Risk",TRUE,"Low Risk")</f>
        <v>Low Risk</v>
      </c>
      <c r="G142" s="1" t="str">
        <f>IF(OR(Raw_Data!D142="Yes",Raw_Data!E142="Yes"),"Has Plan","No Special Plan")</f>
        <v>No Special Plan</v>
      </c>
      <c r="H142" s="1" t="str">
        <f>IF(NOT(Raw_Data!S142&gt;=3),"Normal Service Contact","Frequent Service Contact")</f>
        <v>Normal Service Contact</v>
      </c>
      <c r="I142" s="1" t="str" cm="1">
        <f t="array" ref="I142">_xlfn.SWITCH(Raw_Data!D142,"Yes","International Customer","No","Domestic Plan","Unknown")</f>
        <v>Domestic Plan</v>
      </c>
      <c r="J142" s="1" t="str">
        <f>IF(ISERROR(Raw_Data!G142/0),"Error","Valid")</f>
        <v>Error</v>
      </c>
      <c r="K142" s="1" t="str">
        <f>IF(ISBLANK(Raw_Data!A142),"Missing","Available")</f>
        <v>Available</v>
      </c>
      <c r="L142" s="5" t="str">
        <f>IF(ISNUMBER(Raw_Data!G142),"Numeric","Not Numeric")</f>
        <v>Numeric</v>
      </c>
    </row>
    <row r="143" spans="1:12" x14ac:dyDescent="0.25">
      <c r="A143" s="4" t="str">
        <f>Raw_Data!A143</f>
        <v>KS</v>
      </c>
      <c r="B143" s="1" t="b">
        <f>Raw_Data!T143</f>
        <v>0</v>
      </c>
      <c r="C143" s="1" t="str">
        <f t="shared" si="2"/>
        <v>Retained</v>
      </c>
      <c r="D143" s="1" t="str">
        <f>IF(Raw_Data!S143=0,"Low Contact",IF(Raw_Data!S143&lt;=2,"Normal Contact","High Contact"))</f>
        <v>Normal Contact</v>
      </c>
      <c r="E143" s="1" t="str">
        <f>IF(AND(Raw_Data!G143&gt;200,Raw_Data!H143&gt;100),"High Usage","Normal Usage")</f>
        <v>Normal Usage</v>
      </c>
      <c r="F143" s="1" t="str" cm="1">
        <f t="array" ref="F143">_xlfn.IFS(B143=TRUE,"High Risk",AND(Raw_Data!S143&gt;=3,Raw_Data!G143&gt;200),"High Risk",Raw_Data!S143&gt;=2,"Medium Risk",TRUE,"Low Risk")</f>
        <v>Low Risk</v>
      </c>
      <c r="G143" s="1" t="str">
        <f>IF(OR(Raw_Data!D143="Yes",Raw_Data!E143="Yes"),"Has Plan","No Special Plan")</f>
        <v>No Special Plan</v>
      </c>
      <c r="H143" s="1" t="str">
        <f>IF(NOT(Raw_Data!S143&gt;=3),"Normal Service Contact","Frequent Service Contact")</f>
        <v>Normal Service Contact</v>
      </c>
      <c r="I143" s="1" t="str" cm="1">
        <f t="array" ref="I143">_xlfn.SWITCH(Raw_Data!D143,"Yes","International Customer","No","Domestic Plan","Unknown")</f>
        <v>Domestic Plan</v>
      </c>
      <c r="J143" s="1" t="str">
        <f>IF(ISERROR(Raw_Data!G143/0),"Error","Valid")</f>
        <v>Error</v>
      </c>
      <c r="K143" s="1" t="str">
        <f>IF(ISBLANK(Raw_Data!A143),"Missing","Available")</f>
        <v>Available</v>
      </c>
      <c r="L143" s="5" t="str">
        <f>IF(ISNUMBER(Raw_Data!G143),"Numeric","Not Numeric")</f>
        <v>Numeric</v>
      </c>
    </row>
    <row r="144" spans="1:12" x14ac:dyDescent="0.25">
      <c r="A144" s="4" t="str">
        <f>Raw_Data!A144</f>
        <v>WV</v>
      </c>
      <c r="B144" s="1" t="b">
        <f>Raw_Data!T144</f>
        <v>0</v>
      </c>
      <c r="C144" s="1" t="str">
        <f t="shared" si="2"/>
        <v>Retained</v>
      </c>
      <c r="D144" s="1" t="str">
        <f>IF(Raw_Data!S144=0,"Low Contact",IF(Raw_Data!S144&lt;=2,"Normal Contact","High Contact"))</f>
        <v>Low Contact</v>
      </c>
      <c r="E144" s="1" t="str">
        <f>IF(AND(Raw_Data!G144&gt;200,Raw_Data!H144&gt;100),"High Usage","Normal Usage")</f>
        <v>Normal Usage</v>
      </c>
      <c r="F144" s="1" t="str" cm="1">
        <f t="array" ref="F144">_xlfn.IFS(B144=TRUE,"High Risk",AND(Raw_Data!S144&gt;=3,Raw_Data!G144&gt;200),"High Risk",Raw_Data!S144&gt;=2,"Medium Risk",TRUE,"Low Risk")</f>
        <v>Low Risk</v>
      </c>
      <c r="G144" s="1" t="str">
        <f>IF(OR(Raw_Data!D144="Yes",Raw_Data!E144="Yes"),"Has Plan","No Special Plan")</f>
        <v>No Special Plan</v>
      </c>
      <c r="H144" s="1" t="str">
        <f>IF(NOT(Raw_Data!S144&gt;=3),"Normal Service Contact","Frequent Service Contact")</f>
        <v>Normal Service Contact</v>
      </c>
      <c r="I144" s="1" t="str" cm="1">
        <f t="array" ref="I144">_xlfn.SWITCH(Raw_Data!D144,"Yes","International Customer","No","Domestic Plan","Unknown")</f>
        <v>Domestic Plan</v>
      </c>
      <c r="J144" s="1" t="str">
        <f>IF(ISERROR(Raw_Data!G144/0),"Error","Valid")</f>
        <v>Error</v>
      </c>
      <c r="K144" s="1" t="str">
        <f>IF(ISBLANK(Raw_Data!A144),"Missing","Available")</f>
        <v>Available</v>
      </c>
      <c r="L144" s="5" t="str">
        <f>IF(ISNUMBER(Raw_Data!G144),"Numeric","Not Numeric")</f>
        <v>Numeric</v>
      </c>
    </row>
    <row r="145" spans="1:12" x14ac:dyDescent="0.25">
      <c r="A145" s="4" t="str">
        <f>Raw_Data!A145</f>
        <v>ND</v>
      </c>
      <c r="B145" s="1" t="b">
        <f>Raw_Data!T145</f>
        <v>0</v>
      </c>
      <c r="C145" s="1" t="str">
        <f t="shared" si="2"/>
        <v>Retained</v>
      </c>
      <c r="D145" s="1" t="str">
        <f>IF(Raw_Data!S145=0,"Low Contact",IF(Raw_Data!S145&lt;=2,"Normal Contact","High Contact"))</f>
        <v>Normal Contact</v>
      </c>
      <c r="E145" s="1" t="str">
        <f>IF(AND(Raw_Data!G145&gt;200,Raw_Data!H145&gt;100),"High Usage","Normal Usage")</f>
        <v>Normal Usage</v>
      </c>
      <c r="F145" s="1" t="str" cm="1">
        <f t="array" ref="F145">_xlfn.IFS(B145=TRUE,"High Risk",AND(Raw_Data!S145&gt;=3,Raw_Data!G145&gt;200),"High Risk",Raw_Data!S145&gt;=2,"Medium Risk",TRUE,"Low Risk")</f>
        <v>Low Risk</v>
      </c>
      <c r="G145" s="1" t="str">
        <f>IF(OR(Raw_Data!D145="Yes",Raw_Data!E145="Yes"),"Has Plan","No Special Plan")</f>
        <v>No Special Plan</v>
      </c>
      <c r="H145" s="1" t="str">
        <f>IF(NOT(Raw_Data!S145&gt;=3),"Normal Service Contact","Frequent Service Contact")</f>
        <v>Normal Service Contact</v>
      </c>
      <c r="I145" s="1" t="str" cm="1">
        <f t="array" ref="I145">_xlfn.SWITCH(Raw_Data!D145,"Yes","International Customer","No","Domestic Plan","Unknown")</f>
        <v>Domestic Plan</v>
      </c>
      <c r="J145" s="1" t="str">
        <f>IF(ISERROR(Raw_Data!G145/0),"Error","Valid")</f>
        <v>Error</v>
      </c>
      <c r="K145" s="1" t="str">
        <f>IF(ISBLANK(Raw_Data!A145),"Missing","Available")</f>
        <v>Available</v>
      </c>
      <c r="L145" s="5" t="str">
        <f>IF(ISNUMBER(Raw_Data!G145),"Numeric","Not Numeric")</f>
        <v>Numeric</v>
      </c>
    </row>
    <row r="146" spans="1:12" x14ac:dyDescent="0.25">
      <c r="A146" s="4" t="str">
        <f>Raw_Data!A146</f>
        <v>AK</v>
      </c>
      <c r="B146" s="1" t="b">
        <f>Raw_Data!T146</f>
        <v>0</v>
      </c>
      <c r="C146" s="1" t="str">
        <f t="shared" si="2"/>
        <v>Retained</v>
      </c>
      <c r="D146" s="1" t="str">
        <f>IF(Raw_Data!S146=0,"Low Contact",IF(Raw_Data!S146&lt;=2,"Normal Contact","High Contact"))</f>
        <v>High Contact</v>
      </c>
      <c r="E146" s="1" t="str">
        <f>IF(AND(Raw_Data!G146&gt;200,Raw_Data!H146&gt;100),"High Usage","Normal Usage")</f>
        <v>Normal Usage</v>
      </c>
      <c r="F146" s="1" t="str" cm="1">
        <f t="array" ref="F146">_xlfn.IFS(B146=TRUE,"High Risk",AND(Raw_Data!S146&gt;=3,Raw_Data!G146&gt;200),"High Risk",Raw_Data!S146&gt;=2,"Medium Risk",TRUE,"Low Risk")</f>
        <v>Medium Risk</v>
      </c>
      <c r="G146" s="1" t="str">
        <f>IF(OR(Raw_Data!D146="Yes",Raw_Data!E146="Yes"),"Has Plan","No Special Plan")</f>
        <v>No Special Plan</v>
      </c>
      <c r="H146" s="1" t="str">
        <f>IF(NOT(Raw_Data!S146&gt;=3),"Normal Service Contact","Frequent Service Contact")</f>
        <v>Frequent Service Contact</v>
      </c>
      <c r="I146" s="1" t="str" cm="1">
        <f t="array" ref="I146">_xlfn.SWITCH(Raw_Data!D146,"Yes","International Customer","No","Domestic Plan","Unknown")</f>
        <v>Domestic Plan</v>
      </c>
      <c r="J146" s="1" t="str">
        <f>IF(ISERROR(Raw_Data!G146/0),"Error","Valid")</f>
        <v>Error</v>
      </c>
      <c r="K146" s="1" t="str">
        <f>IF(ISBLANK(Raw_Data!A146),"Missing","Available")</f>
        <v>Available</v>
      </c>
      <c r="L146" s="5" t="str">
        <f>IF(ISNUMBER(Raw_Data!G146),"Numeric","Not Numeric")</f>
        <v>Numeric</v>
      </c>
    </row>
    <row r="147" spans="1:12" x14ac:dyDescent="0.25">
      <c r="A147" s="4" t="str">
        <f>Raw_Data!A147</f>
        <v>ME</v>
      </c>
      <c r="B147" s="1" t="b">
        <f>Raw_Data!T147</f>
        <v>0</v>
      </c>
      <c r="C147" s="1" t="str">
        <f t="shared" si="2"/>
        <v>Retained</v>
      </c>
      <c r="D147" s="1" t="str">
        <f>IF(Raw_Data!S147=0,"Low Contact",IF(Raw_Data!S147&lt;=2,"Normal Contact","High Contact"))</f>
        <v>High Contact</v>
      </c>
      <c r="E147" s="1" t="str">
        <f>IF(AND(Raw_Data!G147&gt;200,Raw_Data!H147&gt;100),"High Usage","Normal Usage")</f>
        <v>Normal Usage</v>
      </c>
      <c r="F147" s="1" t="str" cm="1">
        <f t="array" ref="F147">_xlfn.IFS(B147=TRUE,"High Risk",AND(Raw_Data!S147&gt;=3,Raw_Data!G147&gt;200),"High Risk",Raw_Data!S147&gt;=2,"Medium Risk",TRUE,"Low Risk")</f>
        <v>High Risk</v>
      </c>
      <c r="G147" s="1" t="str">
        <f>IF(OR(Raw_Data!D147="Yes",Raw_Data!E147="Yes"),"Has Plan","No Special Plan")</f>
        <v>No Special Plan</v>
      </c>
      <c r="H147" s="1" t="str">
        <f>IF(NOT(Raw_Data!S147&gt;=3),"Normal Service Contact","Frequent Service Contact")</f>
        <v>Frequent Service Contact</v>
      </c>
      <c r="I147" s="1" t="str" cm="1">
        <f t="array" ref="I147">_xlfn.SWITCH(Raw_Data!D147,"Yes","International Customer","No","Domestic Plan","Unknown")</f>
        <v>Domestic Plan</v>
      </c>
      <c r="J147" s="1" t="str">
        <f>IF(ISERROR(Raw_Data!G147/0),"Error","Valid")</f>
        <v>Error</v>
      </c>
      <c r="K147" s="1" t="str">
        <f>IF(ISBLANK(Raw_Data!A147),"Missing","Available")</f>
        <v>Available</v>
      </c>
      <c r="L147" s="5" t="str">
        <f>IF(ISNUMBER(Raw_Data!G147),"Numeric","Not Numeric")</f>
        <v>Numeric</v>
      </c>
    </row>
    <row r="148" spans="1:12" x14ac:dyDescent="0.25">
      <c r="A148" s="4" t="str">
        <f>Raw_Data!A148</f>
        <v>MN</v>
      </c>
      <c r="B148" s="1" t="b">
        <f>Raw_Data!T148</f>
        <v>0</v>
      </c>
      <c r="C148" s="1" t="str">
        <f t="shared" si="2"/>
        <v>Retained</v>
      </c>
      <c r="D148" s="1" t="str">
        <f>IF(Raw_Data!S148=0,"Low Contact",IF(Raw_Data!S148&lt;=2,"Normal Contact","High Contact"))</f>
        <v>High Contact</v>
      </c>
      <c r="E148" s="1" t="str">
        <f>IF(AND(Raw_Data!G148&gt;200,Raw_Data!H148&gt;100),"High Usage","Normal Usage")</f>
        <v>High Usage</v>
      </c>
      <c r="F148" s="1" t="str" cm="1">
        <f t="array" ref="F148">_xlfn.IFS(B148=TRUE,"High Risk",AND(Raw_Data!S148&gt;=3,Raw_Data!G148&gt;200),"High Risk",Raw_Data!S148&gt;=2,"Medium Risk",TRUE,"Low Risk")</f>
        <v>High Risk</v>
      </c>
      <c r="G148" s="1" t="str">
        <f>IF(OR(Raw_Data!D148="Yes",Raw_Data!E148="Yes"),"Has Plan","No Special Plan")</f>
        <v>Has Plan</v>
      </c>
      <c r="H148" s="1" t="str">
        <f>IF(NOT(Raw_Data!S148&gt;=3),"Normal Service Contact","Frequent Service Contact")</f>
        <v>Frequent Service Contact</v>
      </c>
      <c r="I148" s="1" t="str" cm="1">
        <f t="array" ref="I148">_xlfn.SWITCH(Raw_Data!D148,"Yes","International Customer","No","Domestic Plan","Unknown")</f>
        <v>Domestic Plan</v>
      </c>
      <c r="J148" s="1" t="str">
        <f>IF(ISERROR(Raw_Data!G148/0),"Error","Valid")</f>
        <v>Error</v>
      </c>
      <c r="K148" s="1" t="str">
        <f>IF(ISBLANK(Raw_Data!A148),"Missing","Available")</f>
        <v>Available</v>
      </c>
      <c r="L148" s="5" t="str">
        <f>IF(ISNUMBER(Raw_Data!G148),"Numeric","Not Numeric")</f>
        <v>Numeric</v>
      </c>
    </row>
    <row r="149" spans="1:12" x14ac:dyDescent="0.25">
      <c r="A149" s="4" t="str">
        <f>Raw_Data!A149</f>
        <v>KS</v>
      </c>
      <c r="B149" s="1" t="b">
        <f>Raw_Data!T149</f>
        <v>0</v>
      </c>
      <c r="C149" s="1" t="str">
        <f t="shared" si="2"/>
        <v>Retained</v>
      </c>
      <c r="D149" s="1" t="str">
        <f>IF(Raw_Data!S149=0,"Low Contact",IF(Raw_Data!S149&lt;=2,"Normal Contact","High Contact"))</f>
        <v>Normal Contact</v>
      </c>
      <c r="E149" s="1" t="str">
        <f>IF(AND(Raw_Data!G149&gt;200,Raw_Data!H149&gt;100),"High Usage","Normal Usage")</f>
        <v>Normal Usage</v>
      </c>
      <c r="F149" s="1" t="str" cm="1">
        <f t="array" ref="F149">_xlfn.IFS(B149=TRUE,"High Risk",AND(Raw_Data!S149&gt;=3,Raw_Data!G149&gt;200),"High Risk",Raw_Data!S149&gt;=2,"Medium Risk",TRUE,"Low Risk")</f>
        <v>Medium Risk</v>
      </c>
      <c r="G149" s="1" t="str">
        <f>IF(OR(Raw_Data!D149="Yes",Raw_Data!E149="Yes"),"Has Plan","No Special Plan")</f>
        <v>No Special Plan</v>
      </c>
      <c r="H149" s="1" t="str">
        <f>IF(NOT(Raw_Data!S149&gt;=3),"Normal Service Contact","Frequent Service Contact")</f>
        <v>Normal Service Contact</v>
      </c>
      <c r="I149" s="1" t="str" cm="1">
        <f t="array" ref="I149">_xlfn.SWITCH(Raw_Data!D149,"Yes","International Customer","No","Domestic Plan","Unknown")</f>
        <v>Domestic Plan</v>
      </c>
      <c r="J149" s="1" t="str">
        <f>IF(ISERROR(Raw_Data!G149/0),"Error","Valid")</f>
        <v>Error</v>
      </c>
      <c r="K149" s="1" t="str">
        <f>IF(ISBLANK(Raw_Data!A149),"Missing","Available")</f>
        <v>Available</v>
      </c>
      <c r="L149" s="5" t="str">
        <f>IF(ISNUMBER(Raw_Data!G149),"Numeric","Not Numeric")</f>
        <v>Numeric</v>
      </c>
    </row>
    <row r="150" spans="1:12" x14ac:dyDescent="0.25">
      <c r="A150" s="4" t="str">
        <f>Raw_Data!A150</f>
        <v>NJ</v>
      </c>
      <c r="B150" s="1" t="b">
        <f>Raw_Data!T150</f>
        <v>0</v>
      </c>
      <c r="C150" s="1" t="str">
        <f t="shared" si="2"/>
        <v>Retained</v>
      </c>
      <c r="D150" s="1" t="str">
        <f>IF(Raw_Data!S150=0,"Low Contact",IF(Raw_Data!S150&lt;=2,"Normal Contact","High Contact"))</f>
        <v>High Contact</v>
      </c>
      <c r="E150" s="1" t="str">
        <f>IF(AND(Raw_Data!G150&gt;200,Raw_Data!H150&gt;100),"High Usage","Normal Usage")</f>
        <v>Normal Usage</v>
      </c>
      <c r="F150" s="1" t="str" cm="1">
        <f t="array" ref="F150">_xlfn.IFS(B150=TRUE,"High Risk",AND(Raw_Data!S150&gt;=3,Raw_Data!G150&gt;200),"High Risk",Raw_Data!S150&gt;=2,"Medium Risk",TRUE,"Low Risk")</f>
        <v>Medium Risk</v>
      </c>
      <c r="G150" s="1" t="str">
        <f>IF(OR(Raw_Data!D150="Yes",Raw_Data!E150="Yes"),"Has Plan","No Special Plan")</f>
        <v>Has Plan</v>
      </c>
      <c r="H150" s="1" t="str">
        <f>IF(NOT(Raw_Data!S150&gt;=3),"Normal Service Contact","Frequent Service Contact")</f>
        <v>Frequent Service Contact</v>
      </c>
      <c r="I150" s="1" t="str" cm="1">
        <f t="array" ref="I150">_xlfn.SWITCH(Raw_Data!D150,"Yes","International Customer","No","Domestic Plan","Unknown")</f>
        <v>Domestic Plan</v>
      </c>
      <c r="J150" s="1" t="str">
        <f>IF(ISERROR(Raw_Data!G150/0),"Error","Valid")</f>
        <v>Error</v>
      </c>
      <c r="K150" s="1" t="str">
        <f>IF(ISBLANK(Raw_Data!A150),"Missing","Available")</f>
        <v>Available</v>
      </c>
      <c r="L150" s="5" t="str">
        <f>IF(ISNUMBER(Raw_Data!G150),"Numeric","Not Numeric")</f>
        <v>Numeric</v>
      </c>
    </row>
    <row r="151" spans="1:12" x14ac:dyDescent="0.25">
      <c r="A151" s="4" t="str">
        <f>Raw_Data!A151</f>
        <v>WI</v>
      </c>
      <c r="B151" s="1" t="b">
        <f>Raw_Data!T151</f>
        <v>0</v>
      </c>
      <c r="C151" s="1" t="str">
        <f t="shared" si="2"/>
        <v>Retained</v>
      </c>
      <c r="D151" s="1" t="str">
        <f>IF(Raw_Data!S151=0,"Low Contact",IF(Raw_Data!S151&lt;=2,"Normal Contact","High Contact"))</f>
        <v>High Contact</v>
      </c>
      <c r="E151" s="1" t="str">
        <f>IF(AND(Raw_Data!G151&gt;200,Raw_Data!H151&gt;100),"High Usage","Normal Usage")</f>
        <v>Normal Usage</v>
      </c>
      <c r="F151" s="1" t="str" cm="1">
        <f t="array" ref="F151">_xlfn.IFS(B151=TRUE,"High Risk",AND(Raw_Data!S151&gt;=3,Raw_Data!G151&gt;200),"High Risk",Raw_Data!S151&gt;=2,"Medium Risk",TRUE,"Low Risk")</f>
        <v>Medium Risk</v>
      </c>
      <c r="G151" s="1" t="str">
        <f>IF(OR(Raw_Data!D151="Yes",Raw_Data!E151="Yes"),"Has Plan","No Special Plan")</f>
        <v>No Special Plan</v>
      </c>
      <c r="H151" s="1" t="str">
        <f>IF(NOT(Raw_Data!S151&gt;=3),"Normal Service Contact","Frequent Service Contact")</f>
        <v>Frequent Service Contact</v>
      </c>
      <c r="I151" s="1" t="str" cm="1">
        <f t="array" ref="I151">_xlfn.SWITCH(Raw_Data!D151,"Yes","International Customer","No","Domestic Plan","Unknown")</f>
        <v>Domestic Plan</v>
      </c>
      <c r="J151" s="1" t="str">
        <f>IF(ISERROR(Raw_Data!G151/0),"Error","Valid")</f>
        <v>Error</v>
      </c>
      <c r="K151" s="1" t="str">
        <f>IF(ISBLANK(Raw_Data!A151),"Missing","Available")</f>
        <v>Available</v>
      </c>
      <c r="L151" s="5" t="str">
        <f>IF(ISNUMBER(Raw_Data!G151),"Numeric","Not Numeric")</f>
        <v>Numeric</v>
      </c>
    </row>
    <row r="152" spans="1:12" x14ac:dyDescent="0.25">
      <c r="A152" s="4" t="str">
        <f>Raw_Data!A152</f>
        <v>AR</v>
      </c>
      <c r="B152" s="1" t="b">
        <f>Raw_Data!T152</f>
        <v>0</v>
      </c>
      <c r="C152" s="1" t="str">
        <f t="shared" si="2"/>
        <v>Retained</v>
      </c>
      <c r="D152" s="1" t="str">
        <f>IF(Raw_Data!S152=0,"Low Contact",IF(Raw_Data!S152&lt;=2,"Normal Contact","High Contact"))</f>
        <v>Normal Contact</v>
      </c>
      <c r="E152" s="1" t="str">
        <f>IF(AND(Raw_Data!G152&gt;200,Raw_Data!H152&gt;100),"High Usage","Normal Usage")</f>
        <v>Normal Usage</v>
      </c>
      <c r="F152" s="1" t="str" cm="1">
        <f t="array" ref="F152">_xlfn.IFS(B152=TRUE,"High Risk",AND(Raw_Data!S152&gt;=3,Raw_Data!G152&gt;200),"High Risk",Raw_Data!S152&gt;=2,"Medium Risk",TRUE,"Low Risk")</f>
        <v>Low Risk</v>
      </c>
      <c r="G152" s="1" t="str">
        <f>IF(OR(Raw_Data!D152="Yes",Raw_Data!E152="Yes"),"Has Plan","No Special Plan")</f>
        <v>No Special Plan</v>
      </c>
      <c r="H152" s="1" t="str">
        <f>IF(NOT(Raw_Data!S152&gt;=3),"Normal Service Contact","Frequent Service Contact")</f>
        <v>Normal Service Contact</v>
      </c>
      <c r="I152" s="1" t="str" cm="1">
        <f t="array" ref="I152">_xlfn.SWITCH(Raw_Data!D152,"Yes","International Customer","No","Domestic Plan","Unknown")</f>
        <v>Domestic Plan</v>
      </c>
      <c r="J152" s="1" t="str">
        <f>IF(ISERROR(Raw_Data!G152/0),"Error","Valid")</f>
        <v>Error</v>
      </c>
      <c r="K152" s="1" t="str">
        <f>IF(ISBLANK(Raw_Data!A152),"Missing","Available")</f>
        <v>Available</v>
      </c>
      <c r="L152" s="5" t="str">
        <f>IF(ISNUMBER(Raw_Data!G152),"Numeric","Not Numeric")</f>
        <v>Numeric</v>
      </c>
    </row>
    <row r="153" spans="1:12" x14ac:dyDescent="0.25">
      <c r="A153" s="4" t="str">
        <f>Raw_Data!A153</f>
        <v>WA</v>
      </c>
      <c r="B153" s="1" t="b">
        <f>Raw_Data!T153</f>
        <v>0</v>
      </c>
      <c r="C153" s="1" t="str">
        <f t="shared" si="2"/>
        <v>Retained</v>
      </c>
      <c r="D153" s="1" t="str">
        <f>IF(Raw_Data!S153=0,"Low Contact",IF(Raw_Data!S153&lt;=2,"Normal Contact","High Contact"))</f>
        <v>Low Contact</v>
      </c>
      <c r="E153" s="1" t="str">
        <f>IF(AND(Raw_Data!G153&gt;200,Raw_Data!H153&gt;100),"High Usage","Normal Usage")</f>
        <v>Normal Usage</v>
      </c>
      <c r="F153" s="1" t="str" cm="1">
        <f t="array" ref="F153">_xlfn.IFS(B153=TRUE,"High Risk",AND(Raw_Data!S153&gt;=3,Raw_Data!G153&gt;200),"High Risk",Raw_Data!S153&gt;=2,"Medium Risk",TRUE,"Low Risk")</f>
        <v>Low Risk</v>
      </c>
      <c r="G153" s="1" t="str">
        <f>IF(OR(Raw_Data!D153="Yes",Raw_Data!E153="Yes"),"Has Plan","No Special Plan")</f>
        <v>No Special Plan</v>
      </c>
      <c r="H153" s="1" t="str">
        <f>IF(NOT(Raw_Data!S153&gt;=3),"Normal Service Contact","Frequent Service Contact")</f>
        <v>Normal Service Contact</v>
      </c>
      <c r="I153" s="1" t="str" cm="1">
        <f t="array" ref="I153">_xlfn.SWITCH(Raw_Data!D153,"Yes","International Customer","No","Domestic Plan","Unknown")</f>
        <v>Domestic Plan</v>
      </c>
      <c r="J153" s="1" t="str">
        <f>IF(ISERROR(Raw_Data!G153/0),"Error","Valid")</f>
        <v>Error</v>
      </c>
      <c r="K153" s="1" t="str">
        <f>IF(ISBLANK(Raw_Data!A153),"Missing","Available")</f>
        <v>Available</v>
      </c>
      <c r="L153" s="5" t="str">
        <f>IF(ISNUMBER(Raw_Data!G153),"Numeric","Not Numeric")</f>
        <v>Numeric</v>
      </c>
    </row>
    <row r="154" spans="1:12" x14ac:dyDescent="0.25">
      <c r="A154" s="4" t="str">
        <f>Raw_Data!A154</f>
        <v>ID</v>
      </c>
      <c r="B154" s="1" t="b">
        <f>Raw_Data!T154</f>
        <v>0</v>
      </c>
      <c r="C154" s="1" t="str">
        <f t="shared" si="2"/>
        <v>Retained</v>
      </c>
      <c r="D154" s="1" t="str">
        <f>IF(Raw_Data!S154=0,"Low Contact",IF(Raw_Data!S154&lt;=2,"Normal Contact","High Contact"))</f>
        <v>Normal Contact</v>
      </c>
      <c r="E154" s="1" t="str">
        <f>IF(AND(Raw_Data!G154&gt;200,Raw_Data!H154&gt;100),"High Usage","Normal Usage")</f>
        <v>Normal Usage</v>
      </c>
      <c r="F154" s="1" t="str" cm="1">
        <f t="array" ref="F154">_xlfn.IFS(B154=TRUE,"High Risk",AND(Raw_Data!S154&gt;=3,Raw_Data!G154&gt;200),"High Risk",Raw_Data!S154&gt;=2,"Medium Risk",TRUE,"Low Risk")</f>
        <v>Medium Risk</v>
      </c>
      <c r="G154" s="1" t="str">
        <f>IF(OR(Raw_Data!D154="Yes",Raw_Data!E154="Yes"),"Has Plan","No Special Plan")</f>
        <v>Has Plan</v>
      </c>
      <c r="H154" s="1" t="str">
        <f>IF(NOT(Raw_Data!S154&gt;=3),"Normal Service Contact","Frequent Service Contact")</f>
        <v>Normal Service Contact</v>
      </c>
      <c r="I154" s="1" t="str" cm="1">
        <f t="array" ref="I154">_xlfn.SWITCH(Raw_Data!D154,"Yes","International Customer","No","Domestic Plan","Unknown")</f>
        <v>International Customer</v>
      </c>
      <c r="J154" s="1" t="str">
        <f>IF(ISERROR(Raw_Data!G154/0),"Error","Valid")</f>
        <v>Error</v>
      </c>
      <c r="K154" s="1" t="str">
        <f>IF(ISBLANK(Raw_Data!A154),"Missing","Available")</f>
        <v>Available</v>
      </c>
      <c r="L154" s="5" t="str">
        <f>IF(ISNUMBER(Raw_Data!G154),"Numeric","Not Numeric")</f>
        <v>Numeric</v>
      </c>
    </row>
    <row r="155" spans="1:12" x14ac:dyDescent="0.25">
      <c r="A155" s="4" t="str">
        <f>Raw_Data!A155</f>
        <v>VA</v>
      </c>
      <c r="B155" s="1" t="b">
        <f>Raw_Data!T155</f>
        <v>0</v>
      </c>
      <c r="C155" s="1" t="str">
        <f t="shared" si="2"/>
        <v>Retained</v>
      </c>
      <c r="D155" s="1" t="str">
        <f>IF(Raw_Data!S155=0,"Low Contact",IF(Raw_Data!S155&lt;=2,"Normal Contact","High Contact"))</f>
        <v>Normal Contact</v>
      </c>
      <c r="E155" s="1" t="str">
        <f>IF(AND(Raw_Data!G155&gt;200,Raw_Data!H155&gt;100),"High Usage","Normal Usage")</f>
        <v>High Usage</v>
      </c>
      <c r="F155" s="1" t="str" cm="1">
        <f t="array" ref="F155">_xlfn.IFS(B155=TRUE,"High Risk",AND(Raw_Data!S155&gt;=3,Raw_Data!G155&gt;200),"High Risk",Raw_Data!S155&gt;=2,"Medium Risk",TRUE,"Low Risk")</f>
        <v>Medium Risk</v>
      </c>
      <c r="G155" s="1" t="str">
        <f>IF(OR(Raw_Data!D155="Yes",Raw_Data!E155="Yes"),"Has Plan","No Special Plan")</f>
        <v>No Special Plan</v>
      </c>
      <c r="H155" s="1" t="str">
        <f>IF(NOT(Raw_Data!S155&gt;=3),"Normal Service Contact","Frequent Service Contact")</f>
        <v>Normal Service Contact</v>
      </c>
      <c r="I155" s="1" t="str" cm="1">
        <f t="array" ref="I155">_xlfn.SWITCH(Raw_Data!D155,"Yes","International Customer","No","Domestic Plan","Unknown")</f>
        <v>Domestic Plan</v>
      </c>
      <c r="J155" s="1" t="str">
        <f>IF(ISERROR(Raw_Data!G155/0),"Error","Valid")</f>
        <v>Error</v>
      </c>
      <c r="K155" s="1" t="str">
        <f>IF(ISBLANK(Raw_Data!A155),"Missing","Available")</f>
        <v>Available</v>
      </c>
      <c r="L155" s="5" t="str">
        <f>IF(ISNUMBER(Raw_Data!G155),"Numeric","Not Numeric")</f>
        <v>Numeric</v>
      </c>
    </row>
    <row r="156" spans="1:12" x14ac:dyDescent="0.25">
      <c r="A156" s="4" t="str">
        <f>Raw_Data!A156</f>
        <v>WV</v>
      </c>
      <c r="B156" s="1" t="b">
        <f>Raw_Data!T156</f>
        <v>1</v>
      </c>
      <c r="C156" s="1" t="str">
        <f t="shared" si="2"/>
        <v>Churned</v>
      </c>
      <c r="D156" s="1" t="str">
        <f>IF(Raw_Data!S156=0,"Low Contact",IF(Raw_Data!S156&lt;=2,"Normal Contact","High Contact"))</f>
        <v>Normal Contact</v>
      </c>
      <c r="E156" s="1" t="str">
        <f>IF(AND(Raw_Data!G156&gt;200,Raw_Data!H156&gt;100),"High Usage","Normal Usage")</f>
        <v>Normal Usage</v>
      </c>
      <c r="F156" s="1" t="str" cm="1">
        <f t="array" ref="F156">_xlfn.IFS(B156=TRUE,"High Risk",AND(Raw_Data!S156&gt;=3,Raw_Data!G156&gt;200),"High Risk",Raw_Data!S156&gt;=2,"Medium Risk",TRUE,"Low Risk")</f>
        <v>High Risk</v>
      </c>
      <c r="G156" s="1" t="str">
        <f>IF(OR(Raw_Data!D156="Yes",Raw_Data!E156="Yes"),"Has Plan","No Special Plan")</f>
        <v>Has Plan</v>
      </c>
      <c r="H156" s="1" t="str">
        <f>IF(NOT(Raw_Data!S156&gt;=3),"Normal Service Contact","Frequent Service Contact")</f>
        <v>Normal Service Contact</v>
      </c>
      <c r="I156" s="1" t="str" cm="1">
        <f t="array" ref="I156">_xlfn.SWITCH(Raw_Data!D156,"Yes","International Customer","No","Domestic Plan","Unknown")</f>
        <v>International Customer</v>
      </c>
      <c r="J156" s="1" t="str">
        <f>IF(ISERROR(Raw_Data!G156/0),"Error","Valid")</f>
        <v>Error</v>
      </c>
      <c r="K156" s="1" t="str">
        <f>IF(ISBLANK(Raw_Data!A156),"Missing","Available")</f>
        <v>Available</v>
      </c>
      <c r="L156" s="5" t="str">
        <f>IF(ISNUMBER(Raw_Data!G156),"Numeric","Not Numeric")</f>
        <v>Numeric</v>
      </c>
    </row>
    <row r="157" spans="1:12" x14ac:dyDescent="0.25">
      <c r="A157" s="4" t="str">
        <f>Raw_Data!A157</f>
        <v>UT</v>
      </c>
      <c r="B157" s="1" t="b">
        <f>Raw_Data!T157</f>
        <v>1</v>
      </c>
      <c r="C157" s="1" t="str">
        <f t="shared" si="2"/>
        <v>Churned</v>
      </c>
      <c r="D157" s="1" t="str">
        <f>IF(Raw_Data!S157=0,"Low Contact",IF(Raw_Data!S157&lt;=2,"Normal Contact","High Contact"))</f>
        <v>High Contact</v>
      </c>
      <c r="E157" s="1" t="str">
        <f>IF(AND(Raw_Data!G157&gt;200,Raw_Data!H157&gt;100),"High Usage","Normal Usage")</f>
        <v>Normal Usage</v>
      </c>
      <c r="F157" s="1" t="str" cm="1">
        <f t="array" ref="F157">_xlfn.IFS(B157=TRUE,"High Risk",AND(Raw_Data!S157&gt;=3,Raw_Data!G157&gt;200),"High Risk",Raw_Data!S157&gt;=2,"Medium Risk",TRUE,"Low Risk")</f>
        <v>High Risk</v>
      </c>
      <c r="G157" s="1" t="str">
        <f>IF(OR(Raw_Data!D157="Yes",Raw_Data!E157="Yes"),"Has Plan","No Special Plan")</f>
        <v>Has Plan</v>
      </c>
      <c r="H157" s="1" t="str">
        <f>IF(NOT(Raw_Data!S157&gt;=3),"Normal Service Contact","Frequent Service Contact")</f>
        <v>Frequent Service Contact</v>
      </c>
      <c r="I157" s="1" t="str" cm="1">
        <f t="array" ref="I157">_xlfn.SWITCH(Raw_Data!D157,"Yes","International Customer","No","Domestic Plan","Unknown")</f>
        <v>Domestic Plan</v>
      </c>
      <c r="J157" s="1" t="str">
        <f>IF(ISERROR(Raw_Data!G157/0),"Error","Valid")</f>
        <v>Error</v>
      </c>
      <c r="K157" s="1" t="str">
        <f>IF(ISBLANK(Raw_Data!A157),"Missing","Available")</f>
        <v>Available</v>
      </c>
      <c r="L157" s="5" t="str">
        <f>IF(ISNUMBER(Raw_Data!G157),"Numeric","Not Numeric")</f>
        <v>Numeric</v>
      </c>
    </row>
    <row r="158" spans="1:12" x14ac:dyDescent="0.25">
      <c r="A158" s="4" t="str">
        <f>Raw_Data!A158</f>
        <v>NJ</v>
      </c>
      <c r="B158" s="1" t="b">
        <f>Raw_Data!T158</f>
        <v>0</v>
      </c>
      <c r="C158" s="1" t="str">
        <f t="shared" si="2"/>
        <v>Retained</v>
      </c>
      <c r="D158" s="1" t="str">
        <f>IF(Raw_Data!S158=0,"Low Contact",IF(Raw_Data!S158&lt;=2,"Normal Contact","High Contact"))</f>
        <v>Normal Contact</v>
      </c>
      <c r="E158" s="1" t="str">
        <f>IF(AND(Raw_Data!G158&gt;200,Raw_Data!H158&gt;100),"High Usage","Normal Usage")</f>
        <v>High Usage</v>
      </c>
      <c r="F158" s="1" t="str" cm="1">
        <f t="array" ref="F158">_xlfn.IFS(B158=TRUE,"High Risk",AND(Raw_Data!S158&gt;=3,Raw_Data!G158&gt;200),"High Risk",Raw_Data!S158&gt;=2,"Medium Risk",TRUE,"Low Risk")</f>
        <v>Low Risk</v>
      </c>
      <c r="G158" s="1" t="str">
        <f>IF(OR(Raw_Data!D158="Yes",Raw_Data!E158="Yes"),"Has Plan","No Special Plan")</f>
        <v>No Special Plan</v>
      </c>
      <c r="H158" s="1" t="str">
        <f>IF(NOT(Raw_Data!S158&gt;=3),"Normal Service Contact","Frequent Service Contact")</f>
        <v>Normal Service Contact</v>
      </c>
      <c r="I158" s="1" t="str" cm="1">
        <f t="array" ref="I158">_xlfn.SWITCH(Raw_Data!D158,"Yes","International Customer","No","Domestic Plan","Unknown")</f>
        <v>Domestic Plan</v>
      </c>
      <c r="J158" s="1" t="str">
        <f>IF(ISERROR(Raw_Data!G158/0),"Error","Valid")</f>
        <v>Error</v>
      </c>
      <c r="K158" s="1" t="str">
        <f>IF(ISBLANK(Raw_Data!A158),"Missing","Available")</f>
        <v>Available</v>
      </c>
      <c r="L158" s="5" t="str">
        <f>IF(ISNUMBER(Raw_Data!G158),"Numeric","Not Numeric")</f>
        <v>Numeric</v>
      </c>
    </row>
    <row r="159" spans="1:12" x14ac:dyDescent="0.25">
      <c r="A159" s="4" t="str">
        <f>Raw_Data!A159</f>
        <v>MS</v>
      </c>
      <c r="B159" s="1" t="b">
        <f>Raw_Data!T159</f>
        <v>0</v>
      </c>
      <c r="C159" s="1" t="str">
        <f t="shared" si="2"/>
        <v>Retained</v>
      </c>
      <c r="D159" s="1" t="str">
        <f>IF(Raw_Data!S159=0,"Low Contact",IF(Raw_Data!S159&lt;=2,"Normal Contact","High Contact"))</f>
        <v>Normal Contact</v>
      </c>
      <c r="E159" s="1" t="str">
        <f>IF(AND(Raw_Data!G159&gt;200,Raw_Data!H159&gt;100),"High Usage","Normal Usage")</f>
        <v>High Usage</v>
      </c>
      <c r="F159" s="1" t="str" cm="1">
        <f t="array" ref="F159">_xlfn.IFS(B159=TRUE,"High Risk",AND(Raw_Data!S159&gt;=3,Raw_Data!G159&gt;200),"High Risk",Raw_Data!S159&gt;=2,"Medium Risk",TRUE,"Low Risk")</f>
        <v>Medium Risk</v>
      </c>
      <c r="G159" s="1" t="str">
        <f>IF(OR(Raw_Data!D159="Yes",Raw_Data!E159="Yes"),"Has Plan","No Special Plan")</f>
        <v>Has Plan</v>
      </c>
      <c r="H159" s="1" t="str">
        <f>IF(NOT(Raw_Data!S159&gt;=3),"Normal Service Contact","Frequent Service Contact")</f>
        <v>Normal Service Contact</v>
      </c>
      <c r="I159" s="1" t="str" cm="1">
        <f t="array" ref="I159">_xlfn.SWITCH(Raw_Data!D159,"Yes","International Customer","No","Domestic Plan","Unknown")</f>
        <v>Domestic Plan</v>
      </c>
      <c r="J159" s="1" t="str">
        <f>IF(ISERROR(Raw_Data!G159/0),"Error","Valid")</f>
        <v>Error</v>
      </c>
      <c r="K159" s="1" t="str">
        <f>IF(ISBLANK(Raw_Data!A159),"Missing","Available")</f>
        <v>Available</v>
      </c>
      <c r="L159" s="5" t="str">
        <f>IF(ISNUMBER(Raw_Data!G159),"Numeric","Not Numeric")</f>
        <v>Numeric</v>
      </c>
    </row>
    <row r="160" spans="1:12" x14ac:dyDescent="0.25">
      <c r="A160" s="4" t="str">
        <f>Raw_Data!A160</f>
        <v>ME</v>
      </c>
      <c r="B160" s="1" t="b">
        <f>Raw_Data!T160</f>
        <v>0</v>
      </c>
      <c r="C160" s="1" t="str">
        <f t="shared" si="2"/>
        <v>Retained</v>
      </c>
      <c r="D160" s="1" t="str">
        <f>IF(Raw_Data!S160=0,"Low Contact",IF(Raw_Data!S160&lt;=2,"Normal Contact","High Contact"))</f>
        <v>Low Contact</v>
      </c>
      <c r="E160" s="1" t="str">
        <f>IF(AND(Raw_Data!G160&gt;200,Raw_Data!H160&gt;100),"High Usage","Normal Usage")</f>
        <v>Normal Usage</v>
      </c>
      <c r="F160" s="1" t="str" cm="1">
        <f t="array" ref="F160">_xlfn.IFS(B160=TRUE,"High Risk",AND(Raw_Data!S160&gt;=3,Raw_Data!G160&gt;200),"High Risk",Raw_Data!S160&gt;=2,"Medium Risk",TRUE,"Low Risk")</f>
        <v>Low Risk</v>
      </c>
      <c r="G160" s="1" t="str">
        <f>IF(OR(Raw_Data!D160="Yes",Raw_Data!E160="Yes"),"Has Plan","No Special Plan")</f>
        <v>Has Plan</v>
      </c>
      <c r="H160" s="1" t="str">
        <f>IF(NOT(Raw_Data!S160&gt;=3),"Normal Service Contact","Frequent Service Contact")</f>
        <v>Normal Service Contact</v>
      </c>
      <c r="I160" s="1" t="str" cm="1">
        <f t="array" ref="I160">_xlfn.SWITCH(Raw_Data!D160,"Yes","International Customer","No","Domestic Plan","Unknown")</f>
        <v>Domestic Plan</v>
      </c>
      <c r="J160" s="1" t="str">
        <f>IF(ISERROR(Raw_Data!G160/0),"Error","Valid")</f>
        <v>Error</v>
      </c>
      <c r="K160" s="1" t="str">
        <f>IF(ISBLANK(Raw_Data!A160),"Missing","Available")</f>
        <v>Available</v>
      </c>
      <c r="L160" s="5" t="str">
        <f>IF(ISNUMBER(Raw_Data!G160),"Numeric","Not Numeric")</f>
        <v>Numeric</v>
      </c>
    </row>
    <row r="161" spans="1:12" x14ac:dyDescent="0.25">
      <c r="A161" s="4" t="str">
        <f>Raw_Data!A161</f>
        <v>NM</v>
      </c>
      <c r="B161" s="1" t="b">
        <f>Raw_Data!T161</f>
        <v>0</v>
      </c>
      <c r="C161" s="1" t="str">
        <f t="shared" si="2"/>
        <v>Retained</v>
      </c>
      <c r="D161" s="1" t="str">
        <f>IF(Raw_Data!S161=0,"Low Contact",IF(Raw_Data!S161&lt;=2,"Normal Contact","High Contact"))</f>
        <v>Normal Contact</v>
      </c>
      <c r="E161" s="1" t="str">
        <f>IF(AND(Raw_Data!G161&gt;200,Raw_Data!H161&gt;100),"High Usage","Normal Usage")</f>
        <v>Normal Usage</v>
      </c>
      <c r="F161" s="1" t="str" cm="1">
        <f t="array" ref="F161">_xlfn.IFS(B161=TRUE,"High Risk",AND(Raw_Data!S161&gt;=3,Raw_Data!G161&gt;200),"High Risk",Raw_Data!S161&gt;=2,"Medium Risk",TRUE,"Low Risk")</f>
        <v>Low Risk</v>
      </c>
      <c r="G161" s="1" t="str">
        <f>IF(OR(Raw_Data!D161="Yes",Raw_Data!E161="Yes"),"Has Plan","No Special Plan")</f>
        <v>Has Plan</v>
      </c>
      <c r="H161" s="1" t="str">
        <f>IF(NOT(Raw_Data!S161&gt;=3),"Normal Service Contact","Frequent Service Contact")</f>
        <v>Normal Service Contact</v>
      </c>
      <c r="I161" s="1" t="str" cm="1">
        <f t="array" ref="I161">_xlfn.SWITCH(Raw_Data!D161,"Yes","International Customer","No","Domestic Plan","Unknown")</f>
        <v>International Customer</v>
      </c>
      <c r="J161" s="1" t="str">
        <f>IF(ISERROR(Raw_Data!G161/0),"Error","Valid")</f>
        <v>Error</v>
      </c>
      <c r="K161" s="1" t="str">
        <f>IF(ISBLANK(Raw_Data!A161),"Missing","Available")</f>
        <v>Available</v>
      </c>
      <c r="L161" s="5" t="str">
        <f>IF(ISNUMBER(Raw_Data!G161),"Numeric","Not Numeric")</f>
        <v>Numeric</v>
      </c>
    </row>
    <row r="162" spans="1:12" x14ac:dyDescent="0.25">
      <c r="A162" s="4" t="str">
        <f>Raw_Data!A162</f>
        <v>TX</v>
      </c>
      <c r="B162" s="1" t="b">
        <f>Raw_Data!T162</f>
        <v>0</v>
      </c>
      <c r="C162" s="1" t="str">
        <f t="shared" si="2"/>
        <v>Retained</v>
      </c>
      <c r="D162" s="1" t="str">
        <f>IF(Raw_Data!S162=0,"Low Contact",IF(Raw_Data!S162&lt;=2,"Normal Contact","High Contact"))</f>
        <v>Normal Contact</v>
      </c>
      <c r="E162" s="1" t="str">
        <f>IF(AND(Raw_Data!G162&gt;200,Raw_Data!H162&gt;100),"High Usage","Normal Usage")</f>
        <v>Normal Usage</v>
      </c>
      <c r="F162" s="1" t="str" cm="1">
        <f t="array" ref="F162">_xlfn.IFS(B162=TRUE,"High Risk",AND(Raw_Data!S162&gt;=3,Raw_Data!G162&gt;200),"High Risk",Raw_Data!S162&gt;=2,"Medium Risk",TRUE,"Low Risk")</f>
        <v>Medium Risk</v>
      </c>
      <c r="G162" s="1" t="str">
        <f>IF(OR(Raw_Data!D162="Yes",Raw_Data!E162="Yes"),"Has Plan","No Special Plan")</f>
        <v>No Special Plan</v>
      </c>
      <c r="H162" s="1" t="str">
        <f>IF(NOT(Raw_Data!S162&gt;=3),"Normal Service Contact","Frequent Service Contact")</f>
        <v>Normal Service Contact</v>
      </c>
      <c r="I162" s="1" t="str" cm="1">
        <f t="array" ref="I162">_xlfn.SWITCH(Raw_Data!D162,"Yes","International Customer","No","Domestic Plan","Unknown")</f>
        <v>Domestic Plan</v>
      </c>
      <c r="J162" s="1" t="str">
        <f>IF(ISERROR(Raw_Data!G162/0),"Error","Valid")</f>
        <v>Error</v>
      </c>
      <c r="K162" s="1" t="str">
        <f>IF(ISBLANK(Raw_Data!A162),"Missing","Available")</f>
        <v>Available</v>
      </c>
      <c r="L162" s="5" t="str">
        <f>IF(ISNUMBER(Raw_Data!G162),"Numeric","Not Numeric")</f>
        <v>Numeric</v>
      </c>
    </row>
    <row r="163" spans="1:12" x14ac:dyDescent="0.25">
      <c r="A163" s="4" t="str">
        <f>Raw_Data!A163</f>
        <v>LA</v>
      </c>
      <c r="B163" s="1" t="b">
        <f>Raw_Data!T163</f>
        <v>0</v>
      </c>
      <c r="C163" s="1" t="str">
        <f t="shared" si="2"/>
        <v>Retained</v>
      </c>
      <c r="D163" s="1" t="str">
        <f>IF(Raw_Data!S163=0,"Low Contact",IF(Raw_Data!S163&lt;=2,"Normal Contact","High Contact"))</f>
        <v>Normal Contact</v>
      </c>
      <c r="E163" s="1" t="str">
        <f>IF(AND(Raw_Data!G163&gt;200,Raw_Data!H163&gt;100),"High Usage","Normal Usage")</f>
        <v>Normal Usage</v>
      </c>
      <c r="F163" s="1" t="str" cm="1">
        <f t="array" ref="F163">_xlfn.IFS(B163=TRUE,"High Risk",AND(Raw_Data!S163&gt;=3,Raw_Data!G163&gt;200),"High Risk",Raw_Data!S163&gt;=2,"Medium Risk",TRUE,"Low Risk")</f>
        <v>Medium Risk</v>
      </c>
      <c r="G163" s="1" t="str">
        <f>IF(OR(Raw_Data!D163="Yes",Raw_Data!E163="Yes"),"Has Plan","No Special Plan")</f>
        <v>Has Plan</v>
      </c>
      <c r="H163" s="1" t="str">
        <f>IF(NOT(Raw_Data!S163&gt;=3),"Normal Service Contact","Frequent Service Contact")</f>
        <v>Normal Service Contact</v>
      </c>
      <c r="I163" s="1" t="str" cm="1">
        <f t="array" ref="I163">_xlfn.SWITCH(Raw_Data!D163,"Yes","International Customer","No","Domestic Plan","Unknown")</f>
        <v>Domestic Plan</v>
      </c>
      <c r="J163" s="1" t="str">
        <f>IF(ISERROR(Raw_Data!G163/0),"Error","Valid")</f>
        <v>Error</v>
      </c>
      <c r="K163" s="1" t="str">
        <f>IF(ISBLANK(Raw_Data!A163),"Missing","Available")</f>
        <v>Available</v>
      </c>
      <c r="L163" s="5" t="str">
        <f>IF(ISNUMBER(Raw_Data!G163),"Numeric","Not Numeric")</f>
        <v>Numeric</v>
      </c>
    </row>
    <row r="164" spans="1:12" x14ac:dyDescent="0.25">
      <c r="A164" s="4" t="str">
        <f>Raw_Data!A164</f>
        <v>TN</v>
      </c>
      <c r="B164" s="1" t="b">
        <f>Raw_Data!T164</f>
        <v>0</v>
      </c>
      <c r="C164" s="1" t="str">
        <f t="shared" si="2"/>
        <v>Retained</v>
      </c>
      <c r="D164" s="1" t="str">
        <f>IF(Raw_Data!S164=0,"Low Contact",IF(Raw_Data!S164&lt;=2,"Normal Contact","High Contact"))</f>
        <v>Low Contact</v>
      </c>
      <c r="E164" s="1" t="str">
        <f>IF(AND(Raw_Data!G164&gt;200,Raw_Data!H164&gt;100),"High Usage","Normal Usage")</f>
        <v>Normal Usage</v>
      </c>
      <c r="F164" s="1" t="str" cm="1">
        <f t="array" ref="F164">_xlfn.IFS(B164=TRUE,"High Risk",AND(Raw_Data!S164&gt;=3,Raw_Data!G164&gt;200),"High Risk",Raw_Data!S164&gt;=2,"Medium Risk",TRUE,"Low Risk")</f>
        <v>Low Risk</v>
      </c>
      <c r="G164" s="1" t="str">
        <f>IF(OR(Raw_Data!D164="Yes",Raw_Data!E164="Yes"),"Has Plan","No Special Plan")</f>
        <v>Has Plan</v>
      </c>
      <c r="H164" s="1" t="str">
        <f>IF(NOT(Raw_Data!S164&gt;=3),"Normal Service Contact","Frequent Service Contact")</f>
        <v>Normal Service Contact</v>
      </c>
      <c r="I164" s="1" t="str" cm="1">
        <f t="array" ref="I164">_xlfn.SWITCH(Raw_Data!D164,"Yes","International Customer","No","Domestic Plan","Unknown")</f>
        <v>Domestic Plan</v>
      </c>
      <c r="J164" s="1" t="str">
        <f>IF(ISERROR(Raw_Data!G164/0),"Error","Valid")</f>
        <v>Error</v>
      </c>
      <c r="K164" s="1" t="str">
        <f>IF(ISBLANK(Raw_Data!A164),"Missing","Available")</f>
        <v>Available</v>
      </c>
      <c r="L164" s="5" t="str">
        <f>IF(ISNUMBER(Raw_Data!G164),"Numeric","Not Numeric")</f>
        <v>Numeric</v>
      </c>
    </row>
    <row r="165" spans="1:12" x14ac:dyDescent="0.25">
      <c r="A165" s="4" t="str">
        <f>Raw_Data!A165</f>
        <v>WI</v>
      </c>
      <c r="B165" s="1" t="b">
        <f>Raw_Data!T165</f>
        <v>1</v>
      </c>
      <c r="C165" s="1" t="str">
        <f t="shared" si="2"/>
        <v>Churned</v>
      </c>
      <c r="D165" s="1" t="str">
        <f>IF(Raw_Data!S165=0,"Low Contact",IF(Raw_Data!S165&lt;=2,"Normal Contact","High Contact"))</f>
        <v>High Contact</v>
      </c>
      <c r="E165" s="1" t="str">
        <f>IF(AND(Raw_Data!G165&gt;200,Raw_Data!H165&gt;100),"High Usage","Normal Usage")</f>
        <v>Normal Usage</v>
      </c>
      <c r="F165" s="1" t="str" cm="1">
        <f t="array" ref="F165">_xlfn.IFS(B165=TRUE,"High Risk",AND(Raw_Data!S165&gt;=3,Raw_Data!G165&gt;200),"High Risk",Raw_Data!S165&gt;=2,"Medium Risk",TRUE,"Low Risk")</f>
        <v>High Risk</v>
      </c>
      <c r="G165" s="1" t="str">
        <f>IF(OR(Raw_Data!D165="Yes",Raw_Data!E165="Yes"),"Has Plan","No Special Plan")</f>
        <v>Has Plan</v>
      </c>
      <c r="H165" s="1" t="str">
        <f>IF(NOT(Raw_Data!S165&gt;=3),"Normal Service Contact","Frequent Service Contact")</f>
        <v>Frequent Service Contact</v>
      </c>
      <c r="I165" s="1" t="str" cm="1">
        <f t="array" ref="I165">_xlfn.SWITCH(Raw_Data!D165,"Yes","International Customer","No","Domestic Plan","Unknown")</f>
        <v>International Customer</v>
      </c>
      <c r="J165" s="1" t="str">
        <f>IF(ISERROR(Raw_Data!G165/0),"Error","Valid")</f>
        <v>Error</v>
      </c>
      <c r="K165" s="1" t="str">
        <f>IF(ISBLANK(Raw_Data!A165),"Missing","Available")</f>
        <v>Available</v>
      </c>
      <c r="L165" s="5" t="str">
        <f>IF(ISNUMBER(Raw_Data!G165),"Numeric","Not Numeric")</f>
        <v>Numeric</v>
      </c>
    </row>
    <row r="166" spans="1:12" x14ac:dyDescent="0.25">
      <c r="A166" s="4" t="str">
        <f>Raw_Data!A166</f>
        <v>MT</v>
      </c>
      <c r="B166" s="1" t="b">
        <f>Raw_Data!T166</f>
        <v>0</v>
      </c>
      <c r="C166" s="1" t="str">
        <f t="shared" si="2"/>
        <v>Retained</v>
      </c>
      <c r="D166" s="1" t="str">
        <f>IF(Raw_Data!S166=0,"Low Contact",IF(Raw_Data!S166&lt;=2,"Normal Contact","High Contact"))</f>
        <v>Normal Contact</v>
      </c>
      <c r="E166" s="1" t="str">
        <f>IF(AND(Raw_Data!G166&gt;200,Raw_Data!H166&gt;100),"High Usage","Normal Usage")</f>
        <v>Normal Usage</v>
      </c>
      <c r="F166" s="1" t="str" cm="1">
        <f t="array" ref="F166">_xlfn.IFS(B166=TRUE,"High Risk",AND(Raw_Data!S166&gt;=3,Raw_Data!G166&gt;200),"High Risk",Raw_Data!S166&gt;=2,"Medium Risk",TRUE,"Low Risk")</f>
        <v>Low Risk</v>
      </c>
      <c r="G166" s="1" t="str">
        <f>IF(OR(Raw_Data!D166="Yes",Raw_Data!E166="Yes"),"Has Plan","No Special Plan")</f>
        <v>No Special Plan</v>
      </c>
      <c r="H166" s="1" t="str">
        <f>IF(NOT(Raw_Data!S166&gt;=3),"Normal Service Contact","Frequent Service Contact")</f>
        <v>Normal Service Contact</v>
      </c>
      <c r="I166" s="1" t="str" cm="1">
        <f t="array" ref="I166">_xlfn.SWITCH(Raw_Data!D166,"Yes","International Customer","No","Domestic Plan","Unknown")</f>
        <v>Domestic Plan</v>
      </c>
      <c r="J166" s="1" t="str">
        <f>IF(ISERROR(Raw_Data!G166/0),"Error","Valid")</f>
        <v>Error</v>
      </c>
      <c r="K166" s="1" t="str">
        <f>IF(ISBLANK(Raw_Data!A166),"Missing","Available")</f>
        <v>Available</v>
      </c>
      <c r="L166" s="5" t="str">
        <f>IF(ISNUMBER(Raw_Data!G166),"Numeric","Not Numeric")</f>
        <v>Numeric</v>
      </c>
    </row>
    <row r="167" spans="1:12" x14ac:dyDescent="0.25">
      <c r="A167" s="4" t="str">
        <f>Raw_Data!A167</f>
        <v>ND</v>
      </c>
      <c r="B167" s="1" t="b">
        <f>Raw_Data!T167</f>
        <v>0</v>
      </c>
      <c r="C167" s="1" t="str">
        <f t="shared" si="2"/>
        <v>Retained</v>
      </c>
      <c r="D167" s="1" t="str">
        <f>IF(Raw_Data!S167=0,"Low Contact",IF(Raw_Data!S167&lt;=2,"Normal Contact","High Contact"))</f>
        <v>Normal Contact</v>
      </c>
      <c r="E167" s="1" t="str">
        <f>IF(AND(Raw_Data!G167&gt;200,Raw_Data!H167&gt;100),"High Usage","Normal Usage")</f>
        <v>Normal Usage</v>
      </c>
      <c r="F167" s="1" t="str" cm="1">
        <f t="array" ref="F167">_xlfn.IFS(B167=TRUE,"High Risk",AND(Raw_Data!S167&gt;=3,Raw_Data!G167&gt;200),"High Risk",Raw_Data!S167&gt;=2,"Medium Risk",TRUE,"Low Risk")</f>
        <v>Medium Risk</v>
      </c>
      <c r="G167" s="1" t="str">
        <f>IF(OR(Raw_Data!D167="Yes",Raw_Data!E167="Yes"),"Has Plan","No Special Plan")</f>
        <v>Has Plan</v>
      </c>
      <c r="H167" s="1" t="str">
        <f>IF(NOT(Raw_Data!S167&gt;=3),"Normal Service Contact","Frequent Service Contact")</f>
        <v>Normal Service Contact</v>
      </c>
      <c r="I167" s="1" t="str" cm="1">
        <f t="array" ref="I167">_xlfn.SWITCH(Raw_Data!D167,"Yes","International Customer","No","Domestic Plan","Unknown")</f>
        <v>International Customer</v>
      </c>
      <c r="J167" s="1" t="str">
        <f>IF(ISERROR(Raw_Data!G167/0),"Error","Valid")</f>
        <v>Error</v>
      </c>
      <c r="K167" s="1" t="str">
        <f>IF(ISBLANK(Raw_Data!A167),"Missing","Available")</f>
        <v>Available</v>
      </c>
      <c r="L167" s="5" t="str">
        <f>IF(ISNUMBER(Raw_Data!G167),"Numeric","Not Numeric")</f>
        <v>Numeric</v>
      </c>
    </row>
    <row r="168" spans="1:12" x14ac:dyDescent="0.25">
      <c r="A168" s="4" t="str">
        <f>Raw_Data!A168</f>
        <v>WI</v>
      </c>
      <c r="B168" s="1" t="b">
        <f>Raw_Data!T168</f>
        <v>0</v>
      </c>
      <c r="C168" s="1" t="str">
        <f t="shared" si="2"/>
        <v>Retained</v>
      </c>
      <c r="D168" s="1" t="str">
        <f>IF(Raw_Data!S168=0,"Low Contact",IF(Raw_Data!S168&lt;=2,"Normal Contact","High Contact"))</f>
        <v>Normal Contact</v>
      </c>
      <c r="E168" s="1" t="str">
        <f>IF(AND(Raw_Data!G168&gt;200,Raw_Data!H168&gt;100),"High Usage","Normal Usage")</f>
        <v>Normal Usage</v>
      </c>
      <c r="F168" s="1" t="str" cm="1">
        <f t="array" ref="F168">_xlfn.IFS(B168=TRUE,"High Risk",AND(Raw_Data!S168&gt;=3,Raw_Data!G168&gt;200),"High Risk",Raw_Data!S168&gt;=2,"Medium Risk",TRUE,"Low Risk")</f>
        <v>Low Risk</v>
      </c>
      <c r="G168" s="1" t="str">
        <f>IF(OR(Raw_Data!D168="Yes",Raw_Data!E168="Yes"),"Has Plan","No Special Plan")</f>
        <v>Has Plan</v>
      </c>
      <c r="H168" s="1" t="str">
        <f>IF(NOT(Raw_Data!S168&gt;=3),"Normal Service Contact","Frequent Service Contact")</f>
        <v>Normal Service Contact</v>
      </c>
      <c r="I168" s="1" t="str" cm="1">
        <f t="array" ref="I168">_xlfn.SWITCH(Raw_Data!D168,"Yes","International Customer","No","Domestic Plan","Unknown")</f>
        <v>Domestic Plan</v>
      </c>
      <c r="J168" s="1" t="str">
        <f>IF(ISERROR(Raw_Data!G168/0),"Error","Valid")</f>
        <v>Error</v>
      </c>
      <c r="K168" s="1" t="str">
        <f>IF(ISBLANK(Raw_Data!A168),"Missing","Available")</f>
        <v>Available</v>
      </c>
      <c r="L168" s="5" t="str">
        <f>IF(ISNUMBER(Raw_Data!G168),"Numeric","Not Numeric")</f>
        <v>Numeric</v>
      </c>
    </row>
    <row r="169" spans="1:12" x14ac:dyDescent="0.25">
      <c r="A169" s="4" t="str">
        <f>Raw_Data!A169</f>
        <v>MO</v>
      </c>
      <c r="B169" s="1" t="b">
        <f>Raw_Data!T169</f>
        <v>0</v>
      </c>
      <c r="C169" s="1" t="str">
        <f t="shared" si="2"/>
        <v>Retained</v>
      </c>
      <c r="D169" s="1" t="str">
        <f>IF(Raw_Data!S169=0,"Low Contact",IF(Raw_Data!S169&lt;=2,"Normal Contact","High Contact"))</f>
        <v>Normal Contact</v>
      </c>
      <c r="E169" s="1" t="str">
        <f>IF(AND(Raw_Data!G169&gt;200,Raw_Data!H169&gt;100),"High Usage","Normal Usage")</f>
        <v>Normal Usage</v>
      </c>
      <c r="F169" s="1" t="str" cm="1">
        <f t="array" ref="F169">_xlfn.IFS(B169=TRUE,"High Risk",AND(Raw_Data!S169&gt;=3,Raw_Data!G169&gt;200),"High Risk",Raw_Data!S169&gt;=2,"Medium Risk",TRUE,"Low Risk")</f>
        <v>Low Risk</v>
      </c>
      <c r="G169" s="1" t="str">
        <f>IF(OR(Raw_Data!D169="Yes",Raw_Data!E169="Yes"),"Has Plan","No Special Plan")</f>
        <v>Has Plan</v>
      </c>
      <c r="H169" s="1" t="str">
        <f>IF(NOT(Raw_Data!S169&gt;=3),"Normal Service Contact","Frequent Service Contact")</f>
        <v>Normal Service Contact</v>
      </c>
      <c r="I169" s="1" t="str" cm="1">
        <f t="array" ref="I169">_xlfn.SWITCH(Raw_Data!D169,"Yes","International Customer","No","Domestic Plan","Unknown")</f>
        <v>Domestic Plan</v>
      </c>
      <c r="J169" s="1" t="str">
        <f>IF(ISERROR(Raw_Data!G169/0),"Error","Valid")</f>
        <v>Error</v>
      </c>
      <c r="K169" s="1" t="str">
        <f>IF(ISBLANK(Raw_Data!A169),"Missing","Available")</f>
        <v>Available</v>
      </c>
      <c r="L169" s="5" t="str">
        <f>IF(ISNUMBER(Raw_Data!G169),"Numeric","Not Numeric")</f>
        <v>Numeric</v>
      </c>
    </row>
    <row r="170" spans="1:12" x14ac:dyDescent="0.25">
      <c r="A170" s="4" t="str">
        <f>Raw_Data!A170</f>
        <v>AZ</v>
      </c>
      <c r="B170" s="1" t="b">
        <f>Raw_Data!T170</f>
        <v>0</v>
      </c>
      <c r="C170" s="1" t="str">
        <f t="shared" si="2"/>
        <v>Retained</v>
      </c>
      <c r="D170" s="1" t="str">
        <f>IF(Raw_Data!S170=0,"Low Contact",IF(Raw_Data!S170&lt;=2,"Normal Contact","High Contact"))</f>
        <v>Low Contact</v>
      </c>
      <c r="E170" s="1" t="str">
        <f>IF(AND(Raw_Data!G170&gt;200,Raw_Data!H170&gt;100),"High Usage","Normal Usage")</f>
        <v>Normal Usage</v>
      </c>
      <c r="F170" s="1" t="str" cm="1">
        <f t="array" ref="F170">_xlfn.IFS(B170=TRUE,"High Risk",AND(Raw_Data!S170&gt;=3,Raw_Data!G170&gt;200),"High Risk",Raw_Data!S170&gt;=2,"Medium Risk",TRUE,"Low Risk")</f>
        <v>Low Risk</v>
      </c>
      <c r="G170" s="1" t="str">
        <f>IF(OR(Raw_Data!D170="Yes",Raw_Data!E170="Yes"),"Has Plan","No Special Plan")</f>
        <v>Has Plan</v>
      </c>
      <c r="H170" s="1" t="str">
        <f>IF(NOT(Raw_Data!S170&gt;=3),"Normal Service Contact","Frequent Service Contact")</f>
        <v>Normal Service Contact</v>
      </c>
      <c r="I170" s="1" t="str" cm="1">
        <f t="array" ref="I170">_xlfn.SWITCH(Raw_Data!D170,"Yes","International Customer","No","Domestic Plan","Unknown")</f>
        <v>International Customer</v>
      </c>
      <c r="J170" s="1" t="str">
        <f>IF(ISERROR(Raw_Data!G170/0),"Error","Valid")</f>
        <v>Error</v>
      </c>
      <c r="K170" s="1" t="str">
        <f>IF(ISBLANK(Raw_Data!A170),"Missing","Available")</f>
        <v>Available</v>
      </c>
      <c r="L170" s="5" t="str">
        <f>IF(ISNUMBER(Raw_Data!G170),"Numeric","Not Numeric")</f>
        <v>Numeric</v>
      </c>
    </row>
    <row r="171" spans="1:12" x14ac:dyDescent="0.25">
      <c r="A171" s="4" t="str">
        <f>Raw_Data!A171</f>
        <v>VT</v>
      </c>
      <c r="B171" s="1" t="b">
        <f>Raw_Data!T171</f>
        <v>0</v>
      </c>
      <c r="C171" s="1" t="str">
        <f t="shared" si="2"/>
        <v>Retained</v>
      </c>
      <c r="D171" s="1" t="str">
        <f>IF(Raw_Data!S171=0,"Low Contact",IF(Raw_Data!S171&lt;=2,"Normal Contact","High Contact"))</f>
        <v>Normal Contact</v>
      </c>
      <c r="E171" s="1" t="str">
        <f>IF(AND(Raw_Data!G171&gt;200,Raw_Data!H171&gt;100),"High Usage","Normal Usage")</f>
        <v>Normal Usage</v>
      </c>
      <c r="F171" s="1" t="str" cm="1">
        <f t="array" ref="F171">_xlfn.IFS(B171=TRUE,"High Risk",AND(Raw_Data!S171&gt;=3,Raw_Data!G171&gt;200),"High Risk",Raw_Data!S171&gt;=2,"Medium Risk",TRUE,"Low Risk")</f>
        <v>Medium Risk</v>
      </c>
      <c r="G171" s="1" t="str">
        <f>IF(OR(Raw_Data!D171="Yes",Raw_Data!E171="Yes"),"Has Plan","No Special Plan")</f>
        <v>No Special Plan</v>
      </c>
      <c r="H171" s="1" t="str">
        <f>IF(NOT(Raw_Data!S171&gt;=3),"Normal Service Contact","Frequent Service Contact")</f>
        <v>Normal Service Contact</v>
      </c>
      <c r="I171" s="1" t="str" cm="1">
        <f t="array" ref="I171">_xlfn.SWITCH(Raw_Data!D171,"Yes","International Customer","No","Domestic Plan","Unknown")</f>
        <v>Domestic Plan</v>
      </c>
      <c r="J171" s="1" t="str">
        <f>IF(ISERROR(Raw_Data!G171/0),"Error","Valid")</f>
        <v>Error</v>
      </c>
      <c r="K171" s="1" t="str">
        <f>IF(ISBLANK(Raw_Data!A171),"Missing","Available")</f>
        <v>Available</v>
      </c>
      <c r="L171" s="5" t="str">
        <f>IF(ISNUMBER(Raw_Data!G171),"Numeric","Not Numeric")</f>
        <v>Numeric</v>
      </c>
    </row>
    <row r="172" spans="1:12" x14ac:dyDescent="0.25">
      <c r="A172" s="4" t="str">
        <f>Raw_Data!A172</f>
        <v>VA</v>
      </c>
      <c r="B172" s="1" t="b">
        <f>Raw_Data!T172</f>
        <v>1</v>
      </c>
      <c r="C172" s="1" t="str">
        <f t="shared" si="2"/>
        <v>Churned</v>
      </c>
      <c r="D172" s="1" t="str">
        <f>IF(Raw_Data!S172=0,"Low Contact",IF(Raw_Data!S172&lt;=2,"Normal Contact","High Contact"))</f>
        <v>Normal Contact</v>
      </c>
      <c r="E172" s="1" t="str">
        <f>IF(AND(Raw_Data!G172&gt;200,Raw_Data!H172&gt;100),"High Usage","Normal Usage")</f>
        <v>Normal Usage</v>
      </c>
      <c r="F172" s="1" t="str" cm="1">
        <f t="array" ref="F172">_xlfn.IFS(B172=TRUE,"High Risk",AND(Raw_Data!S172&gt;=3,Raw_Data!G172&gt;200),"High Risk",Raw_Data!S172&gt;=2,"Medium Risk",TRUE,"Low Risk")</f>
        <v>High Risk</v>
      </c>
      <c r="G172" s="1" t="str">
        <f>IF(OR(Raw_Data!D172="Yes",Raw_Data!E172="Yes"),"Has Plan","No Special Plan")</f>
        <v>Has Plan</v>
      </c>
      <c r="H172" s="1" t="str">
        <f>IF(NOT(Raw_Data!S172&gt;=3),"Normal Service Contact","Frequent Service Contact")</f>
        <v>Normal Service Contact</v>
      </c>
      <c r="I172" s="1" t="str" cm="1">
        <f t="array" ref="I172">_xlfn.SWITCH(Raw_Data!D172,"Yes","International Customer","No","Domestic Plan","Unknown")</f>
        <v>International Customer</v>
      </c>
      <c r="J172" s="1" t="str">
        <f>IF(ISERROR(Raw_Data!G172/0),"Error","Valid")</f>
        <v>Error</v>
      </c>
      <c r="K172" s="1" t="str">
        <f>IF(ISBLANK(Raw_Data!A172),"Missing","Available")</f>
        <v>Available</v>
      </c>
      <c r="L172" s="5" t="str">
        <f>IF(ISNUMBER(Raw_Data!G172),"Numeric","Not Numeric")</f>
        <v>Numeric</v>
      </c>
    </row>
    <row r="173" spans="1:12" x14ac:dyDescent="0.25">
      <c r="A173" s="4" t="str">
        <f>Raw_Data!A173</f>
        <v>NE</v>
      </c>
      <c r="B173" s="1" t="b">
        <f>Raw_Data!T173</f>
        <v>0</v>
      </c>
      <c r="C173" s="1" t="str">
        <f t="shared" si="2"/>
        <v>Retained</v>
      </c>
      <c r="D173" s="1" t="str">
        <f>IF(Raw_Data!S173=0,"Low Contact",IF(Raw_Data!S173&lt;=2,"Normal Contact","High Contact"))</f>
        <v>Normal Contact</v>
      </c>
      <c r="E173" s="1" t="str">
        <f>IF(AND(Raw_Data!G173&gt;200,Raw_Data!H173&gt;100),"High Usage","Normal Usage")</f>
        <v>Normal Usage</v>
      </c>
      <c r="F173" s="1" t="str" cm="1">
        <f t="array" ref="F173">_xlfn.IFS(B173=TRUE,"High Risk",AND(Raw_Data!S173&gt;=3,Raw_Data!G173&gt;200),"High Risk",Raw_Data!S173&gt;=2,"Medium Risk",TRUE,"Low Risk")</f>
        <v>Low Risk</v>
      </c>
      <c r="G173" s="1" t="str">
        <f>IF(OR(Raw_Data!D173="Yes",Raw_Data!E173="Yes"),"Has Plan","No Special Plan")</f>
        <v>No Special Plan</v>
      </c>
      <c r="H173" s="1" t="str">
        <f>IF(NOT(Raw_Data!S173&gt;=3),"Normal Service Contact","Frequent Service Contact")</f>
        <v>Normal Service Contact</v>
      </c>
      <c r="I173" s="1" t="str" cm="1">
        <f t="array" ref="I173">_xlfn.SWITCH(Raw_Data!D173,"Yes","International Customer","No","Domestic Plan","Unknown")</f>
        <v>Domestic Plan</v>
      </c>
      <c r="J173" s="1" t="str">
        <f>IF(ISERROR(Raw_Data!G173/0),"Error","Valid")</f>
        <v>Error</v>
      </c>
      <c r="K173" s="1" t="str">
        <f>IF(ISBLANK(Raw_Data!A173),"Missing","Available")</f>
        <v>Available</v>
      </c>
      <c r="L173" s="5" t="str">
        <f>IF(ISNUMBER(Raw_Data!G173),"Numeric","Not Numeric")</f>
        <v>Numeric</v>
      </c>
    </row>
    <row r="174" spans="1:12" x14ac:dyDescent="0.25">
      <c r="A174" s="4" t="str">
        <f>Raw_Data!A174</f>
        <v>WA</v>
      </c>
      <c r="B174" s="1" t="b">
        <f>Raw_Data!T174</f>
        <v>0</v>
      </c>
      <c r="C174" s="1" t="str">
        <f t="shared" si="2"/>
        <v>Retained</v>
      </c>
      <c r="D174" s="1" t="str">
        <f>IF(Raw_Data!S174=0,"Low Contact",IF(Raw_Data!S174&lt;=2,"Normal Contact","High Contact"))</f>
        <v>Normal Contact</v>
      </c>
      <c r="E174" s="1" t="str">
        <f>IF(AND(Raw_Data!G174&gt;200,Raw_Data!H174&gt;100),"High Usage","Normal Usage")</f>
        <v>Normal Usage</v>
      </c>
      <c r="F174" s="1" t="str" cm="1">
        <f t="array" ref="F174">_xlfn.IFS(B174=TRUE,"High Risk",AND(Raw_Data!S174&gt;=3,Raw_Data!G174&gt;200),"High Risk",Raw_Data!S174&gt;=2,"Medium Risk",TRUE,"Low Risk")</f>
        <v>Low Risk</v>
      </c>
      <c r="G174" s="1" t="str">
        <f>IF(OR(Raw_Data!D174="Yes",Raw_Data!E174="Yes"),"Has Plan","No Special Plan")</f>
        <v>Has Plan</v>
      </c>
      <c r="H174" s="1" t="str">
        <f>IF(NOT(Raw_Data!S174&gt;=3),"Normal Service Contact","Frequent Service Contact")</f>
        <v>Normal Service Contact</v>
      </c>
      <c r="I174" s="1" t="str" cm="1">
        <f t="array" ref="I174">_xlfn.SWITCH(Raw_Data!D174,"Yes","International Customer","No","Domestic Plan","Unknown")</f>
        <v>Domestic Plan</v>
      </c>
      <c r="J174" s="1" t="str">
        <f>IF(ISERROR(Raw_Data!G174/0),"Error","Valid")</f>
        <v>Error</v>
      </c>
      <c r="K174" s="1" t="str">
        <f>IF(ISBLANK(Raw_Data!A174),"Missing","Available")</f>
        <v>Available</v>
      </c>
      <c r="L174" s="5" t="str">
        <f>IF(ISNUMBER(Raw_Data!G174),"Numeric","Not Numeric")</f>
        <v>Numeric</v>
      </c>
    </row>
    <row r="175" spans="1:12" x14ac:dyDescent="0.25">
      <c r="A175" s="4" t="str">
        <f>Raw_Data!A175</f>
        <v>NM</v>
      </c>
      <c r="B175" s="1" t="b">
        <f>Raw_Data!T175</f>
        <v>0</v>
      </c>
      <c r="C175" s="1" t="str">
        <f t="shared" si="2"/>
        <v>Retained</v>
      </c>
      <c r="D175" s="1" t="str">
        <f>IF(Raw_Data!S175=0,"Low Contact",IF(Raw_Data!S175&lt;=2,"Normal Contact","High Contact"))</f>
        <v>Normal Contact</v>
      </c>
      <c r="E175" s="1" t="str">
        <f>IF(AND(Raw_Data!G175&gt;200,Raw_Data!H175&gt;100),"High Usage","Normal Usage")</f>
        <v>Normal Usage</v>
      </c>
      <c r="F175" s="1" t="str" cm="1">
        <f t="array" ref="F175">_xlfn.IFS(B175=TRUE,"High Risk",AND(Raw_Data!S175&gt;=3,Raw_Data!G175&gt;200),"High Risk",Raw_Data!S175&gt;=2,"Medium Risk",TRUE,"Low Risk")</f>
        <v>Low Risk</v>
      </c>
      <c r="G175" s="1" t="str">
        <f>IF(OR(Raw_Data!D175="Yes",Raw_Data!E175="Yes"),"Has Plan","No Special Plan")</f>
        <v>No Special Plan</v>
      </c>
      <c r="H175" s="1" t="str">
        <f>IF(NOT(Raw_Data!S175&gt;=3),"Normal Service Contact","Frequent Service Contact")</f>
        <v>Normal Service Contact</v>
      </c>
      <c r="I175" s="1" t="str" cm="1">
        <f t="array" ref="I175">_xlfn.SWITCH(Raw_Data!D175,"Yes","International Customer","No","Domestic Plan","Unknown")</f>
        <v>Domestic Plan</v>
      </c>
      <c r="J175" s="1" t="str">
        <f>IF(ISERROR(Raw_Data!G175/0),"Error","Valid")</f>
        <v>Error</v>
      </c>
      <c r="K175" s="1" t="str">
        <f>IF(ISBLANK(Raw_Data!A175),"Missing","Available")</f>
        <v>Available</v>
      </c>
      <c r="L175" s="5" t="str">
        <f>IF(ISNUMBER(Raw_Data!G175),"Numeric","Not Numeric")</f>
        <v>Numeric</v>
      </c>
    </row>
    <row r="176" spans="1:12" x14ac:dyDescent="0.25">
      <c r="A176" s="4" t="str">
        <f>Raw_Data!A176</f>
        <v>FL</v>
      </c>
      <c r="B176" s="1" t="b">
        <f>Raw_Data!T176</f>
        <v>0</v>
      </c>
      <c r="C176" s="1" t="str">
        <f t="shared" si="2"/>
        <v>Retained</v>
      </c>
      <c r="D176" s="1" t="str">
        <f>IF(Raw_Data!S176=0,"Low Contact",IF(Raw_Data!S176&lt;=2,"Normal Contact","High Contact"))</f>
        <v>Low Contact</v>
      </c>
      <c r="E176" s="1" t="str">
        <f>IF(AND(Raw_Data!G176&gt;200,Raw_Data!H176&gt;100),"High Usage","Normal Usage")</f>
        <v>Normal Usage</v>
      </c>
      <c r="F176" s="1" t="str" cm="1">
        <f t="array" ref="F176">_xlfn.IFS(B176=TRUE,"High Risk",AND(Raw_Data!S176&gt;=3,Raw_Data!G176&gt;200),"High Risk",Raw_Data!S176&gt;=2,"Medium Risk",TRUE,"Low Risk")</f>
        <v>Low Risk</v>
      </c>
      <c r="G176" s="1" t="str">
        <f>IF(OR(Raw_Data!D176="Yes",Raw_Data!E176="Yes"),"Has Plan","No Special Plan")</f>
        <v>No Special Plan</v>
      </c>
      <c r="H176" s="1" t="str">
        <f>IF(NOT(Raw_Data!S176&gt;=3),"Normal Service Contact","Frequent Service Contact")</f>
        <v>Normal Service Contact</v>
      </c>
      <c r="I176" s="1" t="str" cm="1">
        <f t="array" ref="I176">_xlfn.SWITCH(Raw_Data!D176,"Yes","International Customer","No","Domestic Plan","Unknown")</f>
        <v>Domestic Plan</v>
      </c>
      <c r="J176" s="1" t="str">
        <f>IF(ISERROR(Raw_Data!G176/0),"Error","Valid")</f>
        <v>Error</v>
      </c>
      <c r="K176" s="1" t="str">
        <f>IF(ISBLANK(Raw_Data!A176),"Missing","Available")</f>
        <v>Available</v>
      </c>
      <c r="L176" s="5" t="str">
        <f>IF(ISNUMBER(Raw_Data!G176),"Numeric","Not Numeric")</f>
        <v>Numeric</v>
      </c>
    </row>
    <row r="177" spans="1:12" x14ac:dyDescent="0.25">
      <c r="A177" s="4" t="str">
        <f>Raw_Data!A177</f>
        <v>SC</v>
      </c>
      <c r="B177" s="1" t="b">
        <f>Raw_Data!T177</f>
        <v>1</v>
      </c>
      <c r="C177" s="1" t="str">
        <f t="shared" si="2"/>
        <v>Churned</v>
      </c>
      <c r="D177" s="1" t="str">
        <f>IF(Raw_Data!S177=0,"Low Contact",IF(Raw_Data!S177&lt;=2,"Normal Contact","High Contact"))</f>
        <v>Normal Contact</v>
      </c>
      <c r="E177" s="1" t="str">
        <f>IF(AND(Raw_Data!G177&gt;200,Raw_Data!H177&gt;100),"High Usage","Normal Usage")</f>
        <v>High Usage</v>
      </c>
      <c r="F177" s="1" t="str" cm="1">
        <f t="array" ref="F177">_xlfn.IFS(B177=TRUE,"High Risk",AND(Raw_Data!S177&gt;=3,Raw_Data!G177&gt;200),"High Risk",Raw_Data!S177&gt;=2,"Medium Risk",TRUE,"Low Risk")</f>
        <v>High Risk</v>
      </c>
      <c r="G177" s="1" t="str">
        <f>IF(OR(Raw_Data!D177="Yes",Raw_Data!E177="Yes"),"Has Plan","No Special Plan")</f>
        <v>No Special Plan</v>
      </c>
      <c r="H177" s="1" t="str">
        <f>IF(NOT(Raw_Data!S177&gt;=3),"Normal Service Contact","Frequent Service Contact")</f>
        <v>Normal Service Contact</v>
      </c>
      <c r="I177" s="1" t="str" cm="1">
        <f t="array" ref="I177">_xlfn.SWITCH(Raw_Data!D177,"Yes","International Customer","No","Domestic Plan","Unknown")</f>
        <v>Domestic Plan</v>
      </c>
      <c r="J177" s="1" t="str">
        <f>IF(ISERROR(Raw_Data!G177/0),"Error","Valid")</f>
        <v>Error</v>
      </c>
      <c r="K177" s="1" t="str">
        <f>IF(ISBLANK(Raw_Data!A177),"Missing","Available")</f>
        <v>Available</v>
      </c>
      <c r="L177" s="5" t="str">
        <f>IF(ISNUMBER(Raw_Data!G177),"Numeric","Not Numeric")</f>
        <v>Numeric</v>
      </c>
    </row>
    <row r="178" spans="1:12" x14ac:dyDescent="0.25">
      <c r="A178" s="4" t="str">
        <f>Raw_Data!A178</f>
        <v>IN</v>
      </c>
      <c r="B178" s="1" t="b">
        <f>Raw_Data!T178</f>
        <v>0</v>
      </c>
      <c r="C178" s="1" t="str">
        <f t="shared" si="2"/>
        <v>Retained</v>
      </c>
      <c r="D178" s="1" t="str">
        <f>IF(Raw_Data!S178=0,"Low Contact",IF(Raw_Data!S178&lt;=2,"Normal Contact","High Contact"))</f>
        <v>Low Contact</v>
      </c>
      <c r="E178" s="1" t="str">
        <f>IF(AND(Raw_Data!G178&gt;200,Raw_Data!H178&gt;100),"High Usage","Normal Usage")</f>
        <v>High Usage</v>
      </c>
      <c r="F178" s="1" t="str" cm="1">
        <f t="array" ref="F178">_xlfn.IFS(B178=TRUE,"High Risk",AND(Raw_Data!S178&gt;=3,Raw_Data!G178&gt;200),"High Risk",Raw_Data!S178&gt;=2,"Medium Risk",TRUE,"Low Risk")</f>
        <v>Low Risk</v>
      </c>
      <c r="G178" s="1" t="str">
        <f>IF(OR(Raw_Data!D178="Yes",Raw_Data!E178="Yes"),"Has Plan","No Special Plan")</f>
        <v>No Special Plan</v>
      </c>
      <c r="H178" s="1" t="str">
        <f>IF(NOT(Raw_Data!S178&gt;=3),"Normal Service Contact","Frequent Service Contact")</f>
        <v>Normal Service Contact</v>
      </c>
      <c r="I178" s="1" t="str" cm="1">
        <f t="array" ref="I178">_xlfn.SWITCH(Raw_Data!D178,"Yes","International Customer","No","Domestic Plan","Unknown")</f>
        <v>Domestic Plan</v>
      </c>
      <c r="J178" s="1" t="str">
        <f>IF(ISERROR(Raw_Data!G178/0),"Error","Valid")</f>
        <v>Error</v>
      </c>
      <c r="K178" s="1" t="str">
        <f>IF(ISBLANK(Raw_Data!A178),"Missing","Available")</f>
        <v>Available</v>
      </c>
      <c r="L178" s="5" t="str">
        <f>IF(ISNUMBER(Raw_Data!G178),"Numeric","Not Numeric")</f>
        <v>Numeric</v>
      </c>
    </row>
    <row r="179" spans="1:12" x14ac:dyDescent="0.25">
      <c r="A179" s="4" t="str">
        <f>Raw_Data!A179</f>
        <v>FL</v>
      </c>
      <c r="B179" s="1" t="b">
        <f>Raw_Data!T179</f>
        <v>0</v>
      </c>
      <c r="C179" s="1" t="str">
        <f t="shared" si="2"/>
        <v>Retained</v>
      </c>
      <c r="D179" s="1" t="str">
        <f>IF(Raw_Data!S179=0,"Low Contact",IF(Raw_Data!S179&lt;=2,"Normal Contact","High Contact"))</f>
        <v>Normal Contact</v>
      </c>
      <c r="E179" s="1" t="str">
        <f>IF(AND(Raw_Data!G179&gt;200,Raw_Data!H179&gt;100),"High Usage","Normal Usage")</f>
        <v>Normal Usage</v>
      </c>
      <c r="F179" s="1" t="str" cm="1">
        <f t="array" ref="F179">_xlfn.IFS(B179=TRUE,"High Risk",AND(Raw_Data!S179&gt;=3,Raw_Data!G179&gt;200),"High Risk",Raw_Data!S179&gt;=2,"Medium Risk",TRUE,"Low Risk")</f>
        <v>Low Risk</v>
      </c>
      <c r="G179" s="1" t="str">
        <f>IF(OR(Raw_Data!D179="Yes",Raw_Data!E179="Yes"),"Has Plan","No Special Plan")</f>
        <v>Has Plan</v>
      </c>
      <c r="H179" s="1" t="str">
        <f>IF(NOT(Raw_Data!S179&gt;=3),"Normal Service Contact","Frequent Service Contact")</f>
        <v>Normal Service Contact</v>
      </c>
      <c r="I179" s="1" t="str" cm="1">
        <f t="array" ref="I179">_xlfn.SWITCH(Raw_Data!D179,"Yes","International Customer","No","Domestic Plan","Unknown")</f>
        <v>Domestic Plan</v>
      </c>
      <c r="J179" s="1" t="str">
        <f>IF(ISERROR(Raw_Data!G179/0),"Error","Valid")</f>
        <v>Error</v>
      </c>
      <c r="K179" s="1" t="str">
        <f>IF(ISBLANK(Raw_Data!A179),"Missing","Available")</f>
        <v>Available</v>
      </c>
      <c r="L179" s="5" t="str">
        <f>IF(ISNUMBER(Raw_Data!G179),"Numeric","Not Numeric")</f>
        <v>Numeric</v>
      </c>
    </row>
    <row r="180" spans="1:12" x14ac:dyDescent="0.25">
      <c r="A180" s="4" t="str">
        <f>Raw_Data!A180</f>
        <v>ND</v>
      </c>
      <c r="B180" s="1" t="b">
        <f>Raw_Data!T180</f>
        <v>0</v>
      </c>
      <c r="C180" s="1" t="str">
        <f t="shared" si="2"/>
        <v>Retained</v>
      </c>
      <c r="D180" s="1" t="str">
        <f>IF(Raw_Data!S180=0,"Low Contact",IF(Raw_Data!S180&lt;=2,"Normal Contact","High Contact"))</f>
        <v>Normal Contact</v>
      </c>
      <c r="E180" s="1" t="str">
        <f>IF(AND(Raw_Data!G180&gt;200,Raw_Data!H180&gt;100),"High Usage","Normal Usage")</f>
        <v>Normal Usage</v>
      </c>
      <c r="F180" s="1" t="str" cm="1">
        <f t="array" ref="F180">_xlfn.IFS(B180=TRUE,"High Risk",AND(Raw_Data!S180&gt;=3,Raw_Data!G180&gt;200),"High Risk",Raw_Data!S180&gt;=2,"Medium Risk",TRUE,"Low Risk")</f>
        <v>Low Risk</v>
      </c>
      <c r="G180" s="1" t="str">
        <f>IF(OR(Raw_Data!D180="Yes",Raw_Data!E180="Yes"),"Has Plan","No Special Plan")</f>
        <v>Has Plan</v>
      </c>
      <c r="H180" s="1" t="str">
        <f>IF(NOT(Raw_Data!S180&gt;=3),"Normal Service Contact","Frequent Service Contact")</f>
        <v>Normal Service Contact</v>
      </c>
      <c r="I180" s="1" t="str" cm="1">
        <f t="array" ref="I180">_xlfn.SWITCH(Raw_Data!D180,"Yes","International Customer","No","Domestic Plan","Unknown")</f>
        <v>Domestic Plan</v>
      </c>
      <c r="J180" s="1" t="str">
        <f>IF(ISERROR(Raw_Data!G180/0),"Error","Valid")</f>
        <v>Error</v>
      </c>
      <c r="K180" s="1" t="str">
        <f>IF(ISBLANK(Raw_Data!A180),"Missing","Available")</f>
        <v>Available</v>
      </c>
      <c r="L180" s="5" t="str">
        <f>IF(ISNUMBER(Raw_Data!G180),"Numeric","Not Numeric")</f>
        <v>Numeric</v>
      </c>
    </row>
    <row r="181" spans="1:12" x14ac:dyDescent="0.25">
      <c r="A181" s="4" t="str">
        <f>Raw_Data!A181</f>
        <v>MA</v>
      </c>
      <c r="B181" s="1" t="b">
        <f>Raw_Data!T181</f>
        <v>1</v>
      </c>
      <c r="C181" s="1" t="str">
        <f t="shared" si="2"/>
        <v>Churned</v>
      </c>
      <c r="D181" s="1" t="str">
        <f>IF(Raw_Data!S181=0,"Low Contact",IF(Raw_Data!S181&lt;=2,"Normal Contact","High Contact"))</f>
        <v>High Contact</v>
      </c>
      <c r="E181" s="1" t="str">
        <f>IF(AND(Raw_Data!G181&gt;200,Raw_Data!H181&gt;100),"High Usage","Normal Usage")</f>
        <v>Normal Usage</v>
      </c>
      <c r="F181" s="1" t="str" cm="1">
        <f t="array" ref="F181">_xlfn.IFS(B181=TRUE,"High Risk",AND(Raw_Data!S181&gt;=3,Raw_Data!G181&gt;200),"High Risk",Raw_Data!S181&gt;=2,"Medium Risk",TRUE,"Low Risk")</f>
        <v>High Risk</v>
      </c>
      <c r="G181" s="1" t="str">
        <f>IF(OR(Raw_Data!D181="Yes",Raw_Data!E181="Yes"),"Has Plan","No Special Plan")</f>
        <v>Has Plan</v>
      </c>
      <c r="H181" s="1" t="str">
        <f>IF(NOT(Raw_Data!S181&gt;=3),"Normal Service Contact","Frequent Service Contact")</f>
        <v>Frequent Service Contact</v>
      </c>
      <c r="I181" s="1" t="str" cm="1">
        <f t="array" ref="I181">_xlfn.SWITCH(Raw_Data!D181,"Yes","International Customer","No","Domestic Plan","Unknown")</f>
        <v>International Customer</v>
      </c>
      <c r="J181" s="1" t="str">
        <f>IF(ISERROR(Raw_Data!G181/0),"Error","Valid")</f>
        <v>Error</v>
      </c>
      <c r="K181" s="1" t="str">
        <f>IF(ISBLANK(Raw_Data!A181),"Missing","Available")</f>
        <v>Available</v>
      </c>
      <c r="L181" s="5" t="str">
        <f>IF(ISNUMBER(Raw_Data!G181),"Numeric","Not Numeric")</f>
        <v>Numeric</v>
      </c>
    </row>
    <row r="182" spans="1:12" x14ac:dyDescent="0.25">
      <c r="A182" s="4" t="str">
        <f>Raw_Data!A182</f>
        <v>MO</v>
      </c>
      <c r="B182" s="1" t="b">
        <f>Raw_Data!T182</f>
        <v>0</v>
      </c>
      <c r="C182" s="1" t="str">
        <f t="shared" si="2"/>
        <v>Retained</v>
      </c>
      <c r="D182" s="1" t="str">
        <f>IF(Raw_Data!S182=0,"Low Contact",IF(Raw_Data!S182&lt;=2,"Normal Contact","High Contact"))</f>
        <v>Normal Contact</v>
      </c>
      <c r="E182" s="1" t="str">
        <f>IF(AND(Raw_Data!G182&gt;200,Raw_Data!H182&gt;100),"High Usage","Normal Usage")</f>
        <v>Normal Usage</v>
      </c>
      <c r="F182" s="1" t="str" cm="1">
        <f t="array" ref="F182">_xlfn.IFS(B182=TRUE,"High Risk",AND(Raw_Data!S182&gt;=3,Raw_Data!G182&gt;200),"High Risk",Raw_Data!S182&gt;=2,"Medium Risk",TRUE,"Low Risk")</f>
        <v>Medium Risk</v>
      </c>
      <c r="G182" s="1" t="str">
        <f>IF(OR(Raw_Data!D182="Yes",Raw_Data!E182="Yes"),"Has Plan","No Special Plan")</f>
        <v>Has Plan</v>
      </c>
      <c r="H182" s="1" t="str">
        <f>IF(NOT(Raw_Data!S182&gt;=3),"Normal Service Contact","Frequent Service Contact")</f>
        <v>Normal Service Contact</v>
      </c>
      <c r="I182" s="1" t="str" cm="1">
        <f t="array" ref="I182">_xlfn.SWITCH(Raw_Data!D182,"Yes","International Customer","No","Domestic Plan","Unknown")</f>
        <v>Domestic Plan</v>
      </c>
      <c r="J182" s="1" t="str">
        <f>IF(ISERROR(Raw_Data!G182/0),"Error","Valid")</f>
        <v>Error</v>
      </c>
      <c r="K182" s="1" t="str">
        <f>IF(ISBLANK(Raw_Data!A182),"Missing","Available")</f>
        <v>Available</v>
      </c>
      <c r="L182" s="5" t="str">
        <f>IF(ISNUMBER(Raw_Data!G182),"Numeric","Not Numeric")</f>
        <v>Numeric</v>
      </c>
    </row>
    <row r="183" spans="1:12" x14ac:dyDescent="0.25">
      <c r="A183" s="4" t="str">
        <f>Raw_Data!A183</f>
        <v>WY</v>
      </c>
      <c r="B183" s="1" t="b">
        <f>Raw_Data!T183</f>
        <v>0</v>
      </c>
      <c r="C183" s="1" t="str">
        <f t="shared" si="2"/>
        <v>Retained</v>
      </c>
      <c r="D183" s="1" t="str">
        <f>IF(Raw_Data!S183=0,"Low Contact",IF(Raw_Data!S183&lt;=2,"Normal Contact","High Contact"))</f>
        <v>Normal Contact</v>
      </c>
      <c r="E183" s="1" t="str">
        <f>IF(AND(Raw_Data!G183&gt;200,Raw_Data!H183&gt;100),"High Usage","Normal Usage")</f>
        <v>Normal Usage</v>
      </c>
      <c r="F183" s="1" t="str" cm="1">
        <f t="array" ref="F183">_xlfn.IFS(B183=TRUE,"High Risk",AND(Raw_Data!S183&gt;=3,Raw_Data!G183&gt;200),"High Risk",Raw_Data!S183&gt;=2,"Medium Risk",TRUE,"Low Risk")</f>
        <v>Low Risk</v>
      </c>
      <c r="G183" s="1" t="str">
        <f>IF(OR(Raw_Data!D183="Yes",Raw_Data!E183="Yes"),"Has Plan","No Special Plan")</f>
        <v>No Special Plan</v>
      </c>
      <c r="H183" s="1" t="str">
        <f>IF(NOT(Raw_Data!S183&gt;=3),"Normal Service Contact","Frequent Service Contact")</f>
        <v>Normal Service Contact</v>
      </c>
      <c r="I183" s="1" t="str" cm="1">
        <f t="array" ref="I183">_xlfn.SWITCH(Raw_Data!D183,"Yes","International Customer","No","Domestic Plan","Unknown")</f>
        <v>Domestic Plan</v>
      </c>
      <c r="J183" s="1" t="str">
        <f>IF(ISERROR(Raw_Data!G183/0),"Error","Valid")</f>
        <v>Error</v>
      </c>
      <c r="K183" s="1" t="str">
        <f>IF(ISBLANK(Raw_Data!A183),"Missing","Available")</f>
        <v>Available</v>
      </c>
      <c r="L183" s="5" t="str">
        <f>IF(ISNUMBER(Raw_Data!G183),"Numeric","Not Numeric")</f>
        <v>Numeric</v>
      </c>
    </row>
    <row r="184" spans="1:12" x14ac:dyDescent="0.25">
      <c r="A184" s="4" t="str">
        <f>Raw_Data!A184</f>
        <v>CA</v>
      </c>
      <c r="B184" s="1" t="b">
        <f>Raw_Data!T184</f>
        <v>0</v>
      </c>
      <c r="C184" s="1" t="str">
        <f t="shared" si="2"/>
        <v>Retained</v>
      </c>
      <c r="D184" s="1" t="str">
        <f>IF(Raw_Data!S184=0,"Low Contact",IF(Raw_Data!S184&lt;=2,"Normal Contact","High Contact"))</f>
        <v>High Contact</v>
      </c>
      <c r="E184" s="1" t="str">
        <f>IF(AND(Raw_Data!G184&gt;200,Raw_Data!H184&gt;100),"High Usage","Normal Usage")</f>
        <v>Normal Usage</v>
      </c>
      <c r="F184" s="1" t="str" cm="1">
        <f t="array" ref="F184">_xlfn.IFS(B184=TRUE,"High Risk",AND(Raw_Data!S184&gt;=3,Raw_Data!G184&gt;200),"High Risk",Raw_Data!S184&gt;=2,"Medium Risk",TRUE,"Low Risk")</f>
        <v>Medium Risk</v>
      </c>
      <c r="G184" s="1" t="str">
        <f>IF(OR(Raw_Data!D184="Yes",Raw_Data!E184="Yes"),"Has Plan","No Special Plan")</f>
        <v>Has Plan</v>
      </c>
      <c r="H184" s="1" t="str">
        <f>IF(NOT(Raw_Data!S184&gt;=3),"Normal Service Contact","Frequent Service Contact")</f>
        <v>Frequent Service Contact</v>
      </c>
      <c r="I184" s="1" t="str" cm="1">
        <f t="array" ref="I184">_xlfn.SWITCH(Raw_Data!D184,"Yes","International Customer","No","Domestic Plan","Unknown")</f>
        <v>Domestic Plan</v>
      </c>
      <c r="J184" s="1" t="str">
        <f>IF(ISERROR(Raw_Data!G184/0),"Error","Valid")</f>
        <v>Error</v>
      </c>
      <c r="K184" s="1" t="str">
        <f>IF(ISBLANK(Raw_Data!A184),"Missing","Available")</f>
        <v>Available</v>
      </c>
      <c r="L184" s="5" t="str">
        <f>IF(ISNUMBER(Raw_Data!G184),"Numeric","Not Numeric")</f>
        <v>Numeric</v>
      </c>
    </row>
    <row r="185" spans="1:12" x14ac:dyDescent="0.25">
      <c r="A185" s="4" t="str">
        <f>Raw_Data!A185</f>
        <v>NE</v>
      </c>
      <c r="B185" s="1" t="b">
        <f>Raw_Data!T185</f>
        <v>0</v>
      </c>
      <c r="C185" s="1" t="str">
        <f t="shared" si="2"/>
        <v>Retained</v>
      </c>
      <c r="D185" s="1" t="str">
        <f>IF(Raw_Data!S185=0,"Low Contact",IF(Raw_Data!S185&lt;=2,"Normal Contact","High Contact"))</f>
        <v>Normal Contact</v>
      </c>
      <c r="E185" s="1" t="str">
        <f>IF(AND(Raw_Data!G185&gt;200,Raw_Data!H185&gt;100),"High Usage","Normal Usage")</f>
        <v>Normal Usage</v>
      </c>
      <c r="F185" s="1" t="str" cm="1">
        <f t="array" ref="F185">_xlfn.IFS(B185=TRUE,"High Risk",AND(Raw_Data!S185&gt;=3,Raw_Data!G185&gt;200),"High Risk",Raw_Data!S185&gt;=2,"Medium Risk",TRUE,"Low Risk")</f>
        <v>Medium Risk</v>
      </c>
      <c r="G185" s="1" t="str">
        <f>IF(OR(Raw_Data!D185="Yes",Raw_Data!E185="Yes"),"Has Plan","No Special Plan")</f>
        <v>Has Plan</v>
      </c>
      <c r="H185" s="1" t="str">
        <f>IF(NOT(Raw_Data!S185&gt;=3),"Normal Service Contact","Frequent Service Contact")</f>
        <v>Normal Service Contact</v>
      </c>
      <c r="I185" s="1" t="str" cm="1">
        <f t="array" ref="I185">_xlfn.SWITCH(Raw_Data!D185,"Yes","International Customer","No","Domestic Plan","Unknown")</f>
        <v>International Customer</v>
      </c>
      <c r="J185" s="1" t="str">
        <f>IF(ISERROR(Raw_Data!G185/0),"Error","Valid")</f>
        <v>Error</v>
      </c>
      <c r="K185" s="1" t="str">
        <f>IF(ISBLANK(Raw_Data!A185),"Missing","Available")</f>
        <v>Available</v>
      </c>
      <c r="L185" s="5" t="str">
        <f>IF(ISNUMBER(Raw_Data!G185),"Numeric","Not Numeric")</f>
        <v>Numeric</v>
      </c>
    </row>
    <row r="186" spans="1:12" x14ac:dyDescent="0.25">
      <c r="A186" s="4" t="str">
        <f>Raw_Data!A186</f>
        <v>ID</v>
      </c>
      <c r="B186" s="1" t="b">
        <f>Raw_Data!T186</f>
        <v>0</v>
      </c>
      <c r="C186" s="1" t="str">
        <f t="shared" si="2"/>
        <v>Retained</v>
      </c>
      <c r="D186" s="1" t="str">
        <f>IF(Raw_Data!S186=0,"Low Contact",IF(Raw_Data!S186&lt;=2,"Normal Contact","High Contact"))</f>
        <v>High Contact</v>
      </c>
      <c r="E186" s="1" t="str">
        <f>IF(AND(Raw_Data!G186&gt;200,Raw_Data!H186&gt;100),"High Usage","Normal Usage")</f>
        <v>Normal Usage</v>
      </c>
      <c r="F186" s="1" t="str" cm="1">
        <f t="array" ref="F186">_xlfn.IFS(B186=TRUE,"High Risk",AND(Raw_Data!S186&gt;=3,Raw_Data!G186&gt;200),"High Risk",Raw_Data!S186&gt;=2,"Medium Risk",TRUE,"Low Risk")</f>
        <v>High Risk</v>
      </c>
      <c r="G186" s="1" t="str">
        <f>IF(OR(Raw_Data!D186="Yes",Raw_Data!E186="Yes"),"Has Plan","No Special Plan")</f>
        <v>Has Plan</v>
      </c>
      <c r="H186" s="1" t="str">
        <f>IF(NOT(Raw_Data!S186&gt;=3),"Normal Service Contact","Frequent Service Contact")</f>
        <v>Frequent Service Contact</v>
      </c>
      <c r="I186" s="1" t="str" cm="1">
        <f t="array" ref="I186">_xlfn.SWITCH(Raw_Data!D186,"Yes","International Customer","No","Domestic Plan","Unknown")</f>
        <v>Domestic Plan</v>
      </c>
      <c r="J186" s="1" t="str">
        <f>IF(ISERROR(Raw_Data!G186/0),"Error","Valid")</f>
        <v>Error</v>
      </c>
      <c r="K186" s="1" t="str">
        <f>IF(ISBLANK(Raw_Data!A186),"Missing","Available")</f>
        <v>Available</v>
      </c>
      <c r="L186" s="5" t="str">
        <f>IF(ISNUMBER(Raw_Data!G186),"Numeric","Not Numeric")</f>
        <v>Numeric</v>
      </c>
    </row>
    <row r="187" spans="1:12" x14ac:dyDescent="0.25">
      <c r="A187" s="4" t="str">
        <f>Raw_Data!A187</f>
        <v>VT</v>
      </c>
      <c r="B187" s="1" t="b">
        <f>Raw_Data!T187</f>
        <v>0</v>
      </c>
      <c r="C187" s="1" t="str">
        <f t="shared" si="2"/>
        <v>Retained</v>
      </c>
      <c r="D187" s="1" t="str">
        <f>IF(Raw_Data!S187=0,"Low Contact",IF(Raw_Data!S187&lt;=2,"Normal Contact","High Contact"))</f>
        <v>Low Contact</v>
      </c>
      <c r="E187" s="1" t="str">
        <f>IF(AND(Raw_Data!G187&gt;200,Raw_Data!H187&gt;100),"High Usage","Normal Usage")</f>
        <v>Normal Usage</v>
      </c>
      <c r="F187" s="1" t="str" cm="1">
        <f t="array" ref="F187">_xlfn.IFS(B187=TRUE,"High Risk",AND(Raw_Data!S187&gt;=3,Raw_Data!G187&gt;200),"High Risk",Raw_Data!S187&gt;=2,"Medium Risk",TRUE,"Low Risk")</f>
        <v>Low Risk</v>
      </c>
      <c r="G187" s="1" t="str">
        <f>IF(OR(Raw_Data!D187="Yes",Raw_Data!E187="Yes"),"Has Plan","No Special Plan")</f>
        <v>No Special Plan</v>
      </c>
      <c r="H187" s="1" t="str">
        <f>IF(NOT(Raw_Data!S187&gt;=3),"Normal Service Contact","Frequent Service Contact")</f>
        <v>Normal Service Contact</v>
      </c>
      <c r="I187" s="1" t="str" cm="1">
        <f t="array" ref="I187">_xlfn.SWITCH(Raw_Data!D187,"Yes","International Customer","No","Domestic Plan","Unknown")</f>
        <v>Domestic Plan</v>
      </c>
      <c r="J187" s="1" t="str">
        <f>IF(ISERROR(Raw_Data!G187/0),"Error","Valid")</f>
        <v>Error</v>
      </c>
      <c r="K187" s="1" t="str">
        <f>IF(ISBLANK(Raw_Data!A187),"Missing","Available")</f>
        <v>Available</v>
      </c>
      <c r="L187" s="5" t="str">
        <f>IF(ISNUMBER(Raw_Data!G187),"Numeric","Not Numeric")</f>
        <v>Numeric</v>
      </c>
    </row>
    <row r="188" spans="1:12" x14ac:dyDescent="0.25">
      <c r="A188" s="4" t="str">
        <f>Raw_Data!A188</f>
        <v>MO</v>
      </c>
      <c r="B188" s="1" t="b">
        <f>Raw_Data!T188</f>
        <v>0</v>
      </c>
      <c r="C188" s="1" t="str">
        <f t="shared" si="2"/>
        <v>Retained</v>
      </c>
      <c r="D188" s="1" t="str">
        <f>IF(Raw_Data!S188=0,"Low Contact",IF(Raw_Data!S188&lt;=2,"Normal Contact","High Contact"))</f>
        <v>Normal Contact</v>
      </c>
      <c r="E188" s="1" t="str">
        <f>IF(AND(Raw_Data!G188&gt;200,Raw_Data!H188&gt;100),"High Usage","Normal Usage")</f>
        <v>Normal Usage</v>
      </c>
      <c r="F188" s="1" t="str" cm="1">
        <f t="array" ref="F188">_xlfn.IFS(B188=TRUE,"High Risk",AND(Raw_Data!S188&gt;=3,Raw_Data!G188&gt;200),"High Risk",Raw_Data!S188&gt;=2,"Medium Risk",TRUE,"Low Risk")</f>
        <v>Medium Risk</v>
      </c>
      <c r="G188" s="1" t="str">
        <f>IF(OR(Raw_Data!D188="Yes",Raw_Data!E188="Yes"),"Has Plan","No Special Plan")</f>
        <v>Has Plan</v>
      </c>
      <c r="H188" s="1" t="str">
        <f>IF(NOT(Raw_Data!S188&gt;=3),"Normal Service Contact","Frequent Service Contact")</f>
        <v>Normal Service Contact</v>
      </c>
      <c r="I188" s="1" t="str" cm="1">
        <f t="array" ref="I188">_xlfn.SWITCH(Raw_Data!D188,"Yes","International Customer","No","Domestic Plan","Unknown")</f>
        <v>International Customer</v>
      </c>
      <c r="J188" s="1" t="str">
        <f>IF(ISERROR(Raw_Data!G188/0),"Error","Valid")</f>
        <v>Error</v>
      </c>
      <c r="K188" s="1" t="str">
        <f>IF(ISBLANK(Raw_Data!A188),"Missing","Available")</f>
        <v>Available</v>
      </c>
      <c r="L188" s="5" t="str">
        <f>IF(ISNUMBER(Raw_Data!G188),"Numeric","Not Numeric")</f>
        <v>Numeric</v>
      </c>
    </row>
    <row r="189" spans="1:12" x14ac:dyDescent="0.25">
      <c r="A189" s="4" t="str">
        <f>Raw_Data!A189</f>
        <v>VA</v>
      </c>
      <c r="B189" s="1" t="b">
        <f>Raw_Data!T189</f>
        <v>0</v>
      </c>
      <c r="C189" s="1" t="str">
        <f t="shared" si="2"/>
        <v>Retained</v>
      </c>
      <c r="D189" s="1" t="str">
        <f>IF(Raw_Data!S189=0,"Low Contact",IF(Raw_Data!S189&lt;=2,"Normal Contact","High Contact"))</f>
        <v>Normal Contact</v>
      </c>
      <c r="E189" s="1" t="str">
        <f>IF(AND(Raw_Data!G189&gt;200,Raw_Data!H189&gt;100),"High Usage","Normal Usage")</f>
        <v>High Usage</v>
      </c>
      <c r="F189" s="1" t="str" cm="1">
        <f t="array" ref="F189">_xlfn.IFS(B189=TRUE,"High Risk",AND(Raw_Data!S189&gt;=3,Raw_Data!G189&gt;200),"High Risk",Raw_Data!S189&gt;=2,"Medium Risk",TRUE,"Low Risk")</f>
        <v>Low Risk</v>
      </c>
      <c r="G189" s="1" t="str">
        <f>IF(OR(Raw_Data!D189="Yes",Raw_Data!E189="Yes"),"Has Plan","No Special Plan")</f>
        <v>Has Plan</v>
      </c>
      <c r="H189" s="1" t="str">
        <f>IF(NOT(Raw_Data!S189&gt;=3),"Normal Service Contact","Frequent Service Contact")</f>
        <v>Normal Service Contact</v>
      </c>
      <c r="I189" s="1" t="str" cm="1">
        <f t="array" ref="I189">_xlfn.SWITCH(Raw_Data!D189,"Yes","International Customer","No","Domestic Plan","Unknown")</f>
        <v>Domestic Plan</v>
      </c>
      <c r="J189" s="1" t="str">
        <f>IF(ISERROR(Raw_Data!G189/0),"Error","Valid")</f>
        <v>Error</v>
      </c>
      <c r="K189" s="1" t="str">
        <f>IF(ISBLANK(Raw_Data!A189),"Missing","Available")</f>
        <v>Available</v>
      </c>
      <c r="L189" s="5" t="str">
        <f>IF(ISNUMBER(Raw_Data!G189),"Numeric","Not Numeric")</f>
        <v>Numeric</v>
      </c>
    </row>
    <row r="190" spans="1:12" x14ac:dyDescent="0.25">
      <c r="A190" s="4" t="str">
        <f>Raw_Data!A190</f>
        <v>VT</v>
      </c>
      <c r="B190" s="1" t="b">
        <f>Raw_Data!T190</f>
        <v>0</v>
      </c>
      <c r="C190" s="1" t="str">
        <f t="shared" si="2"/>
        <v>Retained</v>
      </c>
      <c r="D190" s="1" t="str">
        <f>IF(Raw_Data!S190=0,"Low Contact",IF(Raw_Data!S190&lt;=2,"Normal Contact","High Contact"))</f>
        <v>Low Contact</v>
      </c>
      <c r="E190" s="1" t="str">
        <f>IF(AND(Raw_Data!G190&gt;200,Raw_Data!H190&gt;100),"High Usage","Normal Usage")</f>
        <v>Normal Usage</v>
      </c>
      <c r="F190" s="1" t="str" cm="1">
        <f t="array" ref="F190">_xlfn.IFS(B190=TRUE,"High Risk",AND(Raw_Data!S190&gt;=3,Raw_Data!G190&gt;200),"High Risk",Raw_Data!S190&gt;=2,"Medium Risk",TRUE,"Low Risk")</f>
        <v>Low Risk</v>
      </c>
      <c r="G190" s="1" t="str">
        <f>IF(OR(Raw_Data!D190="Yes",Raw_Data!E190="Yes"),"Has Plan","No Special Plan")</f>
        <v>No Special Plan</v>
      </c>
      <c r="H190" s="1" t="str">
        <f>IF(NOT(Raw_Data!S190&gt;=3),"Normal Service Contact","Frequent Service Contact")</f>
        <v>Normal Service Contact</v>
      </c>
      <c r="I190" s="1" t="str" cm="1">
        <f t="array" ref="I190">_xlfn.SWITCH(Raw_Data!D190,"Yes","International Customer","No","Domestic Plan","Unknown")</f>
        <v>Domestic Plan</v>
      </c>
      <c r="J190" s="1" t="str">
        <f>IF(ISERROR(Raw_Data!G190/0),"Error","Valid")</f>
        <v>Error</v>
      </c>
      <c r="K190" s="1" t="str">
        <f>IF(ISBLANK(Raw_Data!A190),"Missing","Available")</f>
        <v>Available</v>
      </c>
      <c r="L190" s="5" t="str">
        <f>IF(ISNUMBER(Raw_Data!G190),"Numeric","Not Numeric")</f>
        <v>Numeric</v>
      </c>
    </row>
    <row r="191" spans="1:12" x14ac:dyDescent="0.25">
      <c r="A191" s="4" t="str">
        <f>Raw_Data!A191</f>
        <v>MS</v>
      </c>
      <c r="B191" s="1" t="b">
        <f>Raw_Data!T191</f>
        <v>0</v>
      </c>
      <c r="C191" s="1" t="str">
        <f t="shared" si="2"/>
        <v>Retained</v>
      </c>
      <c r="D191" s="1" t="str">
        <f>IF(Raw_Data!S191=0,"Low Contact",IF(Raw_Data!S191&lt;=2,"Normal Contact","High Contact"))</f>
        <v>Normal Contact</v>
      </c>
      <c r="E191" s="1" t="str">
        <f>IF(AND(Raw_Data!G191&gt;200,Raw_Data!H191&gt;100),"High Usage","Normal Usage")</f>
        <v>Normal Usage</v>
      </c>
      <c r="F191" s="1" t="str" cm="1">
        <f t="array" ref="F191">_xlfn.IFS(B191=TRUE,"High Risk",AND(Raw_Data!S191&gt;=3,Raw_Data!G191&gt;200),"High Risk",Raw_Data!S191&gt;=2,"Medium Risk",TRUE,"Low Risk")</f>
        <v>Low Risk</v>
      </c>
      <c r="G191" s="1" t="str">
        <f>IF(OR(Raw_Data!D191="Yes",Raw_Data!E191="Yes"),"Has Plan","No Special Plan")</f>
        <v>No Special Plan</v>
      </c>
      <c r="H191" s="1" t="str">
        <f>IF(NOT(Raw_Data!S191&gt;=3),"Normal Service Contact","Frequent Service Contact")</f>
        <v>Normal Service Contact</v>
      </c>
      <c r="I191" s="1" t="str" cm="1">
        <f t="array" ref="I191">_xlfn.SWITCH(Raw_Data!D191,"Yes","International Customer","No","Domestic Plan","Unknown")</f>
        <v>Domestic Plan</v>
      </c>
      <c r="J191" s="1" t="str">
        <f>IF(ISERROR(Raw_Data!G191/0),"Error","Valid")</f>
        <v>Error</v>
      </c>
      <c r="K191" s="1" t="str">
        <f>IF(ISBLANK(Raw_Data!A191),"Missing","Available")</f>
        <v>Available</v>
      </c>
      <c r="L191" s="5" t="str">
        <f>IF(ISNUMBER(Raw_Data!G191),"Numeric","Not Numeric")</f>
        <v>Numeric</v>
      </c>
    </row>
    <row r="192" spans="1:12" x14ac:dyDescent="0.25">
      <c r="A192" s="4" t="str">
        <f>Raw_Data!A192</f>
        <v>KY</v>
      </c>
      <c r="B192" s="1" t="b">
        <f>Raw_Data!T192</f>
        <v>0</v>
      </c>
      <c r="C192" s="1" t="str">
        <f t="shared" si="2"/>
        <v>Retained</v>
      </c>
      <c r="D192" s="1" t="str">
        <f>IF(Raw_Data!S192=0,"Low Contact",IF(Raw_Data!S192&lt;=2,"Normal Contact","High Contact"))</f>
        <v>Normal Contact</v>
      </c>
      <c r="E192" s="1" t="str">
        <f>IF(AND(Raw_Data!G192&gt;200,Raw_Data!H192&gt;100),"High Usage","Normal Usage")</f>
        <v>Normal Usage</v>
      </c>
      <c r="F192" s="1" t="str" cm="1">
        <f t="array" ref="F192">_xlfn.IFS(B192=TRUE,"High Risk",AND(Raw_Data!S192&gt;=3,Raw_Data!G192&gt;200),"High Risk",Raw_Data!S192&gt;=2,"Medium Risk",TRUE,"Low Risk")</f>
        <v>Low Risk</v>
      </c>
      <c r="G192" s="1" t="str">
        <f>IF(OR(Raw_Data!D192="Yes",Raw_Data!E192="Yes"),"Has Plan","No Special Plan")</f>
        <v>No Special Plan</v>
      </c>
      <c r="H192" s="1" t="str">
        <f>IF(NOT(Raw_Data!S192&gt;=3),"Normal Service Contact","Frequent Service Contact")</f>
        <v>Normal Service Contact</v>
      </c>
      <c r="I192" s="1" t="str" cm="1">
        <f t="array" ref="I192">_xlfn.SWITCH(Raw_Data!D192,"Yes","International Customer","No","Domestic Plan","Unknown")</f>
        <v>Domestic Plan</v>
      </c>
      <c r="J192" s="1" t="str">
        <f>IF(ISERROR(Raw_Data!G192/0),"Error","Valid")</f>
        <v>Error</v>
      </c>
      <c r="K192" s="1" t="str">
        <f>IF(ISBLANK(Raw_Data!A192),"Missing","Available")</f>
        <v>Available</v>
      </c>
      <c r="L192" s="5" t="str">
        <f>IF(ISNUMBER(Raw_Data!G192),"Numeric","Not Numeric")</f>
        <v>Numeric</v>
      </c>
    </row>
    <row r="193" spans="1:12" x14ac:dyDescent="0.25">
      <c r="A193" s="4" t="str">
        <f>Raw_Data!A193</f>
        <v>WV</v>
      </c>
      <c r="B193" s="1" t="b">
        <f>Raw_Data!T193</f>
        <v>0</v>
      </c>
      <c r="C193" s="1" t="str">
        <f t="shared" si="2"/>
        <v>Retained</v>
      </c>
      <c r="D193" s="1" t="str">
        <f>IF(Raw_Data!S193=0,"Low Contact",IF(Raw_Data!S193&lt;=2,"Normal Contact","High Contact"))</f>
        <v>Normal Contact</v>
      </c>
      <c r="E193" s="1" t="str">
        <f>IF(AND(Raw_Data!G193&gt;200,Raw_Data!H193&gt;100),"High Usage","Normal Usage")</f>
        <v>Normal Usage</v>
      </c>
      <c r="F193" s="1" t="str" cm="1">
        <f t="array" ref="F193">_xlfn.IFS(B193=TRUE,"High Risk",AND(Raw_Data!S193&gt;=3,Raw_Data!G193&gt;200),"High Risk",Raw_Data!S193&gt;=2,"Medium Risk",TRUE,"Low Risk")</f>
        <v>Low Risk</v>
      </c>
      <c r="G193" s="1" t="str">
        <f>IF(OR(Raw_Data!D193="Yes",Raw_Data!E193="Yes"),"Has Plan","No Special Plan")</f>
        <v>No Special Plan</v>
      </c>
      <c r="H193" s="1" t="str">
        <f>IF(NOT(Raw_Data!S193&gt;=3),"Normal Service Contact","Frequent Service Contact")</f>
        <v>Normal Service Contact</v>
      </c>
      <c r="I193" s="1" t="str" cm="1">
        <f t="array" ref="I193">_xlfn.SWITCH(Raw_Data!D193,"Yes","International Customer","No","Domestic Plan","Unknown")</f>
        <v>Domestic Plan</v>
      </c>
      <c r="J193" s="1" t="str">
        <f>IF(ISERROR(Raw_Data!G193/0),"Error","Valid")</f>
        <v>Error</v>
      </c>
      <c r="K193" s="1" t="str">
        <f>IF(ISBLANK(Raw_Data!A193),"Missing","Available")</f>
        <v>Available</v>
      </c>
      <c r="L193" s="5" t="str">
        <f>IF(ISNUMBER(Raw_Data!G193),"Numeric","Not Numeric")</f>
        <v>Numeric</v>
      </c>
    </row>
    <row r="194" spans="1:12" x14ac:dyDescent="0.25">
      <c r="A194" s="4" t="str">
        <f>Raw_Data!A194</f>
        <v>DC</v>
      </c>
      <c r="B194" s="1" t="b">
        <f>Raw_Data!T194</f>
        <v>0</v>
      </c>
      <c r="C194" s="1" t="str">
        <f t="shared" si="2"/>
        <v>Retained</v>
      </c>
      <c r="D194" s="1" t="str">
        <f>IF(Raw_Data!S194=0,"Low Contact",IF(Raw_Data!S194&lt;=2,"Normal Contact","High Contact"))</f>
        <v>Normal Contact</v>
      </c>
      <c r="E194" s="1" t="str">
        <f>IF(AND(Raw_Data!G194&gt;200,Raw_Data!H194&gt;100),"High Usage","Normal Usage")</f>
        <v>High Usage</v>
      </c>
      <c r="F194" s="1" t="str" cm="1">
        <f t="array" ref="F194">_xlfn.IFS(B194=TRUE,"High Risk",AND(Raw_Data!S194&gt;=3,Raw_Data!G194&gt;200),"High Risk",Raw_Data!S194&gt;=2,"Medium Risk",TRUE,"Low Risk")</f>
        <v>Medium Risk</v>
      </c>
      <c r="G194" s="1" t="str">
        <f>IF(OR(Raw_Data!D194="Yes",Raw_Data!E194="Yes"),"Has Plan","No Special Plan")</f>
        <v>No Special Plan</v>
      </c>
      <c r="H194" s="1" t="str">
        <f>IF(NOT(Raw_Data!S194&gt;=3),"Normal Service Contact","Frequent Service Contact")</f>
        <v>Normal Service Contact</v>
      </c>
      <c r="I194" s="1" t="str" cm="1">
        <f t="array" ref="I194">_xlfn.SWITCH(Raw_Data!D194,"Yes","International Customer","No","Domestic Plan","Unknown")</f>
        <v>Domestic Plan</v>
      </c>
      <c r="J194" s="1" t="str">
        <f>IF(ISERROR(Raw_Data!G194/0),"Error","Valid")</f>
        <v>Error</v>
      </c>
      <c r="K194" s="1" t="str">
        <f>IF(ISBLANK(Raw_Data!A194),"Missing","Available")</f>
        <v>Available</v>
      </c>
      <c r="L194" s="5" t="str">
        <f>IF(ISNUMBER(Raw_Data!G194),"Numeric","Not Numeric")</f>
        <v>Numeric</v>
      </c>
    </row>
    <row r="195" spans="1:12" x14ac:dyDescent="0.25">
      <c r="A195" s="4" t="str">
        <f>Raw_Data!A195</f>
        <v>IA</v>
      </c>
      <c r="B195" s="1" t="b">
        <f>Raw_Data!T195</f>
        <v>0</v>
      </c>
      <c r="C195" s="1" t="str">
        <f t="shared" ref="C195:C258" si="3">IF(B195=TRUE,"Churned","Retained")</f>
        <v>Retained</v>
      </c>
      <c r="D195" s="1" t="str">
        <f>IF(Raw_Data!S195=0,"Low Contact",IF(Raw_Data!S195&lt;=2,"Normal Contact","High Contact"))</f>
        <v>Normal Contact</v>
      </c>
      <c r="E195" s="1" t="str">
        <f>IF(AND(Raw_Data!G195&gt;200,Raw_Data!H195&gt;100),"High Usage","Normal Usage")</f>
        <v>Normal Usage</v>
      </c>
      <c r="F195" s="1" t="str" cm="1">
        <f t="array" ref="F195">_xlfn.IFS(B195=TRUE,"High Risk",AND(Raw_Data!S195&gt;=3,Raw_Data!G195&gt;200),"High Risk",Raw_Data!S195&gt;=2,"Medium Risk",TRUE,"Low Risk")</f>
        <v>Medium Risk</v>
      </c>
      <c r="G195" s="1" t="str">
        <f>IF(OR(Raw_Data!D195="Yes",Raw_Data!E195="Yes"),"Has Plan","No Special Plan")</f>
        <v>No Special Plan</v>
      </c>
      <c r="H195" s="1" t="str">
        <f>IF(NOT(Raw_Data!S195&gt;=3),"Normal Service Contact","Frequent Service Contact")</f>
        <v>Normal Service Contact</v>
      </c>
      <c r="I195" s="1" t="str" cm="1">
        <f t="array" ref="I195">_xlfn.SWITCH(Raw_Data!D195,"Yes","International Customer","No","Domestic Plan","Unknown")</f>
        <v>Domestic Plan</v>
      </c>
      <c r="J195" s="1" t="str">
        <f>IF(ISERROR(Raw_Data!G195/0),"Error","Valid")</f>
        <v>Error</v>
      </c>
      <c r="K195" s="1" t="str">
        <f>IF(ISBLANK(Raw_Data!A195),"Missing","Available")</f>
        <v>Available</v>
      </c>
      <c r="L195" s="5" t="str">
        <f>IF(ISNUMBER(Raw_Data!G195),"Numeric","Not Numeric")</f>
        <v>Numeric</v>
      </c>
    </row>
    <row r="196" spans="1:12" x14ac:dyDescent="0.25">
      <c r="A196" s="4" t="str">
        <f>Raw_Data!A196</f>
        <v>MN</v>
      </c>
      <c r="B196" s="1" t="b">
        <f>Raw_Data!T196</f>
        <v>0</v>
      </c>
      <c r="C196" s="1" t="str">
        <f t="shared" si="3"/>
        <v>Retained</v>
      </c>
      <c r="D196" s="1" t="str">
        <f>IF(Raw_Data!S196=0,"Low Contact",IF(Raw_Data!S196&lt;=2,"Normal Contact","High Contact"))</f>
        <v>Normal Contact</v>
      </c>
      <c r="E196" s="1" t="str">
        <f>IF(AND(Raw_Data!G196&gt;200,Raw_Data!H196&gt;100),"High Usage","Normal Usage")</f>
        <v>Normal Usage</v>
      </c>
      <c r="F196" s="1" t="str" cm="1">
        <f t="array" ref="F196">_xlfn.IFS(B196=TRUE,"High Risk",AND(Raw_Data!S196&gt;=3,Raw_Data!G196&gt;200),"High Risk",Raw_Data!S196&gt;=2,"Medium Risk",TRUE,"Low Risk")</f>
        <v>Low Risk</v>
      </c>
      <c r="G196" s="1" t="str">
        <f>IF(OR(Raw_Data!D196="Yes",Raw_Data!E196="Yes"),"Has Plan","No Special Plan")</f>
        <v>Has Plan</v>
      </c>
      <c r="H196" s="1" t="str">
        <f>IF(NOT(Raw_Data!S196&gt;=3),"Normal Service Contact","Frequent Service Contact")</f>
        <v>Normal Service Contact</v>
      </c>
      <c r="I196" s="1" t="str" cm="1">
        <f t="array" ref="I196">_xlfn.SWITCH(Raw_Data!D196,"Yes","International Customer","No","Domestic Plan","Unknown")</f>
        <v>Domestic Plan</v>
      </c>
      <c r="J196" s="1" t="str">
        <f>IF(ISERROR(Raw_Data!G196/0),"Error","Valid")</f>
        <v>Error</v>
      </c>
      <c r="K196" s="1" t="str">
        <f>IF(ISBLANK(Raw_Data!A196),"Missing","Available")</f>
        <v>Available</v>
      </c>
      <c r="L196" s="5" t="str">
        <f>IF(ISNUMBER(Raw_Data!G196),"Numeric","Not Numeric")</f>
        <v>Numeric</v>
      </c>
    </row>
    <row r="197" spans="1:12" x14ac:dyDescent="0.25">
      <c r="A197" s="4" t="str">
        <f>Raw_Data!A197</f>
        <v>VT</v>
      </c>
      <c r="B197" s="1" t="b">
        <f>Raw_Data!T197</f>
        <v>0</v>
      </c>
      <c r="C197" s="1" t="str">
        <f t="shared" si="3"/>
        <v>Retained</v>
      </c>
      <c r="D197" s="1" t="str">
        <f>IF(Raw_Data!S197=0,"Low Contact",IF(Raw_Data!S197&lt;=2,"Normal Contact","High Contact"))</f>
        <v>High Contact</v>
      </c>
      <c r="E197" s="1" t="str">
        <f>IF(AND(Raw_Data!G197&gt;200,Raw_Data!H197&gt;100),"High Usage","Normal Usage")</f>
        <v>Normal Usage</v>
      </c>
      <c r="F197" s="1" t="str" cm="1">
        <f t="array" ref="F197">_xlfn.IFS(B197=TRUE,"High Risk",AND(Raw_Data!S197&gt;=3,Raw_Data!G197&gt;200),"High Risk",Raw_Data!S197&gt;=2,"Medium Risk",TRUE,"Low Risk")</f>
        <v>Medium Risk</v>
      </c>
      <c r="G197" s="1" t="str">
        <f>IF(OR(Raw_Data!D197="Yes",Raw_Data!E197="Yes"),"Has Plan","No Special Plan")</f>
        <v>No Special Plan</v>
      </c>
      <c r="H197" s="1" t="str">
        <f>IF(NOT(Raw_Data!S197&gt;=3),"Normal Service Contact","Frequent Service Contact")</f>
        <v>Frequent Service Contact</v>
      </c>
      <c r="I197" s="1" t="str" cm="1">
        <f t="array" ref="I197">_xlfn.SWITCH(Raw_Data!D197,"Yes","International Customer","No","Domestic Plan","Unknown")</f>
        <v>Domestic Plan</v>
      </c>
      <c r="J197" s="1" t="str">
        <f>IF(ISERROR(Raw_Data!G197/0),"Error","Valid")</f>
        <v>Error</v>
      </c>
      <c r="K197" s="1" t="str">
        <f>IF(ISBLANK(Raw_Data!A197),"Missing","Available")</f>
        <v>Available</v>
      </c>
      <c r="L197" s="5" t="str">
        <f>IF(ISNUMBER(Raw_Data!G197),"Numeric","Not Numeric")</f>
        <v>Numeric</v>
      </c>
    </row>
    <row r="198" spans="1:12" x14ac:dyDescent="0.25">
      <c r="A198" s="4" t="str">
        <f>Raw_Data!A198</f>
        <v>AK</v>
      </c>
      <c r="B198" s="1" t="b">
        <f>Raw_Data!T198</f>
        <v>0</v>
      </c>
      <c r="C198" s="1" t="str">
        <f t="shared" si="3"/>
        <v>Retained</v>
      </c>
      <c r="D198" s="1" t="str">
        <f>IF(Raw_Data!S198=0,"Low Contact",IF(Raw_Data!S198&lt;=2,"Normal Contact","High Contact"))</f>
        <v>Normal Contact</v>
      </c>
      <c r="E198" s="1" t="str">
        <f>IF(AND(Raw_Data!G198&gt;200,Raw_Data!H198&gt;100),"High Usage","Normal Usage")</f>
        <v>Normal Usage</v>
      </c>
      <c r="F198" s="1" t="str" cm="1">
        <f t="array" ref="F198">_xlfn.IFS(B198=TRUE,"High Risk",AND(Raw_Data!S198&gt;=3,Raw_Data!G198&gt;200),"High Risk",Raw_Data!S198&gt;=2,"Medium Risk",TRUE,"Low Risk")</f>
        <v>Medium Risk</v>
      </c>
      <c r="G198" s="1" t="str">
        <f>IF(OR(Raw_Data!D198="Yes",Raw_Data!E198="Yes"),"Has Plan","No Special Plan")</f>
        <v>Has Plan</v>
      </c>
      <c r="H198" s="1" t="str">
        <f>IF(NOT(Raw_Data!S198&gt;=3),"Normal Service Contact","Frequent Service Contact")</f>
        <v>Normal Service Contact</v>
      </c>
      <c r="I198" s="1" t="str" cm="1">
        <f t="array" ref="I198">_xlfn.SWITCH(Raw_Data!D198,"Yes","International Customer","No","Domestic Plan","Unknown")</f>
        <v>Domestic Plan</v>
      </c>
      <c r="J198" s="1" t="str">
        <f>IF(ISERROR(Raw_Data!G198/0),"Error","Valid")</f>
        <v>Error</v>
      </c>
      <c r="K198" s="1" t="str">
        <f>IF(ISBLANK(Raw_Data!A198),"Missing","Available")</f>
        <v>Available</v>
      </c>
      <c r="L198" s="5" t="str">
        <f>IF(ISNUMBER(Raw_Data!G198),"Numeric","Not Numeric")</f>
        <v>Numeric</v>
      </c>
    </row>
    <row r="199" spans="1:12" x14ac:dyDescent="0.25">
      <c r="A199" s="4" t="str">
        <f>Raw_Data!A199</f>
        <v>CA</v>
      </c>
      <c r="B199" s="1" t="b">
        <f>Raw_Data!T199</f>
        <v>0</v>
      </c>
      <c r="C199" s="1" t="str">
        <f t="shared" si="3"/>
        <v>Retained</v>
      </c>
      <c r="D199" s="1" t="str">
        <f>IF(Raw_Data!S199=0,"Low Contact",IF(Raw_Data!S199&lt;=2,"Normal Contact","High Contact"))</f>
        <v>Normal Contact</v>
      </c>
      <c r="E199" s="1" t="str">
        <f>IF(AND(Raw_Data!G199&gt;200,Raw_Data!H199&gt;100),"High Usage","Normal Usage")</f>
        <v>Normal Usage</v>
      </c>
      <c r="F199" s="1" t="str" cm="1">
        <f t="array" ref="F199">_xlfn.IFS(B199=TRUE,"High Risk",AND(Raw_Data!S199&gt;=3,Raw_Data!G199&gt;200),"High Risk",Raw_Data!S199&gt;=2,"Medium Risk",TRUE,"Low Risk")</f>
        <v>Medium Risk</v>
      </c>
      <c r="G199" s="1" t="str">
        <f>IF(OR(Raw_Data!D199="Yes",Raw_Data!E199="Yes"),"Has Plan","No Special Plan")</f>
        <v>No Special Plan</v>
      </c>
      <c r="H199" s="1" t="str">
        <f>IF(NOT(Raw_Data!S199&gt;=3),"Normal Service Contact","Frequent Service Contact")</f>
        <v>Normal Service Contact</v>
      </c>
      <c r="I199" s="1" t="str" cm="1">
        <f t="array" ref="I199">_xlfn.SWITCH(Raw_Data!D199,"Yes","International Customer","No","Domestic Plan","Unknown")</f>
        <v>Domestic Plan</v>
      </c>
      <c r="J199" s="1" t="str">
        <f>IF(ISERROR(Raw_Data!G199/0),"Error","Valid")</f>
        <v>Error</v>
      </c>
      <c r="K199" s="1" t="str">
        <f>IF(ISBLANK(Raw_Data!A199),"Missing","Available")</f>
        <v>Available</v>
      </c>
      <c r="L199" s="5" t="str">
        <f>IF(ISNUMBER(Raw_Data!G199),"Numeric","Not Numeric")</f>
        <v>Numeric</v>
      </c>
    </row>
    <row r="200" spans="1:12" x14ac:dyDescent="0.25">
      <c r="A200" s="4" t="str">
        <f>Raw_Data!A200</f>
        <v>MS</v>
      </c>
      <c r="B200" s="1" t="b">
        <f>Raw_Data!T200</f>
        <v>0</v>
      </c>
      <c r="C200" s="1" t="str">
        <f t="shared" si="3"/>
        <v>Retained</v>
      </c>
      <c r="D200" s="1" t="str">
        <f>IF(Raw_Data!S200=0,"Low Contact",IF(Raw_Data!S200&lt;=2,"Normal Contact","High Contact"))</f>
        <v>Low Contact</v>
      </c>
      <c r="E200" s="1" t="str">
        <f>IF(AND(Raw_Data!G200&gt;200,Raw_Data!H200&gt;100),"High Usage","Normal Usage")</f>
        <v>Normal Usage</v>
      </c>
      <c r="F200" s="1" t="str" cm="1">
        <f t="array" ref="F200">_xlfn.IFS(B200=TRUE,"High Risk",AND(Raw_Data!S200&gt;=3,Raw_Data!G200&gt;200),"High Risk",Raw_Data!S200&gt;=2,"Medium Risk",TRUE,"Low Risk")</f>
        <v>Low Risk</v>
      </c>
      <c r="G200" s="1" t="str">
        <f>IF(OR(Raw_Data!D200="Yes",Raw_Data!E200="Yes"),"Has Plan","No Special Plan")</f>
        <v>Has Plan</v>
      </c>
      <c r="H200" s="1" t="str">
        <f>IF(NOT(Raw_Data!S200&gt;=3),"Normal Service Contact","Frequent Service Contact")</f>
        <v>Normal Service Contact</v>
      </c>
      <c r="I200" s="1" t="str" cm="1">
        <f t="array" ref="I200">_xlfn.SWITCH(Raw_Data!D200,"Yes","International Customer","No","Domestic Plan","Unknown")</f>
        <v>Domestic Plan</v>
      </c>
      <c r="J200" s="1" t="str">
        <f>IF(ISERROR(Raw_Data!G200/0),"Error","Valid")</f>
        <v>Error</v>
      </c>
      <c r="K200" s="1" t="str">
        <f>IF(ISBLANK(Raw_Data!A200),"Missing","Available")</f>
        <v>Available</v>
      </c>
      <c r="L200" s="5" t="str">
        <f>IF(ISNUMBER(Raw_Data!G200),"Numeric","Not Numeric")</f>
        <v>Numeric</v>
      </c>
    </row>
    <row r="201" spans="1:12" x14ac:dyDescent="0.25">
      <c r="A201" s="4" t="str">
        <f>Raw_Data!A201</f>
        <v>AR</v>
      </c>
      <c r="B201" s="1" t="b">
        <f>Raw_Data!T201</f>
        <v>0</v>
      </c>
      <c r="C201" s="1" t="str">
        <f t="shared" si="3"/>
        <v>Retained</v>
      </c>
      <c r="D201" s="1" t="str">
        <f>IF(Raw_Data!S201=0,"Low Contact",IF(Raw_Data!S201&lt;=2,"Normal Contact","High Contact"))</f>
        <v>Normal Contact</v>
      </c>
      <c r="E201" s="1" t="str">
        <f>IF(AND(Raw_Data!G201&gt;200,Raw_Data!H201&gt;100),"High Usage","Normal Usage")</f>
        <v>Normal Usage</v>
      </c>
      <c r="F201" s="1" t="str" cm="1">
        <f t="array" ref="F201">_xlfn.IFS(B201=TRUE,"High Risk",AND(Raw_Data!S201&gt;=3,Raw_Data!G201&gt;200),"High Risk",Raw_Data!S201&gt;=2,"Medium Risk",TRUE,"Low Risk")</f>
        <v>Medium Risk</v>
      </c>
      <c r="G201" s="1" t="str">
        <f>IF(OR(Raw_Data!D201="Yes",Raw_Data!E201="Yes"),"Has Plan","No Special Plan")</f>
        <v>Has Plan</v>
      </c>
      <c r="H201" s="1" t="str">
        <f>IF(NOT(Raw_Data!S201&gt;=3),"Normal Service Contact","Frequent Service Contact")</f>
        <v>Normal Service Contact</v>
      </c>
      <c r="I201" s="1" t="str" cm="1">
        <f t="array" ref="I201">_xlfn.SWITCH(Raw_Data!D201,"Yes","International Customer","No","Domestic Plan","Unknown")</f>
        <v>Domestic Plan</v>
      </c>
      <c r="J201" s="1" t="str">
        <f>IF(ISERROR(Raw_Data!G201/0),"Error","Valid")</f>
        <v>Error</v>
      </c>
      <c r="K201" s="1" t="str">
        <f>IF(ISBLANK(Raw_Data!A201),"Missing","Available")</f>
        <v>Available</v>
      </c>
      <c r="L201" s="5" t="str">
        <f>IF(ISNUMBER(Raw_Data!G201),"Numeric","Not Numeric")</f>
        <v>Numeric</v>
      </c>
    </row>
    <row r="202" spans="1:12" x14ac:dyDescent="0.25">
      <c r="A202" s="4" t="str">
        <f>Raw_Data!A202</f>
        <v>NJ</v>
      </c>
      <c r="B202" s="1" t="b">
        <f>Raw_Data!T202</f>
        <v>0</v>
      </c>
      <c r="C202" s="1" t="str">
        <f t="shared" si="3"/>
        <v>Retained</v>
      </c>
      <c r="D202" s="1" t="str">
        <f>IF(Raw_Data!S202=0,"Low Contact",IF(Raw_Data!S202&lt;=2,"Normal Contact","High Contact"))</f>
        <v>High Contact</v>
      </c>
      <c r="E202" s="1" t="str">
        <f>IF(AND(Raw_Data!G202&gt;200,Raw_Data!H202&gt;100),"High Usage","Normal Usage")</f>
        <v>Normal Usage</v>
      </c>
      <c r="F202" s="1" t="str" cm="1">
        <f t="array" ref="F202">_xlfn.IFS(B202=TRUE,"High Risk",AND(Raw_Data!S202&gt;=3,Raw_Data!G202&gt;200),"High Risk",Raw_Data!S202&gt;=2,"Medium Risk",TRUE,"Low Risk")</f>
        <v>High Risk</v>
      </c>
      <c r="G202" s="1" t="str">
        <f>IF(OR(Raw_Data!D202="Yes",Raw_Data!E202="Yes"),"Has Plan","No Special Plan")</f>
        <v>No Special Plan</v>
      </c>
      <c r="H202" s="1" t="str">
        <f>IF(NOT(Raw_Data!S202&gt;=3),"Normal Service Contact","Frequent Service Contact")</f>
        <v>Frequent Service Contact</v>
      </c>
      <c r="I202" s="1" t="str" cm="1">
        <f t="array" ref="I202">_xlfn.SWITCH(Raw_Data!D202,"Yes","International Customer","No","Domestic Plan","Unknown")</f>
        <v>Domestic Plan</v>
      </c>
      <c r="J202" s="1" t="str">
        <f>IF(ISERROR(Raw_Data!G202/0),"Error","Valid")</f>
        <v>Error</v>
      </c>
      <c r="K202" s="1" t="str">
        <f>IF(ISBLANK(Raw_Data!A202),"Missing","Available")</f>
        <v>Available</v>
      </c>
      <c r="L202" s="5" t="str">
        <f>IF(ISNUMBER(Raw_Data!G202),"Numeric","Not Numeric")</f>
        <v>Numeric</v>
      </c>
    </row>
    <row r="203" spans="1:12" x14ac:dyDescent="0.25">
      <c r="A203" s="4" t="str">
        <f>Raw_Data!A203</f>
        <v>NJ</v>
      </c>
      <c r="B203" s="1" t="b">
        <f>Raw_Data!T203</f>
        <v>1</v>
      </c>
      <c r="C203" s="1" t="str">
        <f t="shared" si="3"/>
        <v>Churned</v>
      </c>
      <c r="D203" s="1" t="str">
        <f>IF(Raw_Data!S203=0,"Low Contact",IF(Raw_Data!S203&lt;=2,"Normal Contact","High Contact"))</f>
        <v>Normal Contact</v>
      </c>
      <c r="E203" s="1" t="str">
        <f>IF(AND(Raw_Data!G203&gt;200,Raw_Data!H203&gt;100),"High Usage","Normal Usage")</f>
        <v>Normal Usage</v>
      </c>
      <c r="F203" s="1" t="str" cm="1">
        <f t="array" ref="F203">_xlfn.IFS(B203=TRUE,"High Risk",AND(Raw_Data!S203&gt;=3,Raw_Data!G203&gt;200),"High Risk",Raw_Data!S203&gt;=2,"Medium Risk",TRUE,"Low Risk")</f>
        <v>High Risk</v>
      </c>
      <c r="G203" s="1" t="str">
        <f>IF(OR(Raw_Data!D203="Yes",Raw_Data!E203="Yes"),"Has Plan","No Special Plan")</f>
        <v>Has Plan</v>
      </c>
      <c r="H203" s="1" t="str">
        <f>IF(NOT(Raw_Data!S203&gt;=3),"Normal Service Contact","Frequent Service Contact")</f>
        <v>Normal Service Contact</v>
      </c>
      <c r="I203" s="1" t="str" cm="1">
        <f t="array" ref="I203">_xlfn.SWITCH(Raw_Data!D203,"Yes","International Customer","No","Domestic Plan","Unknown")</f>
        <v>Domestic Plan</v>
      </c>
      <c r="J203" s="1" t="str">
        <f>IF(ISERROR(Raw_Data!G203/0),"Error","Valid")</f>
        <v>Error</v>
      </c>
      <c r="K203" s="1" t="str">
        <f>IF(ISBLANK(Raw_Data!A203),"Missing","Available")</f>
        <v>Available</v>
      </c>
      <c r="L203" s="5" t="str">
        <f>IF(ISNUMBER(Raw_Data!G203),"Numeric","Not Numeric")</f>
        <v>Numeric</v>
      </c>
    </row>
    <row r="204" spans="1:12" x14ac:dyDescent="0.25">
      <c r="A204" s="4" t="str">
        <f>Raw_Data!A204</f>
        <v>TN</v>
      </c>
      <c r="B204" s="1" t="b">
        <f>Raw_Data!T204</f>
        <v>0</v>
      </c>
      <c r="C204" s="1" t="str">
        <f t="shared" si="3"/>
        <v>Retained</v>
      </c>
      <c r="D204" s="1" t="str">
        <f>IF(Raw_Data!S204=0,"Low Contact",IF(Raw_Data!S204&lt;=2,"Normal Contact","High Contact"))</f>
        <v>High Contact</v>
      </c>
      <c r="E204" s="1" t="str">
        <f>IF(AND(Raw_Data!G204&gt;200,Raw_Data!H204&gt;100),"High Usage","Normal Usage")</f>
        <v>Normal Usage</v>
      </c>
      <c r="F204" s="1" t="str" cm="1">
        <f t="array" ref="F204">_xlfn.IFS(B204=TRUE,"High Risk",AND(Raw_Data!S204&gt;=3,Raw_Data!G204&gt;200),"High Risk",Raw_Data!S204&gt;=2,"Medium Risk",TRUE,"Low Risk")</f>
        <v>Medium Risk</v>
      </c>
      <c r="G204" s="1" t="str">
        <f>IF(OR(Raw_Data!D204="Yes",Raw_Data!E204="Yes"),"Has Plan","No Special Plan")</f>
        <v>No Special Plan</v>
      </c>
      <c r="H204" s="1" t="str">
        <f>IF(NOT(Raw_Data!S204&gt;=3),"Normal Service Contact","Frequent Service Contact")</f>
        <v>Frequent Service Contact</v>
      </c>
      <c r="I204" s="1" t="str" cm="1">
        <f t="array" ref="I204">_xlfn.SWITCH(Raw_Data!D204,"Yes","International Customer","No","Domestic Plan","Unknown")</f>
        <v>Domestic Plan</v>
      </c>
      <c r="J204" s="1" t="str">
        <f>IF(ISERROR(Raw_Data!G204/0),"Error","Valid")</f>
        <v>Error</v>
      </c>
      <c r="K204" s="1" t="str">
        <f>IF(ISBLANK(Raw_Data!A204),"Missing","Available")</f>
        <v>Available</v>
      </c>
      <c r="L204" s="5" t="str">
        <f>IF(ISNUMBER(Raw_Data!G204),"Numeric","Not Numeric")</f>
        <v>Numeric</v>
      </c>
    </row>
    <row r="205" spans="1:12" x14ac:dyDescent="0.25">
      <c r="A205" s="4" t="str">
        <f>Raw_Data!A205</f>
        <v>DE</v>
      </c>
      <c r="B205" s="1" t="b">
        <f>Raw_Data!T205</f>
        <v>1</v>
      </c>
      <c r="C205" s="1" t="str">
        <f t="shared" si="3"/>
        <v>Churned</v>
      </c>
      <c r="D205" s="1" t="str">
        <f>IF(Raw_Data!S205=0,"Low Contact",IF(Raw_Data!S205&lt;=2,"Normal Contact","High Contact"))</f>
        <v>Low Contact</v>
      </c>
      <c r="E205" s="1" t="str">
        <f>IF(AND(Raw_Data!G205&gt;200,Raw_Data!H205&gt;100),"High Usage","Normal Usage")</f>
        <v>High Usage</v>
      </c>
      <c r="F205" s="1" t="str" cm="1">
        <f t="array" ref="F205">_xlfn.IFS(B205=TRUE,"High Risk",AND(Raw_Data!S205&gt;=3,Raw_Data!G205&gt;200),"High Risk",Raw_Data!S205&gt;=2,"Medium Risk",TRUE,"Low Risk")</f>
        <v>High Risk</v>
      </c>
      <c r="G205" s="1" t="str">
        <f>IF(OR(Raw_Data!D205="Yes",Raw_Data!E205="Yes"),"Has Plan","No Special Plan")</f>
        <v>No Special Plan</v>
      </c>
      <c r="H205" s="1" t="str">
        <f>IF(NOT(Raw_Data!S205&gt;=3),"Normal Service Contact","Frequent Service Contact")</f>
        <v>Normal Service Contact</v>
      </c>
      <c r="I205" s="1" t="str" cm="1">
        <f t="array" ref="I205">_xlfn.SWITCH(Raw_Data!D205,"Yes","International Customer","No","Domestic Plan","Unknown")</f>
        <v>Domestic Plan</v>
      </c>
      <c r="J205" s="1" t="str">
        <f>IF(ISERROR(Raw_Data!G205/0),"Error","Valid")</f>
        <v>Error</v>
      </c>
      <c r="K205" s="1" t="str">
        <f>IF(ISBLANK(Raw_Data!A205),"Missing","Available")</f>
        <v>Available</v>
      </c>
      <c r="L205" s="5" t="str">
        <f>IF(ISNUMBER(Raw_Data!G205),"Numeric","Not Numeric")</f>
        <v>Numeric</v>
      </c>
    </row>
    <row r="206" spans="1:12" x14ac:dyDescent="0.25">
      <c r="A206" s="4" t="str">
        <f>Raw_Data!A206</f>
        <v>TX</v>
      </c>
      <c r="B206" s="1" t="b">
        <f>Raw_Data!T206</f>
        <v>0</v>
      </c>
      <c r="C206" s="1" t="str">
        <f t="shared" si="3"/>
        <v>Retained</v>
      </c>
      <c r="D206" s="1" t="str">
        <f>IF(Raw_Data!S206=0,"Low Contact",IF(Raw_Data!S206&lt;=2,"Normal Contact","High Contact"))</f>
        <v>High Contact</v>
      </c>
      <c r="E206" s="1" t="str">
        <f>IF(AND(Raw_Data!G206&gt;200,Raw_Data!H206&gt;100),"High Usage","Normal Usage")</f>
        <v>Normal Usage</v>
      </c>
      <c r="F206" s="1" t="str" cm="1">
        <f t="array" ref="F206">_xlfn.IFS(B206=TRUE,"High Risk",AND(Raw_Data!S206&gt;=3,Raw_Data!G206&gt;200),"High Risk",Raw_Data!S206&gt;=2,"Medium Risk",TRUE,"Low Risk")</f>
        <v>Medium Risk</v>
      </c>
      <c r="G206" s="1" t="str">
        <f>IF(OR(Raw_Data!D206="Yes",Raw_Data!E206="Yes"),"Has Plan","No Special Plan")</f>
        <v>No Special Plan</v>
      </c>
      <c r="H206" s="1" t="str">
        <f>IF(NOT(Raw_Data!S206&gt;=3),"Normal Service Contact","Frequent Service Contact")</f>
        <v>Frequent Service Contact</v>
      </c>
      <c r="I206" s="1" t="str" cm="1">
        <f t="array" ref="I206">_xlfn.SWITCH(Raw_Data!D206,"Yes","International Customer","No","Domestic Plan","Unknown")</f>
        <v>Domestic Plan</v>
      </c>
      <c r="J206" s="1" t="str">
        <f>IF(ISERROR(Raw_Data!G206/0),"Error","Valid")</f>
        <v>Error</v>
      </c>
      <c r="K206" s="1" t="str">
        <f>IF(ISBLANK(Raw_Data!A206),"Missing","Available")</f>
        <v>Available</v>
      </c>
      <c r="L206" s="5" t="str">
        <f>IF(ISNUMBER(Raw_Data!G206),"Numeric","Not Numeric")</f>
        <v>Numeric</v>
      </c>
    </row>
    <row r="207" spans="1:12" x14ac:dyDescent="0.25">
      <c r="A207" s="4" t="str">
        <f>Raw_Data!A207</f>
        <v>MI</v>
      </c>
      <c r="B207" s="1" t="b">
        <f>Raw_Data!T207</f>
        <v>0</v>
      </c>
      <c r="C207" s="1" t="str">
        <f t="shared" si="3"/>
        <v>Retained</v>
      </c>
      <c r="D207" s="1" t="str">
        <f>IF(Raw_Data!S207=0,"Low Contact",IF(Raw_Data!S207&lt;=2,"Normal Contact","High Contact"))</f>
        <v>Normal Contact</v>
      </c>
      <c r="E207" s="1" t="str">
        <f>IF(AND(Raw_Data!G207&gt;200,Raw_Data!H207&gt;100),"High Usage","Normal Usage")</f>
        <v>Normal Usage</v>
      </c>
      <c r="F207" s="1" t="str" cm="1">
        <f t="array" ref="F207">_xlfn.IFS(B207=TRUE,"High Risk",AND(Raw_Data!S207&gt;=3,Raw_Data!G207&gt;200),"High Risk",Raw_Data!S207&gt;=2,"Medium Risk",TRUE,"Low Risk")</f>
        <v>Medium Risk</v>
      </c>
      <c r="G207" s="1" t="str">
        <f>IF(OR(Raw_Data!D207="Yes",Raw_Data!E207="Yes"),"Has Plan","No Special Plan")</f>
        <v>Has Plan</v>
      </c>
      <c r="H207" s="1" t="str">
        <f>IF(NOT(Raw_Data!S207&gt;=3),"Normal Service Contact","Frequent Service Contact")</f>
        <v>Normal Service Contact</v>
      </c>
      <c r="I207" s="1" t="str" cm="1">
        <f t="array" ref="I207">_xlfn.SWITCH(Raw_Data!D207,"Yes","International Customer","No","Domestic Plan","Unknown")</f>
        <v>Domestic Plan</v>
      </c>
      <c r="J207" s="1" t="str">
        <f>IF(ISERROR(Raw_Data!G207/0),"Error","Valid")</f>
        <v>Error</v>
      </c>
      <c r="K207" s="1" t="str">
        <f>IF(ISBLANK(Raw_Data!A207),"Missing","Available")</f>
        <v>Available</v>
      </c>
      <c r="L207" s="5" t="str">
        <f>IF(ISNUMBER(Raw_Data!G207),"Numeric","Not Numeric")</f>
        <v>Numeric</v>
      </c>
    </row>
    <row r="208" spans="1:12" x14ac:dyDescent="0.25">
      <c r="A208" s="4" t="str">
        <f>Raw_Data!A208</f>
        <v>MS</v>
      </c>
      <c r="B208" s="1" t="b">
        <f>Raw_Data!T208</f>
        <v>0</v>
      </c>
      <c r="C208" s="1" t="str">
        <f t="shared" si="3"/>
        <v>Retained</v>
      </c>
      <c r="D208" s="1" t="str">
        <f>IF(Raw_Data!S208=0,"Low Contact",IF(Raw_Data!S208&lt;=2,"Normal Contact","High Contact"))</f>
        <v>Normal Contact</v>
      </c>
      <c r="E208" s="1" t="str">
        <f>IF(AND(Raw_Data!G208&gt;200,Raw_Data!H208&gt;100),"High Usage","Normal Usage")</f>
        <v>Normal Usage</v>
      </c>
      <c r="F208" s="1" t="str" cm="1">
        <f t="array" ref="F208">_xlfn.IFS(B208=TRUE,"High Risk",AND(Raw_Data!S208&gt;=3,Raw_Data!G208&gt;200),"High Risk",Raw_Data!S208&gt;=2,"Medium Risk",TRUE,"Low Risk")</f>
        <v>Medium Risk</v>
      </c>
      <c r="G208" s="1" t="str">
        <f>IF(OR(Raw_Data!D208="Yes",Raw_Data!E208="Yes"),"Has Plan","No Special Plan")</f>
        <v>No Special Plan</v>
      </c>
      <c r="H208" s="1" t="str">
        <f>IF(NOT(Raw_Data!S208&gt;=3),"Normal Service Contact","Frequent Service Contact")</f>
        <v>Normal Service Contact</v>
      </c>
      <c r="I208" s="1" t="str" cm="1">
        <f t="array" ref="I208">_xlfn.SWITCH(Raw_Data!D208,"Yes","International Customer","No","Domestic Plan","Unknown")</f>
        <v>Domestic Plan</v>
      </c>
      <c r="J208" s="1" t="str">
        <f>IF(ISERROR(Raw_Data!G208/0),"Error","Valid")</f>
        <v>Error</v>
      </c>
      <c r="K208" s="1" t="str">
        <f>IF(ISBLANK(Raw_Data!A208),"Missing","Available")</f>
        <v>Available</v>
      </c>
      <c r="L208" s="5" t="str">
        <f>IF(ISNUMBER(Raw_Data!G208),"Numeric","Not Numeric")</f>
        <v>Numeric</v>
      </c>
    </row>
    <row r="209" spans="1:12" x14ac:dyDescent="0.25">
      <c r="A209" s="4" t="str">
        <f>Raw_Data!A209</f>
        <v>OK</v>
      </c>
      <c r="B209" s="1" t="b">
        <f>Raw_Data!T209</f>
        <v>0</v>
      </c>
      <c r="C209" s="1" t="str">
        <f t="shared" si="3"/>
        <v>Retained</v>
      </c>
      <c r="D209" s="1" t="str">
        <f>IF(Raw_Data!S209=0,"Low Contact",IF(Raw_Data!S209&lt;=2,"Normal Contact","High Contact"))</f>
        <v>Low Contact</v>
      </c>
      <c r="E209" s="1" t="str">
        <f>IF(AND(Raw_Data!G209&gt;200,Raw_Data!H209&gt;100),"High Usage","Normal Usage")</f>
        <v>Normal Usage</v>
      </c>
      <c r="F209" s="1" t="str" cm="1">
        <f t="array" ref="F209">_xlfn.IFS(B209=TRUE,"High Risk",AND(Raw_Data!S209&gt;=3,Raw_Data!G209&gt;200),"High Risk",Raw_Data!S209&gt;=2,"Medium Risk",TRUE,"Low Risk")</f>
        <v>Low Risk</v>
      </c>
      <c r="G209" s="1" t="str">
        <f>IF(OR(Raw_Data!D209="Yes",Raw_Data!E209="Yes"),"Has Plan","No Special Plan")</f>
        <v>Has Plan</v>
      </c>
      <c r="H209" s="1" t="str">
        <f>IF(NOT(Raw_Data!S209&gt;=3),"Normal Service Contact","Frequent Service Contact")</f>
        <v>Normal Service Contact</v>
      </c>
      <c r="I209" s="1" t="str" cm="1">
        <f t="array" ref="I209">_xlfn.SWITCH(Raw_Data!D209,"Yes","International Customer","No","Domestic Plan","Unknown")</f>
        <v>Domestic Plan</v>
      </c>
      <c r="J209" s="1" t="str">
        <f>IF(ISERROR(Raw_Data!G209/0),"Error","Valid")</f>
        <v>Error</v>
      </c>
      <c r="K209" s="1" t="str">
        <f>IF(ISBLANK(Raw_Data!A209),"Missing","Available")</f>
        <v>Available</v>
      </c>
      <c r="L209" s="5" t="str">
        <f>IF(ISNUMBER(Raw_Data!G209),"Numeric","Not Numeric")</f>
        <v>Numeric</v>
      </c>
    </row>
    <row r="210" spans="1:12" x14ac:dyDescent="0.25">
      <c r="A210" s="4" t="str">
        <f>Raw_Data!A210</f>
        <v>ND</v>
      </c>
      <c r="B210" s="1" t="b">
        <f>Raw_Data!T210</f>
        <v>0</v>
      </c>
      <c r="C210" s="1" t="str">
        <f t="shared" si="3"/>
        <v>Retained</v>
      </c>
      <c r="D210" s="1" t="str">
        <f>IF(Raw_Data!S210=0,"Low Contact",IF(Raw_Data!S210&lt;=2,"Normal Contact","High Contact"))</f>
        <v>Normal Contact</v>
      </c>
      <c r="E210" s="1" t="str">
        <f>IF(AND(Raw_Data!G210&gt;200,Raw_Data!H210&gt;100),"High Usage","Normal Usage")</f>
        <v>High Usage</v>
      </c>
      <c r="F210" s="1" t="str" cm="1">
        <f t="array" ref="F210">_xlfn.IFS(B210=TRUE,"High Risk",AND(Raw_Data!S210&gt;=3,Raw_Data!G210&gt;200),"High Risk",Raw_Data!S210&gt;=2,"Medium Risk",TRUE,"Low Risk")</f>
        <v>Medium Risk</v>
      </c>
      <c r="G210" s="1" t="str">
        <f>IF(OR(Raw_Data!D210="Yes",Raw_Data!E210="Yes"),"Has Plan","No Special Plan")</f>
        <v>Has Plan</v>
      </c>
      <c r="H210" s="1" t="str">
        <f>IF(NOT(Raw_Data!S210&gt;=3),"Normal Service Contact","Frequent Service Contact")</f>
        <v>Normal Service Contact</v>
      </c>
      <c r="I210" s="1" t="str" cm="1">
        <f t="array" ref="I210">_xlfn.SWITCH(Raw_Data!D210,"Yes","International Customer","No","Domestic Plan","Unknown")</f>
        <v>International Customer</v>
      </c>
      <c r="J210" s="1" t="str">
        <f>IF(ISERROR(Raw_Data!G210/0),"Error","Valid")</f>
        <v>Error</v>
      </c>
      <c r="K210" s="1" t="str">
        <f>IF(ISBLANK(Raw_Data!A210),"Missing","Available")</f>
        <v>Available</v>
      </c>
      <c r="L210" s="5" t="str">
        <f>IF(ISNUMBER(Raw_Data!G210),"Numeric","Not Numeric")</f>
        <v>Numeric</v>
      </c>
    </row>
    <row r="211" spans="1:12" x14ac:dyDescent="0.25">
      <c r="A211" s="4" t="str">
        <f>Raw_Data!A211</f>
        <v>ND</v>
      </c>
      <c r="B211" s="1" t="b">
        <f>Raw_Data!T211</f>
        <v>0</v>
      </c>
      <c r="C211" s="1" t="str">
        <f t="shared" si="3"/>
        <v>Retained</v>
      </c>
      <c r="D211" s="1" t="str">
        <f>IF(Raw_Data!S211=0,"Low Contact",IF(Raw_Data!S211&lt;=2,"Normal Contact","High Contact"))</f>
        <v>Low Contact</v>
      </c>
      <c r="E211" s="1" t="str">
        <f>IF(AND(Raw_Data!G211&gt;200,Raw_Data!H211&gt;100),"High Usage","Normal Usage")</f>
        <v>Normal Usage</v>
      </c>
      <c r="F211" s="1" t="str" cm="1">
        <f t="array" ref="F211">_xlfn.IFS(B211=TRUE,"High Risk",AND(Raw_Data!S211&gt;=3,Raw_Data!G211&gt;200),"High Risk",Raw_Data!S211&gt;=2,"Medium Risk",TRUE,"Low Risk")</f>
        <v>Low Risk</v>
      </c>
      <c r="G211" s="1" t="str">
        <f>IF(OR(Raw_Data!D211="Yes",Raw_Data!E211="Yes"),"Has Plan","No Special Plan")</f>
        <v>No Special Plan</v>
      </c>
      <c r="H211" s="1" t="str">
        <f>IF(NOT(Raw_Data!S211&gt;=3),"Normal Service Contact","Frequent Service Contact")</f>
        <v>Normal Service Contact</v>
      </c>
      <c r="I211" s="1" t="str" cm="1">
        <f t="array" ref="I211">_xlfn.SWITCH(Raw_Data!D211,"Yes","International Customer","No","Domestic Plan","Unknown")</f>
        <v>Domestic Plan</v>
      </c>
      <c r="J211" s="1" t="str">
        <f>IF(ISERROR(Raw_Data!G211/0),"Error","Valid")</f>
        <v>Error</v>
      </c>
      <c r="K211" s="1" t="str">
        <f>IF(ISBLANK(Raw_Data!A211),"Missing","Available")</f>
        <v>Available</v>
      </c>
      <c r="L211" s="5" t="str">
        <f>IF(ISNUMBER(Raw_Data!G211),"Numeric","Not Numeric")</f>
        <v>Numeric</v>
      </c>
    </row>
    <row r="212" spans="1:12" x14ac:dyDescent="0.25">
      <c r="A212" s="4" t="str">
        <f>Raw_Data!A212</f>
        <v>NY</v>
      </c>
      <c r="B212" s="1" t="b">
        <f>Raw_Data!T212</f>
        <v>0</v>
      </c>
      <c r="C212" s="1" t="str">
        <f t="shared" si="3"/>
        <v>Retained</v>
      </c>
      <c r="D212" s="1" t="str">
        <f>IF(Raw_Data!S212=0,"Low Contact",IF(Raw_Data!S212&lt;=2,"Normal Contact","High Contact"))</f>
        <v>Normal Contact</v>
      </c>
      <c r="E212" s="1" t="str">
        <f>IF(AND(Raw_Data!G212&gt;200,Raw_Data!H212&gt;100),"High Usage","Normal Usage")</f>
        <v>Normal Usage</v>
      </c>
      <c r="F212" s="1" t="str" cm="1">
        <f t="array" ref="F212">_xlfn.IFS(B212=TRUE,"High Risk",AND(Raw_Data!S212&gt;=3,Raw_Data!G212&gt;200),"High Risk",Raw_Data!S212&gt;=2,"Medium Risk",TRUE,"Low Risk")</f>
        <v>Low Risk</v>
      </c>
      <c r="G212" s="1" t="str">
        <f>IF(OR(Raw_Data!D212="Yes",Raw_Data!E212="Yes"),"Has Plan","No Special Plan")</f>
        <v>No Special Plan</v>
      </c>
      <c r="H212" s="1" t="str">
        <f>IF(NOT(Raw_Data!S212&gt;=3),"Normal Service Contact","Frequent Service Contact")</f>
        <v>Normal Service Contact</v>
      </c>
      <c r="I212" s="1" t="str" cm="1">
        <f t="array" ref="I212">_xlfn.SWITCH(Raw_Data!D212,"Yes","International Customer","No","Domestic Plan","Unknown")</f>
        <v>Domestic Plan</v>
      </c>
      <c r="J212" s="1" t="str">
        <f>IF(ISERROR(Raw_Data!G212/0),"Error","Valid")</f>
        <v>Error</v>
      </c>
      <c r="K212" s="1" t="str">
        <f>IF(ISBLANK(Raw_Data!A212),"Missing","Available")</f>
        <v>Available</v>
      </c>
      <c r="L212" s="5" t="str">
        <f>IF(ISNUMBER(Raw_Data!G212),"Numeric","Not Numeric")</f>
        <v>Numeric</v>
      </c>
    </row>
    <row r="213" spans="1:12" x14ac:dyDescent="0.25">
      <c r="A213" s="4" t="str">
        <f>Raw_Data!A213</f>
        <v>WV</v>
      </c>
      <c r="B213" s="1" t="b">
        <f>Raw_Data!T213</f>
        <v>0</v>
      </c>
      <c r="C213" s="1" t="str">
        <f t="shared" si="3"/>
        <v>Retained</v>
      </c>
      <c r="D213" s="1" t="str">
        <f>IF(Raw_Data!S213=0,"Low Contact",IF(Raw_Data!S213&lt;=2,"Normal Contact","High Contact"))</f>
        <v>Normal Contact</v>
      </c>
      <c r="E213" s="1" t="str">
        <f>IF(AND(Raw_Data!G213&gt;200,Raw_Data!H213&gt;100),"High Usage","Normal Usage")</f>
        <v>Normal Usage</v>
      </c>
      <c r="F213" s="1" t="str" cm="1">
        <f t="array" ref="F213">_xlfn.IFS(B213=TRUE,"High Risk",AND(Raw_Data!S213&gt;=3,Raw_Data!G213&gt;200),"High Risk",Raw_Data!S213&gt;=2,"Medium Risk",TRUE,"Low Risk")</f>
        <v>Low Risk</v>
      </c>
      <c r="G213" s="1" t="str">
        <f>IF(OR(Raw_Data!D213="Yes",Raw_Data!E213="Yes"),"Has Plan","No Special Plan")</f>
        <v>No Special Plan</v>
      </c>
      <c r="H213" s="1" t="str">
        <f>IF(NOT(Raw_Data!S213&gt;=3),"Normal Service Contact","Frequent Service Contact")</f>
        <v>Normal Service Contact</v>
      </c>
      <c r="I213" s="1" t="str" cm="1">
        <f t="array" ref="I213">_xlfn.SWITCH(Raw_Data!D213,"Yes","International Customer","No","Domestic Plan","Unknown")</f>
        <v>Domestic Plan</v>
      </c>
      <c r="J213" s="1" t="str">
        <f>IF(ISERROR(Raw_Data!G213/0),"Error","Valid")</f>
        <v>Error</v>
      </c>
      <c r="K213" s="1" t="str">
        <f>IF(ISBLANK(Raw_Data!A213),"Missing","Available")</f>
        <v>Available</v>
      </c>
      <c r="L213" s="5" t="str">
        <f>IF(ISNUMBER(Raw_Data!G213),"Numeric","Not Numeric")</f>
        <v>Numeric</v>
      </c>
    </row>
    <row r="214" spans="1:12" x14ac:dyDescent="0.25">
      <c r="A214" s="4" t="str">
        <f>Raw_Data!A214</f>
        <v>WV</v>
      </c>
      <c r="B214" s="1" t="b">
        <f>Raw_Data!T214</f>
        <v>0</v>
      </c>
      <c r="C214" s="1" t="str">
        <f t="shared" si="3"/>
        <v>Retained</v>
      </c>
      <c r="D214" s="1" t="str">
        <f>IF(Raw_Data!S214=0,"Low Contact",IF(Raw_Data!S214&lt;=2,"Normal Contact","High Contact"))</f>
        <v>Normal Contact</v>
      </c>
      <c r="E214" s="1" t="str">
        <f>IF(AND(Raw_Data!G214&gt;200,Raw_Data!H214&gt;100),"High Usage","Normal Usage")</f>
        <v>Normal Usage</v>
      </c>
      <c r="F214" s="1" t="str" cm="1">
        <f t="array" ref="F214">_xlfn.IFS(B214=TRUE,"High Risk",AND(Raw_Data!S214&gt;=3,Raw_Data!G214&gt;200),"High Risk",Raw_Data!S214&gt;=2,"Medium Risk",TRUE,"Low Risk")</f>
        <v>Low Risk</v>
      </c>
      <c r="G214" s="1" t="str">
        <f>IF(OR(Raw_Data!D214="Yes",Raw_Data!E214="Yes"),"Has Plan","No Special Plan")</f>
        <v>No Special Plan</v>
      </c>
      <c r="H214" s="1" t="str">
        <f>IF(NOT(Raw_Data!S214&gt;=3),"Normal Service Contact","Frequent Service Contact")</f>
        <v>Normal Service Contact</v>
      </c>
      <c r="I214" s="1" t="str" cm="1">
        <f t="array" ref="I214">_xlfn.SWITCH(Raw_Data!D214,"Yes","International Customer","No","Domestic Plan","Unknown")</f>
        <v>Domestic Plan</v>
      </c>
      <c r="J214" s="1" t="str">
        <f>IF(ISERROR(Raw_Data!G214/0),"Error","Valid")</f>
        <v>Error</v>
      </c>
      <c r="K214" s="1" t="str">
        <f>IF(ISBLANK(Raw_Data!A214),"Missing","Available")</f>
        <v>Available</v>
      </c>
      <c r="L214" s="5" t="str">
        <f>IF(ISNUMBER(Raw_Data!G214),"Numeric","Not Numeric")</f>
        <v>Numeric</v>
      </c>
    </row>
    <row r="215" spans="1:12" x14ac:dyDescent="0.25">
      <c r="A215" s="4" t="str">
        <f>Raw_Data!A215</f>
        <v>DC</v>
      </c>
      <c r="B215" s="1" t="b">
        <f>Raw_Data!T215</f>
        <v>0</v>
      </c>
      <c r="C215" s="1" t="str">
        <f t="shared" si="3"/>
        <v>Retained</v>
      </c>
      <c r="D215" s="1" t="str">
        <f>IF(Raw_Data!S215=0,"Low Contact",IF(Raw_Data!S215&lt;=2,"Normal Contact","High Contact"))</f>
        <v>Normal Contact</v>
      </c>
      <c r="E215" s="1" t="str">
        <f>IF(AND(Raw_Data!G215&gt;200,Raw_Data!H215&gt;100),"High Usage","Normal Usage")</f>
        <v>High Usage</v>
      </c>
      <c r="F215" s="1" t="str" cm="1">
        <f t="array" ref="F215">_xlfn.IFS(B215=TRUE,"High Risk",AND(Raw_Data!S215&gt;=3,Raw_Data!G215&gt;200),"High Risk",Raw_Data!S215&gt;=2,"Medium Risk",TRUE,"Low Risk")</f>
        <v>Low Risk</v>
      </c>
      <c r="G215" s="1" t="str">
        <f>IF(OR(Raw_Data!D215="Yes",Raw_Data!E215="Yes"),"Has Plan","No Special Plan")</f>
        <v>Has Plan</v>
      </c>
      <c r="H215" s="1" t="str">
        <f>IF(NOT(Raw_Data!S215&gt;=3),"Normal Service Contact","Frequent Service Contact")</f>
        <v>Normal Service Contact</v>
      </c>
      <c r="I215" s="1" t="str" cm="1">
        <f t="array" ref="I215">_xlfn.SWITCH(Raw_Data!D215,"Yes","International Customer","No","Domestic Plan","Unknown")</f>
        <v>Domestic Plan</v>
      </c>
      <c r="J215" s="1" t="str">
        <f>IF(ISERROR(Raw_Data!G215/0),"Error","Valid")</f>
        <v>Error</v>
      </c>
      <c r="K215" s="1" t="str">
        <f>IF(ISBLANK(Raw_Data!A215),"Missing","Available")</f>
        <v>Available</v>
      </c>
      <c r="L215" s="5" t="str">
        <f>IF(ISNUMBER(Raw_Data!G215),"Numeric","Not Numeric")</f>
        <v>Numeric</v>
      </c>
    </row>
    <row r="216" spans="1:12" x14ac:dyDescent="0.25">
      <c r="A216" s="4" t="str">
        <f>Raw_Data!A216</f>
        <v>MN</v>
      </c>
      <c r="B216" s="1" t="b">
        <f>Raw_Data!T216</f>
        <v>0</v>
      </c>
      <c r="C216" s="1" t="str">
        <f t="shared" si="3"/>
        <v>Retained</v>
      </c>
      <c r="D216" s="1" t="str">
        <f>IF(Raw_Data!S216=0,"Low Contact",IF(Raw_Data!S216&lt;=2,"Normal Contact","High Contact"))</f>
        <v>Low Contact</v>
      </c>
      <c r="E216" s="1" t="str">
        <f>IF(AND(Raw_Data!G216&gt;200,Raw_Data!H216&gt;100),"High Usage","Normal Usage")</f>
        <v>Normal Usage</v>
      </c>
      <c r="F216" s="1" t="str" cm="1">
        <f t="array" ref="F216">_xlfn.IFS(B216=TRUE,"High Risk",AND(Raw_Data!S216&gt;=3,Raw_Data!G216&gt;200),"High Risk",Raw_Data!S216&gt;=2,"Medium Risk",TRUE,"Low Risk")</f>
        <v>Low Risk</v>
      </c>
      <c r="G216" s="1" t="str">
        <f>IF(OR(Raw_Data!D216="Yes",Raw_Data!E216="Yes"),"Has Plan","No Special Plan")</f>
        <v>No Special Plan</v>
      </c>
      <c r="H216" s="1" t="str">
        <f>IF(NOT(Raw_Data!S216&gt;=3),"Normal Service Contact","Frequent Service Contact")</f>
        <v>Normal Service Contact</v>
      </c>
      <c r="I216" s="1" t="str" cm="1">
        <f t="array" ref="I216">_xlfn.SWITCH(Raw_Data!D216,"Yes","International Customer","No","Domestic Plan","Unknown")</f>
        <v>Domestic Plan</v>
      </c>
      <c r="J216" s="1" t="str">
        <f>IF(ISERROR(Raw_Data!G216/0),"Error","Valid")</f>
        <v>Error</v>
      </c>
      <c r="K216" s="1" t="str">
        <f>IF(ISBLANK(Raw_Data!A216),"Missing","Available")</f>
        <v>Available</v>
      </c>
      <c r="L216" s="5" t="str">
        <f>IF(ISNUMBER(Raw_Data!G216),"Numeric","Not Numeric")</f>
        <v>Numeric</v>
      </c>
    </row>
    <row r="217" spans="1:12" x14ac:dyDescent="0.25">
      <c r="A217" s="4" t="str">
        <f>Raw_Data!A217</f>
        <v>DE</v>
      </c>
      <c r="B217" s="1" t="b">
        <f>Raw_Data!T217</f>
        <v>0</v>
      </c>
      <c r="C217" s="1" t="str">
        <f t="shared" si="3"/>
        <v>Retained</v>
      </c>
      <c r="D217" s="1" t="str">
        <f>IF(Raw_Data!S217=0,"Low Contact",IF(Raw_Data!S217&lt;=2,"Normal Contact","High Contact"))</f>
        <v>Normal Contact</v>
      </c>
      <c r="E217" s="1" t="str">
        <f>IF(AND(Raw_Data!G217&gt;200,Raw_Data!H217&gt;100),"High Usage","Normal Usage")</f>
        <v>Normal Usage</v>
      </c>
      <c r="F217" s="1" t="str" cm="1">
        <f t="array" ref="F217">_xlfn.IFS(B217=TRUE,"High Risk",AND(Raw_Data!S217&gt;=3,Raw_Data!G217&gt;200),"High Risk",Raw_Data!S217&gt;=2,"Medium Risk",TRUE,"Low Risk")</f>
        <v>Medium Risk</v>
      </c>
      <c r="G217" s="1" t="str">
        <f>IF(OR(Raw_Data!D217="Yes",Raw_Data!E217="Yes"),"Has Plan","No Special Plan")</f>
        <v>No Special Plan</v>
      </c>
      <c r="H217" s="1" t="str">
        <f>IF(NOT(Raw_Data!S217&gt;=3),"Normal Service Contact","Frequent Service Contact")</f>
        <v>Normal Service Contact</v>
      </c>
      <c r="I217" s="1" t="str" cm="1">
        <f t="array" ref="I217">_xlfn.SWITCH(Raw_Data!D217,"Yes","International Customer","No","Domestic Plan","Unknown")</f>
        <v>Domestic Plan</v>
      </c>
      <c r="J217" s="1" t="str">
        <f>IF(ISERROR(Raw_Data!G217/0),"Error","Valid")</f>
        <v>Error</v>
      </c>
      <c r="K217" s="1" t="str">
        <f>IF(ISBLANK(Raw_Data!A217),"Missing","Available")</f>
        <v>Available</v>
      </c>
      <c r="L217" s="5" t="str">
        <f>IF(ISNUMBER(Raw_Data!G217),"Numeric","Not Numeric")</f>
        <v>Numeric</v>
      </c>
    </row>
    <row r="218" spans="1:12" x14ac:dyDescent="0.25">
      <c r="A218" s="4" t="str">
        <f>Raw_Data!A218</f>
        <v>VT</v>
      </c>
      <c r="B218" s="1" t="b">
        <f>Raw_Data!T218</f>
        <v>0</v>
      </c>
      <c r="C218" s="1" t="str">
        <f t="shared" si="3"/>
        <v>Retained</v>
      </c>
      <c r="D218" s="1" t="str">
        <f>IF(Raw_Data!S218=0,"Low Contact",IF(Raw_Data!S218&lt;=2,"Normal Contact","High Contact"))</f>
        <v>Normal Contact</v>
      </c>
      <c r="E218" s="1" t="str">
        <f>IF(AND(Raw_Data!G218&gt;200,Raw_Data!H218&gt;100),"High Usage","Normal Usage")</f>
        <v>Normal Usage</v>
      </c>
      <c r="F218" s="1" t="str" cm="1">
        <f t="array" ref="F218">_xlfn.IFS(B218=TRUE,"High Risk",AND(Raw_Data!S218&gt;=3,Raw_Data!G218&gt;200),"High Risk",Raw_Data!S218&gt;=2,"Medium Risk",TRUE,"Low Risk")</f>
        <v>Medium Risk</v>
      </c>
      <c r="G218" s="1" t="str">
        <f>IF(OR(Raw_Data!D218="Yes",Raw_Data!E218="Yes"),"Has Plan","No Special Plan")</f>
        <v>No Special Plan</v>
      </c>
      <c r="H218" s="1" t="str">
        <f>IF(NOT(Raw_Data!S218&gt;=3),"Normal Service Contact","Frequent Service Contact")</f>
        <v>Normal Service Contact</v>
      </c>
      <c r="I218" s="1" t="str" cm="1">
        <f t="array" ref="I218">_xlfn.SWITCH(Raw_Data!D218,"Yes","International Customer","No","Domestic Plan","Unknown")</f>
        <v>Domestic Plan</v>
      </c>
      <c r="J218" s="1" t="str">
        <f>IF(ISERROR(Raw_Data!G218/0),"Error","Valid")</f>
        <v>Error</v>
      </c>
      <c r="K218" s="1" t="str">
        <f>IF(ISBLANK(Raw_Data!A218),"Missing","Available")</f>
        <v>Available</v>
      </c>
      <c r="L218" s="5" t="str">
        <f>IF(ISNUMBER(Raw_Data!G218),"Numeric","Not Numeric")</f>
        <v>Numeric</v>
      </c>
    </row>
    <row r="219" spans="1:12" x14ac:dyDescent="0.25">
      <c r="A219" s="4" t="str">
        <f>Raw_Data!A219</f>
        <v>NY</v>
      </c>
      <c r="B219" s="1" t="b">
        <f>Raw_Data!T219</f>
        <v>0</v>
      </c>
      <c r="C219" s="1" t="str">
        <f t="shared" si="3"/>
        <v>Retained</v>
      </c>
      <c r="D219" s="1" t="str">
        <f>IF(Raw_Data!S219=0,"Low Contact",IF(Raw_Data!S219&lt;=2,"Normal Contact","High Contact"))</f>
        <v>High Contact</v>
      </c>
      <c r="E219" s="1" t="str">
        <f>IF(AND(Raw_Data!G219&gt;200,Raw_Data!H219&gt;100),"High Usage","Normal Usage")</f>
        <v>High Usage</v>
      </c>
      <c r="F219" s="1" t="str" cm="1">
        <f t="array" ref="F219">_xlfn.IFS(B219=TRUE,"High Risk",AND(Raw_Data!S219&gt;=3,Raw_Data!G219&gt;200),"High Risk",Raw_Data!S219&gt;=2,"Medium Risk",TRUE,"Low Risk")</f>
        <v>High Risk</v>
      </c>
      <c r="G219" s="1" t="str">
        <f>IF(OR(Raw_Data!D219="Yes",Raw_Data!E219="Yes"),"Has Plan","No Special Plan")</f>
        <v>Has Plan</v>
      </c>
      <c r="H219" s="1" t="str">
        <f>IF(NOT(Raw_Data!S219&gt;=3),"Normal Service Contact","Frequent Service Contact")</f>
        <v>Frequent Service Contact</v>
      </c>
      <c r="I219" s="1" t="str" cm="1">
        <f t="array" ref="I219">_xlfn.SWITCH(Raw_Data!D219,"Yes","International Customer","No","Domestic Plan","Unknown")</f>
        <v>International Customer</v>
      </c>
      <c r="J219" s="1" t="str">
        <f>IF(ISERROR(Raw_Data!G219/0),"Error","Valid")</f>
        <v>Error</v>
      </c>
      <c r="K219" s="1" t="str">
        <f>IF(ISBLANK(Raw_Data!A219),"Missing","Available")</f>
        <v>Available</v>
      </c>
      <c r="L219" s="5" t="str">
        <f>IF(ISNUMBER(Raw_Data!G219),"Numeric","Not Numeric")</f>
        <v>Numeric</v>
      </c>
    </row>
    <row r="220" spans="1:12" x14ac:dyDescent="0.25">
      <c r="A220" s="4" t="str">
        <f>Raw_Data!A220</f>
        <v>TX</v>
      </c>
      <c r="B220" s="1" t="b">
        <f>Raw_Data!T220</f>
        <v>0</v>
      </c>
      <c r="C220" s="1" t="str">
        <f t="shared" si="3"/>
        <v>Retained</v>
      </c>
      <c r="D220" s="1" t="str">
        <f>IF(Raw_Data!S220=0,"Low Contact",IF(Raw_Data!S220&lt;=2,"Normal Contact","High Contact"))</f>
        <v>High Contact</v>
      </c>
      <c r="E220" s="1" t="str">
        <f>IF(AND(Raw_Data!G220&gt;200,Raw_Data!H220&gt;100),"High Usage","Normal Usage")</f>
        <v>Normal Usage</v>
      </c>
      <c r="F220" s="1" t="str" cm="1">
        <f t="array" ref="F220">_xlfn.IFS(B220=TRUE,"High Risk",AND(Raw_Data!S220&gt;=3,Raw_Data!G220&gt;200),"High Risk",Raw_Data!S220&gt;=2,"Medium Risk",TRUE,"Low Risk")</f>
        <v>Medium Risk</v>
      </c>
      <c r="G220" s="1" t="str">
        <f>IF(OR(Raw_Data!D220="Yes",Raw_Data!E220="Yes"),"Has Plan","No Special Plan")</f>
        <v>No Special Plan</v>
      </c>
      <c r="H220" s="1" t="str">
        <f>IF(NOT(Raw_Data!S220&gt;=3),"Normal Service Contact","Frequent Service Contact")</f>
        <v>Frequent Service Contact</v>
      </c>
      <c r="I220" s="1" t="str" cm="1">
        <f t="array" ref="I220">_xlfn.SWITCH(Raw_Data!D220,"Yes","International Customer","No","Domestic Plan","Unknown")</f>
        <v>Domestic Plan</v>
      </c>
      <c r="J220" s="1" t="str">
        <f>IF(ISERROR(Raw_Data!G220/0),"Error","Valid")</f>
        <v>Error</v>
      </c>
      <c r="K220" s="1" t="str">
        <f>IF(ISBLANK(Raw_Data!A220),"Missing","Available")</f>
        <v>Available</v>
      </c>
      <c r="L220" s="5" t="str">
        <f>IF(ISNUMBER(Raw_Data!G220),"Numeric","Not Numeric")</f>
        <v>Numeric</v>
      </c>
    </row>
    <row r="221" spans="1:12" x14ac:dyDescent="0.25">
      <c r="A221" s="4" t="str">
        <f>Raw_Data!A221</f>
        <v>OR</v>
      </c>
      <c r="B221" s="1" t="b">
        <f>Raw_Data!T221</f>
        <v>0</v>
      </c>
      <c r="C221" s="1" t="str">
        <f t="shared" si="3"/>
        <v>Retained</v>
      </c>
      <c r="D221" s="1" t="str">
        <f>IF(Raw_Data!S221=0,"Low Contact",IF(Raw_Data!S221&lt;=2,"Normal Contact","High Contact"))</f>
        <v>Normal Contact</v>
      </c>
      <c r="E221" s="1" t="str">
        <f>IF(AND(Raw_Data!G221&gt;200,Raw_Data!H221&gt;100),"High Usage","Normal Usage")</f>
        <v>Normal Usage</v>
      </c>
      <c r="F221" s="1" t="str" cm="1">
        <f t="array" ref="F221">_xlfn.IFS(B221=TRUE,"High Risk",AND(Raw_Data!S221&gt;=3,Raw_Data!G221&gt;200),"High Risk",Raw_Data!S221&gt;=2,"Medium Risk",TRUE,"Low Risk")</f>
        <v>Low Risk</v>
      </c>
      <c r="G221" s="1" t="str">
        <f>IF(OR(Raw_Data!D221="Yes",Raw_Data!E221="Yes"),"Has Plan","No Special Plan")</f>
        <v>No Special Plan</v>
      </c>
      <c r="H221" s="1" t="str">
        <f>IF(NOT(Raw_Data!S221&gt;=3),"Normal Service Contact","Frequent Service Contact")</f>
        <v>Normal Service Contact</v>
      </c>
      <c r="I221" s="1" t="str" cm="1">
        <f t="array" ref="I221">_xlfn.SWITCH(Raw_Data!D221,"Yes","International Customer","No","Domestic Plan","Unknown")</f>
        <v>Domestic Plan</v>
      </c>
      <c r="J221" s="1" t="str">
        <f>IF(ISERROR(Raw_Data!G221/0),"Error","Valid")</f>
        <v>Error</v>
      </c>
      <c r="K221" s="1" t="str">
        <f>IF(ISBLANK(Raw_Data!A221),"Missing","Available")</f>
        <v>Available</v>
      </c>
      <c r="L221" s="5" t="str">
        <f>IF(ISNUMBER(Raw_Data!G221),"Numeric","Not Numeric")</f>
        <v>Numeric</v>
      </c>
    </row>
    <row r="222" spans="1:12" x14ac:dyDescent="0.25">
      <c r="A222" s="4" t="str">
        <f>Raw_Data!A222</f>
        <v>KS</v>
      </c>
      <c r="B222" s="1" t="b">
        <f>Raw_Data!T222</f>
        <v>0</v>
      </c>
      <c r="C222" s="1" t="str">
        <f t="shared" si="3"/>
        <v>Retained</v>
      </c>
      <c r="D222" s="1" t="str">
        <f>IF(Raw_Data!S222=0,"Low Contact",IF(Raw_Data!S222&lt;=2,"Normal Contact","High Contact"))</f>
        <v>Low Contact</v>
      </c>
      <c r="E222" s="1" t="str">
        <f>IF(AND(Raw_Data!G222&gt;200,Raw_Data!H222&gt;100),"High Usage","Normal Usage")</f>
        <v>High Usage</v>
      </c>
      <c r="F222" s="1" t="str" cm="1">
        <f t="array" ref="F222">_xlfn.IFS(B222=TRUE,"High Risk",AND(Raw_Data!S222&gt;=3,Raw_Data!G222&gt;200),"High Risk",Raw_Data!S222&gt;=2,"Medium Risk",TRUE,"Low Risk")</f>
        <v>Low Risk</v>
      </c>
      <c r="G222" s="1" t="str">
        <f>IF(OR(Raw_Data!D222="Yes",Raw_Data!E222="Yes"),"Has Plan","No Special Plan")</f>
        <v>No Special Plan</v>
      </c>
      <c r="H222" s="1" t="str">
        <f>IF(NOT(Raw_Data!S222&gt;=3),"Normal Service Contact","Frequent Service Contact")</f>
        <v>Normal Service Contact</v>
      </c>
      <c r="I222" s="1" t="str" cm="1">
        <f t="array" ref="I222">_xlfn.SWITCH(Raw_Data!D222,"Yes","International Customer","No","Domestic Plan","Unknown")</f>
        <v>Domestic Plan</v>
      </c>
      <c r="J222" s="1" t="str">
        <f>IF(ISERROR(Raw_Data!G222/0),"Error","Valid")</f>
        <v>Error</v>
      </c>
      <c r="K222" s="1" t="str">
        <f>IF(ISBLANK(Raw_Data!A222),"Missing","Available")</f>
        <v>Available</v>
      </c>
      <c r="L222" s="5" t="str">
        <f>IF(ISNUMBER(Raw_Data!G222),"Numeric","Not Numeric")</f>
        <v>Numeric</v>
      </c>
    </row>
    <row r="223" spans="1:12" x14ac:dyDescent="0.25">
      <c r="A223" s="4" t="str">
        <f>Raw_Data!A223</f>
        <v>ND</v>
      </c>
      <c r="B223" s="1" t="b">
        <f>Raw_Data!T223</f>
        <v>0</v>
      </c>
      <c r="C223" s="1" t="str">
        <f t="shared" si="3"/>
        <v>Retained</v>
      </c>
      <c r="D223" s="1" t="str">
        <f>IF(Raw_Data!S223=0,"Low Contact",IF(Raw_Data!S223&lt;=2,"Normal Contact","High Contact"))</f>
        <v>Normal Contact</v>
      </c>
      <c r="E223" s="1" t="str">
        <f>IF(AND(Raw_Data!G223&gt;200,Raw_Data!H223&gt;100),"High Usage","Normal Usage")</f>
        <v>Normal Usage</v>
      </c>
      <c r="F223" s="1" t="str" cm="1">
        <f t="array" ref="F223">_xlfn.IFS(B223=TRUE,"High Risk",AND(Raw_Data!S223&gt;=3,Raw_Data!G223&gt;200),"High Risk",Raw_Data!S223&gt;=2,"Medium Risk",TRUE,"Low Risk")</f>
        <v>Low Risk</v>
      </c>
      <c r="G223" s="1" t="str">
        <f>IF(OR(Raw_Data!D223="Yes",Raw_Data!E223="Yes"),"Has Plan","No Special Plan")</f>
        <v>Has Plan</v>
      </c>
      <c r="H223" s="1" t="str">
        <f>IF(NOT(Raw_Data!S223&gt;=3),"Normal Service Contact","Frequent Service Contact")</f>
        <v>Normal Service Contact</v>
      </c>
      <c r="I223" s="1" t="str" cm="1">
        <f t="array" ref="I223">_xlfn.SWITCH(Raw_Data!D223,"Yes","International Customer","No","Domestic Plan","Unknown")</f>
        <v>Domestic Plan</v>
      </c>
      <c r="J223" s="1" t="str">
        <f>IF(ISERROR(Raw_Data!G223/0),"Error","Valid")</f>
        <v>Error</v>
      </c>
      <c r="K223" s="1" t="str">
        <f>IF(ISBLANK(Raw_Data!A223),"Missing","Available")</f>
        <v>Available</v>
      </c>
      <c r="L223" s="5" t="str">
        <f>IF(ISNUMBER(Raw_Data!G223),"Numeric","Not Numeric")</f>
        <v>Numeric</v>
      </c>
    </row>
    <row r="224" spans="1:12" x14ac:dyDescent="0.25">
      <c r="A224" s="4" t="str">
        <f>Raw_Data!A224</f>
        <v>PA</v>
      </c>
      <c r="B224" s="1" t="b">
        <f>Raw_Data!T224</f>
        <v>0</v>
      </c>
      <c r="C224" s="1" t="str">
        <f t="shared" si="3"/>
        <v>Retained</v>
      </c>
      <c r="D224" s="1" t="str">
        <f>IF(Raw_Data!S224=0,"Low Contact",IF(Raw_Data!S224&lt;=2,"Normal Contact","High Contact"))</f>
        <v>Normal Contact</v>
      </c>
      <c r="E224" s="1" t="str">
        <f>IF(AND(Raw_Data!G224&gt;200,Raw_Data!H224&gt;100),"High Usage","Normal Usage")</f>
        <v>High Usage</v>
      </c>
      <c r="F224" s="1" t="str" cm="1">
        <f t="array" ref="F224">_xlfn.IFS(B224=TRUE,"High Risk",AND(Raw_Data!S224&gt;=3,Raw_Data!G224&gt;200),"High Risk",Raw_Data!S224&gt;=2,"Medium Risk",TRUE,"Low Risk")</f>
        <v>Low Risk</v>
      </c>
      <c r="G224" s="1" t="str">
        <f>IF(OR(Raw_Data!D224="Yes",Raw_Data!E224="Yes"),"Has Plan","No Special Plan")</f>
        <v>No Special Plan</v>
      </c>
      <c r="H224" s="1" t="str">
        <f>IF(NOT(Raw_Data!S224&gt;=3),"Normal Service Contact","Frequent Service Contact")</f>
        <v>Normal Service Contact</v>
      </c>
      <c r="I224" s="1" t="str" cm="1">
        <f t="array" ref="I224">_xlfn.SWITCH(Raw_Data!D224,"Yes","International Customer","No","Domestic Plan","Unknown")</f>
        <v>Domestic Plan</v>
      </c>
      <c r="J224" s="1" t="str">
        <f>IF(ISERROR(Raw_Data!G224/0),"Error","Valid")</f>
        <v>Error</v>
      </c>
      <c r="K224" s="1" t="str">
        <f>IF(ISBLANK(Raw_Data!A224),"Missing","Available")</f>
        <v>Available</v>
      </c>
      <c r="L224" s="5" t="str">
        <f>IF(ISNUMBER(Raw_Data!G224),"Numeric","Not Numeric")</f>
        <v>Numeric</v>
      </c>
    </row>
    <row r="225" spans="1:12" x14ac:dyDescent="0.25">
      <c r="A225" s="4" t="str">
        <f>Raw_Data!A225</f>
        <v>NY</v>
      </c>
      <c r="B225" s="1" t="b">
        <f>Raw_Data!T225</f>
        <v>0</v>
      </c>
      <c r="C225" s="1" t="str">
        <f t="shared" si="3"/>
        <v>Retained</v>
      </c>
      <c r="D225" s="1" t="str">
        <f>IF(Raw_Data!S225=0,"Low Contact",IF(Raw_Data!S225&lt;=2,"Normal Contact","High Contact"))</f>
        <v>Normal Contact</v>
      </c>
      <c r="E225" s="1" t="str">
        <f>IF(AND(Raw_Data!G225&gt;200,Raw_Data!H225&gt;100),"High Usage","Normal Usage")</f>
        <v>Normal Usage</v>
      </c>
      <c r="F225" s="1" t="str" cm="1">
        <f t="array" ref="F225">_xlfn.IFS(B225=TRUE,"High Risk",AND(Raw_Data!S225&gt;=3,Raw_Data!G225&gt;200),"High Risk",Raw_Data!S225&gt;=2,"Medium Risk",TRUE,"Low Risk")</f>
        <v>Low Risk</v>
      </c>
      <c r="G225" s="1" t="str">
        <f>IF(OR(Raw_Data!D225="Yes",Raw_Data!E225="Yes"),"Has Plan","No Special Plan")</f>
        <v>No Special Plan</v>
      </c>
      <c r="H225" s="1" t="str">
        <f>IF(NOT(Raw_Data!S225&gt;=3),"Normal Service Contact","Frequent Service Contact")</f>
        <v>Normal Service Contact</v>
      </c>
      <c r="I225" s="1" t="str" cm="1">
        <f t="array" ref="I225">_xlfn.SWITCH(Raw_Data!D225,"Yes","International Customer","No","Domestic Plan","Unknown")</f>
        <v>Domestic Plan</v>
      </c>
      <c r="J225" s="1" t="str">
        <f>IF(ISERROR(Raw_Data!G225/0),"Error","Valid")</f>
        <v>Error</v>
      </c>
      <c r="K225" s="1" t="str">
        <f>IF(ISBLANK(Raw_Data!A225),"Missing","Available")</f>
        <v>Available</v>
      </c>
      <c r="L225" s="5" t="str">
        <f>IF(ISNUMBER(Raw_Data!G225),"Numeric","Not Numeric")</f>
        <v>Numeric</v>
      </c>
    </row>
    <row r="226" spans="1:12" x14ac:dyDescent="0.25">
      <c r="A226" s="4" t="str">
        <f>Raw_Data!A226</f>
        <v>WY</v>
      </c>
      <c r="B226" s="1" t="b">
        <f>Raw_Data!T226</f>
        <v>0</v>
      </c>
      <c r="C226" s="1" t="str">
        <f t="shared" si="3"/>
        <v>Retained</v>
      </c>
      <c r="D226" s="1" t="str">
        <f>IF(Raw_Data!S226=0,"Low Contact",IF(Raw_Data!S226&lt;=2,"Normal Contact","High Contact"))</f>
        <v>Normal Contact</v>
      </c>
      <c r="E226" s="1" t="str">
        <f>IF(AND(Raw_Data!G226&gt;200,Raw_Data!H226&gt;100),"High Usage","Normal Usage")</f>
        <v>Normal Usage</v>
      </c>
      <c r="F226" s="1" t="str" cm="1">
        <f t="array" ref="F226">_xlfn.IFS(B226=TRUE,"High Risk",AND(Raw_Data!S226&gt;=3,Raw_Data!G226&gt;200),"High Risk",Raw_Data!S226&gt;=2,"Medium Risk",TRUE,"Low Risk")</f>
        <v>Low Risk</v>
      </c>
      <c r="G226" s="1" t="str">
        <f>IF(OR(Raw_Data!D226="Yes",Raw_Data!E226="Yes"),"Has Plan","No Special Plan")</f>
        <v>Has Plan</v>
      </c>
      <c r="H226" s="1" t="str">
        <f>IF(NOT(Raw_Data!S226&gt;=3),"Normal Service Contact","Frequent Service Contact")</f>
        <v>Normal Service Contact</v>
      </c>
      <c r="I226" s="1" t="str" cm="1">
        <f t="array" ref="I226">_xlfn.SWITCH(Raw_Data!D226,"Yes","International Customer","No","Domestic Plan","Unknown")</f>
        <v>Domestic Plan</v>
      </c>
      <c r="J226" s="1" t="str">
        <f>IF(ISERROR(Raw_Data!G226/0),"Error","Valid")</f>
        <v>Error</v>
      </c>
      <c r="K226" s="1" t="str">
        <f>IF(ISBLANK(Raw_Data!A226),"Missing","Available")</f>
        <v>Available</v>
      </c>
      <c r="L226" s="5" t="str">
        <f>IF(ISNUMBER(Raw_Data!G226),"Numeric","Not Numeric")</f>
        <v>Numeric</v>
      </c>
    </row>
    <row r="227" spans="1:12" x14ac:dyDescent="0.25">
      <c r="A227" s="4" t="str">
        <f>Raw_Data!A227</f>
        <v>NY</v>
      </c>
      <c r="B227" s="1" t="b">
        <f>Raw_Data!T227</f>
        <v>1</v>
      </c>
      <c r="C227" s="1" t="str">
        <f t="shared" si="3"/>
        <v>Churned</v>
      </c>
      <c r="D227" s="1" t="str">
        <f>IF(Raw_Data!S227=0,"Low Contact",IF(Raw_Data!S227&lt;=2,"Normal Contact","High Contact"))</f>
        <v>High Contact</v>
      </c>
      <c r="E227" s="1" t="str">
        <f>IF(AND(Raw_Data!G227&gt;200,Raw_Data!H227&gt;100),"High Usage","Normal Usage")</f>
        <v>Normal Usage</v>
      </c>
      <c r="F227" s="1" t="str" cm="1">
        <f t="array" ref="F227">_xlfn.IFS(B227=TRUE,"High Risk",AND(Raw_Data!S227&gt;=3,Raw_Data!G227&gt;200),"High Risk",Raw_Data!S227&gt;=2,"Medium Risk",TRUE,"Low Risk")</f>
        <v>High Risk</v>
      </c>
      <c r="G227" s="1" t="str">
        <f>IF(OR(Raw_Data!D227="Yes",Raw_Data!E227="Yes"),"Has Plan","No Special Plan")</f>
        <v>No Special Plan</v>
      </c>
      <c r="H227" s="1" t="str">
        <f>IF(NOT(Raw_Data!S227&gt;=3),"Normal Service Contact","Frequent Service Contact")</f>
        <v>Frequent Service Contact</v>
      </c>
      <c r="I227" s="1" t="str" cm="1">
        <f t="array" ref="I227">_xlfn.SWITCH(Raw_Data!D227,"Yes","International Customer","No","Domestic Plan","Unknown")</f>
        <v>Domestic Plan</v>
      </c>
      <c r="J227" s="1" t="str">
        <f>IF(ISERROR(Raw_Data!G227/0),"Error","Valid")</f>
        <v>Error</v>
      </c>
      <c r="K227" s="1" t="str">
        <f>IF(ISBLANK(Raw_Data!A227),"Missing","Available")</f>
        <v>Available</v>
      </c>
      <c r="L227" s="5" t="str">
        <f>IF(ISNUMBER(Raw_Data!G227),"Numeric","Not Numeric")</f>
        <v>Numeric</v>
      </c>
    </row>
    <row r="228" spans="1:12" x14ac:dyDescent="0.25">
      <c r="A228" s="4" t="str">
        <f>Raw_Data!A228</f>
        <v>ME</v>
      </c>
      <c r="B228" s="1" t="b">
        <f>Raw_Data!T228</f>
        <v>1</v>
      </c>
      <c r="C228" s="1" t="str">
        <f t="shared" si="3"/>
        <v>Churned</v>
      </c>
      <c r="D228" s="1" t="str">
        <f>IF(Raw_Data!S228=0,"Low Contact",IF(Raw_Data!S228&lt;=2,"Normal Contact","High Contact"))</f>
        <v>Low Contact</v>
      </c>
      <c r="E228" s="1" t="str">
        <f>IF(AND(Raw_Data!G228&gt;200,Raw_Data!H228&gt;100),"High Usage","Normal Usage")</f>
        <v>High Usage</v>
      </c>
      <c r="F228" s="1" t="str" cm="1">
        <f t="array" ref="F228">_xlfn.IFS(B228=TRUE,"High Risk",AND(Raw_Data!S228&gt;=3,Raw_Data!G228&gt;200),"High Risk",Raw_Data!S228&gt;=2,"Medium Risk",TRUE,"Low Risk")</f>
        <v>High Risk</v>
      </c>
      <c r="G228" s="1" t="str">
        <f>IF(OR(Raw_Data!D228="Yes",Raw_Data!E228="Yes"),"Has Plan","No Special Plan")</f>
        <v>No Special Plan</v>
      </c>
      <c r="H228" s="1" t="str">
        <f>IF(NOT(Raw_Data!S228&gt;=3),"Normal Service Contact","Frequent Service Contact")</f>
        <v>Normal Service Contact</v>
      </c>
      <c r="I228" s="1" t="str" cm="1">
        <f t="array" ref="I228">_xlfn.SWITCH(Raw_Data!D228,"Yes","International Customer","No","Domestic Plan","Unknown")</f>
        <v>Domestic Plan</v>
      </c>
      <c r="J228" s="1" t="str">
        <f>IF(ISERROR(Raw_Data!G228/0),"Error","Valid")</f>
        <v>Error</v>
      </c>
      <c r="K228" s="1" t="str">
        <f>IF(ISBLANK(Raw_Data!A228),"Missing","Available")</f>
        <v>Available</v>
      </c>
      <c r="L228" s="5" t="str">
        <f>IF(ISNUMBER(Raw_Data!G228),"Numeric","Not Numeric")</f>
        <v>Numeric</v>
      </c>
    </row>
    <row r="229" spans="1:12" x14ac:dyDescent="0.25">
      <c r="A229" s="4" t="str">
        <f>Raw_Data!A229</f>
        <v>SD</v>
      </c>
      <c r="B229" s="1" t="b">
        <f>Raw_Data!T229</f>
        <v>0</v>
      </c>
      <c r="C229" s="1" t="str">
        <f t="shared" si="3"/>
        <v>Retained</v>
      </c>
      <c r="D229" s="1" t="str">
        <f>IF(Raw_Data!S229=0,"Low Contact",IF(Raw_Data!S229&lt;=2,"Normal Contact","High Contact"))</f>
        <v>High Contact</v>
      </c>
      <c r="E229" s="1" t="str">
        <f>IF(AND(Raw_Data!G229&gt;200,Raw_Data!H229&gt;100),"High Usage","Normal Usage")</f>
        <v>High Usage</v>
      </c>
      <c r="F229" s="1" t="str" cm="1">
        <f t="array" ref="F229">_xlfn.IFS(B229=TRUE,"High Risk",AND(Raw_Data!S229&gt;=3,Raw_Data!G229&gt;200),"High Risk",Raw_Data!S229&gt;=2,"Medium Risk",TRUE,"Low Risk")</f>
        <v>High Risk</v>
      </c>
      <c r="G229" s="1" t="str">
        <f>IF(OR(Raw_Data!D229="Yes",Raw_Data!E229="Yes"),"Has Plan","No Special Plan")</f>
        <v>No Special Plan</v>
      </c>
      <c r="H229" s="1" t="str">
        <f>IF(NOT(Raw_Data!S229&gt;=3),"Normal Service Contact","Frequent Service Contact")</f>
        <v>Frequent Service Contact</v>
      </c>
      <c r="I229" s="1" t="str" cm="1">
        <f t="array" ref="I229">_xlfn.SWITCH(Raw_Data!D229,"Yes","International Customer","No","Domestic Plan","Unknown")</f>
        <v>Domestic Plan</v>
      </c>
      <c r="J229" s="1" t="str">
        <f>IF(ISERROR(Raw_Data!G229/0),"Error","Valid")</f>
        <v>Error</v>
      </c>
      <c r="K229" s="1" t="str">
        <f>IF(ISBLANK(Raw_Data!A229),"Missing","Available")</f>
        <v>Available</v>
      </c>
      <c r="L229" s="5" t="str">
        <f>IF(ISNUMBER(Raw_Data!G229),"Numeric","Not Numeric")</f>
        <v>Numeric</v>
      </c>
    </row>
    <row r="230" spans="1:12" x14ac:dyDescent="0.25">
      <c r="A230" s="4" t="str">
        <f>Raw_Data!A230</f>
        <v>UT</v>
      </c>
      <c r="B230" s="1" t="b">
        <f>Raw_Data!T230</f>
        <v>0</v>
      </c>
      <c r="C230" s="1" t="str">
        <f t="shared" si="3"/>
        <v>Retained</v>
      </c>
      <c r="D230" s="1" t="str">
        <f>IF(Raw_Data!S230=0,"Low Contact",IF(Raw_Data!S230&lt;=2,"Normal Contact","High Contact"))</f>
        <v>High Contact</v>
      </c>
      <c r="E230" s="1" t="str">
        <f>IF(AND(Raw_Data!G230&gt;200,Raw_Data!H230&gt;100),"High Usage","Normal Usage")</f>
        <v>High Usage</v>
      </c>
      <c r="F230" s="1" t="str" cm="1">
        <f t="array" ref="F230">_xlfn.IFS(B230=TRUE,"High Risk",AND(Raw_Data!S230&gt;=3,Raw_Data!G230&gt;200),"High Risk",Raw_Data!S230&gt;=2,"Medium Risk",TRUE,"Low Risk")</f>
        <v>High Risk</v>
      </c>
      <c r="G230" s="1" t="str">
        <f>IF(OR(Raw_Data!D230="Yes",Raw_Data!E230="Yes"),"Has Plan","No Special Plan")</f>
        <v>Has Plan</v>
      </c>
      <c r="H230" s="1" t="str">
        <f>IF(NOT(Raw_Data!S230&gt;=3),"Normal Service Contact","Frequent Service Contact")</f>
        <v>Frequent Service Contact</v>
      </c>
      <c r="I230" s="1" t="str" cm="1">
        <f t="array" ref="I230">_xlfn.SWITCH(Raw_Data!D230,"Yes","International Customer","No","Domestic Plan","Unknown")</f>
        <v>International Customer</v>
      </c>
      <c r="J230" s="1" t="str">
        <f>IF(ISERROR(Raw_Data!G230/0),"Error","Valid")</f>
        <v>Error</v>
      </c>
      <c r="K230" s="1" t="str">
        <f>IF(ISBLANK(Raw_Data!A230),"Missing","Available")</f>
        <v>Available</v>
      </c>
      <c r="L230" s="5" t="str">
        <f>IF(ISNUMBER(Raw_Data!G230),"Numeric","Not Numeric")</f>
        <v>Numeric</v>
      </c>
    </row>
    <row r="231" spans="1:12" x14ac:dyDescent="0.25">
      <c r="A231" s="4" t="str">
        <f>Raw_Data!A231</f>
        <v>AK</v>
      </c>
      <c r="B231" s="1" t="b">
        <f>Raw_Data!T231</f>
        <v>0</v>
      </c>
      <c r="C231" s="1" t="str">
        <f t="shared" si="3"/>
        <v>Retained</v>
      </c>
      <c r="D231" s="1" t="str">
        <f>IF(Raw_Data!S231=0,"Low Contact",IF(Raw_Data!S231&lt;=2,"Normal Contact","High Contact"))</f>
        <v>Low Contact</v>
      </c>
      <c r="E231" s="1" t="str">
        <f>IF(AND(Raw_Data!G231&gt;200,Raw_Data!H231&gt;100),"High Usage","Normal Usage")</f>
        <v>High Usage</v>
      </c>
      <c r="F231" s="1" t="str" cm="1">
        <f t="array" ref="F231">_xlfn.IFS(B231=TRUE,"High Risk",AND(Raw_Data!S231&gt;=3,Raw_Data!G231&gt;200),"High Risk",Raw_Data!S231&gt;=2,"Medium Risk",TRUE,"Low Risk")</f>
        <v>Low Risk</v>
      </c>
      <c r="G231" s="1" t="str">
        <f>IF(OR(Raw_Data!D231="Yes",Raw_Data!E231="Yes"),"Has Plan","No Special Plan")</f>
        <v>No Special Plan</v>
      </c>
      <c r="H231" s="1" t="str">
        <f>IF(NOT(Raw_Data!S231&gt;=3),"Normal Service Contact","Frequent Service Contact")</f>
        <v>Normal Service Contact</v>
      </c>
      <c r="I231" s="1" t="str" cm="1">
        <f t="array" ref="I231">_xlfn.SWITCH(Raw_Data!D231,"Yes","International Customer","No","Domestic Plan","Unknown")</f>
        <v>Domestic Plan</v>
      </c>
      <c r="J231" s="1" t="str">
        <f>IF(ISERROR(Raw_Data!G231/0),"Error","Valid")</f>
        <v>Error</v>
      </c>
      <c r="K231" s="1" t="str">
        <f>IF(ISBLANK(Raw_Data!A231),"Missing","Available")</f>
        <v>Available</v>
      </c>
      <c r="L231" s="5" t="str">
        <f>IF(ISNUMBER(Raw_Data!G231),"Numeric","Not Numeric")</f>
        <v>Numeric</v>
      </c>
    </row>
    <row r="232" spans="1:12" x14ac:dyDescent="0.25">
      <c r="A232" s="4" t="str">
        <f>Raw_Data!A232</f>
        <v>RI</v>
      </c>
      <c r="B232" s="1" t="b">
        <f>Raw_Data!T232</f>
        <v>0</v>
      </c>
      <c r="C232" s="1" t="str">
        <f t="shared" si="3"/>
        <v>Retained</v>
      </c>
      <c r="D232" s="1" t="str">
        <f>IF(Raw_Data!S232=0,"Low Contact",IF(Raw_Data!S232&lt;=2,"Normal Contact","High Contact"))</f>
        <v>Normal Contact</v>
      </c>
      <c r="E232" s="1" t="str">
        <f>IF(AND(Raw_Data!G232&gt;200,Raw_Data!H232&gt;100),"High Usage","Normal Usage")</f>
        <v>Normal Usage</v>
      </c>
      <c r="F232" s="1" t="str" cm="1">
        <f t="array" ref="F232">_xlfn.IFS(B232=TRUE,"High Risk",AND(Raw_Data!S232&gt;=3,Raw_Data!G232&gt;200),"High Risk",Raw_Data!S232&gt;=2,"Medium Risk",TRUE,"Low Risk")</f>
        <v>Low Risk</v>
      </c>
      <c r="G232" s="1" t="str">
        <f>IF(OR(Raw_Data!D232="Yes",Raw_Data!E232="Yes"),"Has Plan","No Special Plan")</f>
        <v>No Special Plan</v>
      </c>
      <c r="H232" s="1" t="str">
        <f>IF(NOT(Raw_Data!S232&gt;=3),"Normal Service Contact","Frequent Service Contact")</f>
        <v>Normal Service Contact</v>
      </c>
      <c r="I232" s="1" t="str" cm="1">
        <f t="array" ref="I232">_xlfn.SWITCH(Raw_Data!D232,"Yes","International Customer","No","Domestic Plan","Unknown")</f>
        <v>Domestic Plan</v>
      </c>
      <c r="J232" s="1" t="str">
        <f>IF(ISERROR(Raw_Data!G232/0),"Error","Valid")</f>
        <v>Error</v>
      </c>
      <c r="K232" s="1" t="str">
        <f>IF(ISBLANK(Raw_Data!A232),"Missing","Available")</f>
        <v>Available</v>
      </c>
      <c r="L232" s="5" t="str">
        <f>IF(ISNUMBER(Raw_Data!G232),"Numeric","Not Numeric")</f>
        <v>Numeric</v>
      </c>
    </row>
    <row r="233" spans="1:12" x14ac:dyDescent="0.25">
      <c r="A233" s="4" t="str">
        <f>Raw_Data!A233</f>
        <v>AL</v>
      </c>
      <c r="B233" s="1" t="b">
        <f>Raw_Data!T233</f>
        <v>0</v>
      </c>
      <c r="C233" s="1" t="str">
        <f t="shared" si="3"/>
        <v>Retained</v>
      </c>
      <c r="D233" s="1" t="str">
        <f>IF(Raw_Data!S233=0,"Low Contact",IF(Raw_Data!S233&lt;=2,"Normal Contact","High Contact"))</f>
        <v>High Contact</v>
      </c>
      <c r="E233" s="1" t="str">
        <f>IF(AND(Raw_Data!G233&gt;200,Raw_Data!H233&gt;100),"High Usage","Normal Usage")</f>
        <v>Normal Usage</v>
      </c>
      <c r="F233" s="1" t="str" cm="1">
        <f t="array" ref="F233">_xlfn.IFS(B233=TRUE,"High Risk",AND(Raw_Data!S233&gt;=3,Raw_Data!G233&gt;200),"High Risk",Raw_Data!S233&gt;=2,"Medium Risk",TRUE,"Low Risk")</f>
        <v>High Risk</v>
      </c>
      <c r="G233" s="1" t="str">
        <f>IF(OR(Raw_Data!D233="Yes",Raw_Data!E233="Yes"),"Has Plan","No Special Plan")</f>
        <v>No Special Plan</v>
      </c>
      <c r="H233" s="1" t="str">
        <f>IF(NOT(Raw_Data!S233&gt;=3),"Normal Service Contact","Frequent Service Contact")</f>
        <v>Frequent Service Contact</v>
      </c>
      <c r="I233" s="1" t="str" cm="1">
        <f t="array" ref="I233">_xlfn.SWITCH(Raw_Data!D233,"Yes","International Customer","No","Domestic Plan","Unknown")</f>
        <v>Domestic Plan</v>
      </c>
      <c r="J233" s="1" t="str">
        <f>IF(ISERROR(Raw_Data!G233/0),"Error","Valid")</f>
        <v>Error</v>
      </c>
      <c r="K233" s="1" t="str">
        <f>IF(ISBLANK(Raw_Data!A233),"Missing","Available")</f>
        <v>Available</v>
      </c>
      <c r="L233" s="5" t="str">
        <f>IF(ISNUMBER(Raw_Data!G233),"Numeric","Not Numeric")</f>
        <v>Numeric</v>
      </c>
    </row>
    <row r="234" spans="1:12" x14ac:dyDescent="0.25">
      <c r="A234" s="4" t="str">
        <f>Raw_Data!A234</f>
        <v>DE</v>
      </c>
      <c r="B234" s="1" t="b">
        <f>Raw_Data!T234</f>
        <v>0</v>
      </c>
      <c r="C234" s="1" t="str">
        <f t="shared" si="3"/>
        <v>Retained</v>
      </c>
      <c r="D234" s="1" t="str">
        <f>IF(Raw_Data!S234=0,"Low Contact",IF(Raw_Data!S234&lt;=2,"Normal Contact","High Contact"))</f>
        <v>High Contact</v>
      </c>
      <c r="E234" s="1" t="str">
        <f>IF(AND(Raw_Data!G234&gt;200,Raw_Data!H234&gt;100),"High Usage","Normal Usage")</f>
        <v>Normal Usage</v>
      </c>
      <c r="F234" s="1" t="str" cm="1">
        <f t="array" ref="F234">_xlfn.IFS(B234=TRUE,"High Risk",AND(Raw_Data!S234&gt;=3,Raw_Data!G234&gt;200),"High Risk",Raw_Data!S234&gt;=2,"Medium Risk",TRUE,"Low Risk")</f>
        <v>Medium Risk</v>
      </c>
      <c r="G234" s="1" t="str">
        <f>IF(OR(Raw_Data!D234="Yes",Raw_Data!E234="Yes"),"Has Plan","No Special Plan")</f>
        <v>Has Plan</v>
      </c>
      <c r="H234" s="1" t="str">
        <f>IF(NOT(Raw_Data!S234&gt;=3),"Normal Service Contact","Frequent Service Contact")</f>
        <v>Frequent Service Contact</v>
      </c>
      <c r="I234" s="1" t="str" cm="1">
        <f t="array" ref="I234">_xlfn.SWITCH(Raw_Data!D234,"Yes","International Customer","No","Domestic Plan","Unknown")</f>
        <v>Domestic Plan</v>
      </c>
      <c r="J234" s="1" t="str">
        <f>IF(ISERROR(Raw_Data!G234/0),"Error","Valid")</f>
        <v>Error</v>
      </c>
      <c r="K234" s="1" t="str">
        <f>IF(ISBLANK(Raw_Data!A234),"Missing","Available")</f>
        <v>Available</v>
      </c>
      <c r="L234" s="5" t="str">
        <f>IF(ISNUMBER(Raw_Data!G234),"Numeric","Not Numeric")</f>
        <v>Numeric</v>
      </c>
    </row>
    <row r="235" spans="1:12" x14ac:dyDescent="0.25">
      <c r="A235" s="4" t="str">
        <f>Raw_Data!A235</f>
        <v>ID</v>
      </c>
      <c r="B235" s="1" t="b">
        <f>Raw_Data!T235</f>
        <v>0</v>
      </c>
      <c r="C235" s="1" t="str">
        <f t="shared" si="3"/>
        <v>Retained</v>
      </c>
      <c r="D235" s="1" t="str">
        <f>IF(Raw_Data!S235=0,"Low Contact",IF(Raw_Data!S235&lt;=2,"Normal Contact","High Contact"))</f>
        <v>Low Contact</v>
      </c>
      <c r="E235" s="1" t="str">
        <f>IF(AND(Raw_Data!G235&gt;200,Raw_Data!H235&gt;100),"High Usage","Normal Usage")</f>
        <v>Normal Usage</v>
      </c>
      <c r="F235" s="1" t="str" cm="1">
        <f t="array" ref="F235">_xlfn.IFS(B235=TRUE,"High Risk",AND(Raw_Data!S235&gt;=3,Raw_Data!G235&gt;200),"High Risk",Raw_Data!S235&gt;=2,"Medium Risk",TRUE,"Low Risk")</f>
        <v>Low Risk</v>
      </c>
      <c r="G235" s="1" t="str">
        <f>IF(OR(Raw_Data!D235="Yes",Raw_Data!E235="Yes"),"Has Plan","No Special Plan")</f>
        <v>No Special Plan</v>
      </c>
      <c r="H235" s="1" t="str">
        <f>IF(NOT(Raw_Data!S235&gt;=3),"Normal Service Contact","Frequent Service Contact")</f>
        <v>Normal Service Contact</v>
      </c>
      <c r="I235" s="1" t="str" cm="1">
        <f t="array" ref="I235">_xlfn.SWITCH(Raw_Data!D235,"Yes","International Customer","No","Domestic Plan","Unknown")</f>
        <v>Domestic Plan</v>
      </c>
      <c r="J235" s="1" t="str">
        <f>IF(ISERROR(Raw_Data!G235/0),"Error","Valid")</f>
        <v>Error</v>
      </c>
      <c r="K235" s="1" t="str">
        <f>IF(ISBLANK(Raw_Data!A235),"Missing","Available")</f>
        <v>Available</v>
      </c>
      <c r="L235" s="5" t="str">
        <f>IF(ISNUMBER(Raw_Data!G235),"Numeric","Not Numeric")</f>
        <v>Numeric</v>
      </c>
    </row>
    <row r="236" spans="1:12" x14ac:dyDescent="0.25">
      <c r="A236" s="4" t="str">
        <f>Raw_Data!A236</f>
        <v>MO</v>
      </c>
      <c r="B236" s="1" t="b">
        <f>Raw_Data!T236</f>
        <v>0</v>
      </c>
      <c r="C236" s="1" t="str">
        <f t="shared" si="3"/>
        <v>Retained</v>
      </c>
      <c r="D236" s="1" t="str">
        <f>IF(Raw_Data!S236=0,"Low Contact",IF(Raw_Data!S236&lt;=2,"Normal Contact","High Contact"))</f>
        <v>Low Contact</v>
      </c>
      <c r="E236" s="1" t="str">
        <f>IF(AND(Raw_Data!G236&gt;200,Raw_Data!H236&gt;100),"High Usage","Normal Usage")</f>
        <v>Normal Usage</v>
      </c>
      <c r="F236" s="1" t="str" cm="1">
        <f t="array" ref="F236">_xlfn.IFS(B236=TRUE,"High Risk",AND(Raw_Data!S236&gt;=3,Raw_Data!G236&gt;200),"High Risk",Raw_Data!S236&gt;=2,"Medium Risk",TRUE,"Low Risk")</f>
        <v>Low Risk</v>
      </c>
      <c r="G236" s="1" t="str">
        <f>IF(OR(Raw_Data!D236="Yes",Raw_Data!E236="Yes"),"Has Plan","No Special Plan")</f>
        <v>No Special Plan</v>
      </c>
      <c r="H236" s="1" t="str">
        <f>IF(NOT(Raw_Data!S236&gt;=3),"Normal Service Contact","Frequent Service Contact")</f>
        <v>Normal Service Contact</v>
      </c>
      <c r="I236" s="1" t="str" cm="1">
        <f t="array" ref="I236">_xlfn.SWITCH(Raw_Data!D236,"Yes","International Customer","No","Domestic Plan","Unknown")</f>
        <v>Domestic Plan</v>
      </c>
      <c r="J236" s="1" t="str">
        <f>IF(ISERROR(Raw_Data!G236/0),"Error","Valid")</f>
        <v>Error</v>
      </c>
      <c r="K236" s="1" t="str">
        <f>IF(ISBLANK(Raw_Data!A236),"Missing","Available")</f>
        <v>Available</v>
      </c>
      <c r="L236" s="5" t="str">
        <f>IF(ISNUMBER(Raw_Data!G236),"Numeric","Not Numeric")</f>
        <v>Numeric</v>
      </c>
    </row>
    <row r="237" spans="1:12" x14ac:dyDescent="0.25">
      <c r="A237" s="4" t="str">
        <f>Raw_Data!A237</f>
        <v>IL</v>
      </c>
      <c r="B237" s="1" t="b">
        <f>Raw_Data!T237</f>
        <v>0</v>
      </c>
      <c r="C237" s="1" t="str">
        <f t="shared" si="3"/>
        <v>Retained</v>
      </c>
      <c r="D237" s="1" t="str">
        <f>IF(Raw_Data!S237=0,"Low Contact",IF(Raw_Data!S237&lt;=2,"Normal Contact","High Contact"))</f>
        <v>High Contact</v>
      </c>
      <c r="E237" s="1" t="str">
        <f>IF(AND(Raw_Data!G237&gt;200,Raw_Data!H237&gt;100),"High Usage","Normal Usage")</f>
        <v>Normal Usage</v>
      </c>
      <c r="F237" s="1" t="str" cm="1">
        <f t="array" ref="F237">_xlfn.IFS(B237=TRUE,"High Risk",AND(Raw_Data!S237&gt;=3,Raw_Data!G237&gt;200),"High Risk",Raw_Data!S237&gt;=2,"Medium Risk",TRUE,"Low Risk")</f>
        <v>Medium Risk</v>
      </c>
      <c r="G237" s="1" t="str">
        <f>IF(OR(Raw_Data!D237="Yes",Raw_Data!E237="Yes"),"Has Plan","No Special Plan")</f>
        <v>No Special Plan</v>
      </c>
      <c r="H237" s="1" t="str">
        <f>IF(NOT(Raw_Data!S237&gt;=3),"Normal Service Contact","Frequent Service Contact")</f>
        <v>Frequent Service Contact</v>
      </c>
      <c r="I237" s="1" t="str" cm="1">
        <f t="array" ref="I237">_xlfn.SWITCH(Raw_Data!D237,"Yes","International Customer","No","Domestic Plan","Unknown")</f>
        <v>Domestic Plan</v>
      </c>
      <c r="J237" s="1" t="str">
        <f>IF(ISERROR(Raw_Data!G237/0),"Error","Valid")</f>
        <v>Error</v>
      </c>
      <c r="K237" s="1" t="str">
        <f>IF(ISBLANK(Raw_Data!A237),"Missing","Available")</f>
        <v>Available</v>
      </c>
      <c r="L237" s="5" t="str">
        <f>IF(ISNUMBER(Raw_Data!G237),"Numeric","Not Numeric")</f>
        <v>Numeric</v>
      </c>
    </row>
    <row r="238" spans="1:12" x14ac:dyDescent="0.25">
      <c r="A238" s="4" t="str">
        <f>Raw_Data!A238</f>
        <v>FL</v>
      </c>
      <c r="B238" s="1" t="b">
        <f>Raw_Data!T238</f>
        <v>0</v>
      </c>
      <c r="C238" s="1" t="str">
        <f t="shared" si="3"/>
        <v>Retained</v>
      </c>
      <c r="D238" s="1" t="str">
        <f>IF(Raw_Data!S238=0,"Low Contact",IF(Raw_Data!S238&lt;=2,"Normal Contact","High Contact"))</f>
        <v>Normal Contact</v>
      </c>
      <c r="E238" s="1" t="str">
        <f>IF(AND(Raw_Data!G238&gt;200,Raw_Data!H238&gt;100),"High Usage","Normal Usage")</f>
        <v>Normal Usage</v>
      </c>
      <c r="F238" s="1" t="str" cm="1">
        <f t="array" ref="F238">_xlfn.IFS(B238=TRUE,"High Risk",AND(Raw_Data!S238&gt;=3,Raw_Data!G238&gt;200),"High Risk",Raw_Data!S238&gt;=2,"Medium Risk",TRUE,"Low Risk")</f>
        <v>Low Risk</v>
      </c>
      <c r="G238" s="1" t="str">
        <f>IF(OR(Raw_Data!D238="Yes",Raw_Data!E238="Yes"),"Has Plan","No Special Plan")</f>
        <v>Has Plan</v>
      </c>
      <c r="H238" s="1" t="str">
        <f>IF(NOT(Raw_Data!S238&gt;=3),"Normal Service Contact","Frequent Service Contact")</f>
        <v>Normal Service Contact</v>
      </c>
      <c r="I238" s="1" t="str" cm="1">
        <f t="array" ref="I238">_xlfn.SWITCH(Raw_Data!D238,"Yes","International Customer","No","Domestic Plan","Unknown")</f>
        <v>International Customer</v>
      </c>
      <c r="J238" s="1" t="str">
        <f>IF(ISERROR(Raw_Data!G238/0),"Error","Valid")</f>
        <v>Error</v>
      </c>
      <c r="K238" s="1" t="str">
        <f>IF(ISBLANK(Raw_Data!A238),"Missing","Available")</f>
        <v>Available</v>
      </c>
      <c r="L238" s="5" t="str">
        <f>IF(ISNUMBER(Raw_Data!G238),"Numeric","Not Numeric")</f>
        <v>Numeric</v>
      </c>
    </row>
    <row r="239" spans="1:12" x14ac:dyDescent="0.25">
      <c r="A239" s="4" t="str">
        <f>Raw_Data!A239</f>
        <v>KY</v>
      </c>
      <c r="B239" s="1" t="b">
        <f>Raw_Data!T239</f>
        <v>0</v>
      </c>
      <c r="C239" s="1" t="str">
        <f t="shared" si="3"/>
        <v>Retained</v>
      </c>
      <c r="D239" s="1" t="str">
        <f>IF(Raw_Data!S239=0,"Low Contact",IF(Raw_Data!S239&lt;=2,"Normal Contact","High Contact"))</f>
        <v>Normal Contact</v>
      </c>
      <c r="E239" s="1" t="str">
        <f>IF(AND(Raw_Data!G239&gt;200,Raw_Data!H239&gt;100),"High Usage","Normal Usage")</f>
        <v>Normal Usage</v>
      </c>
      <c r="F239" s="1" t="str" cm="1">
        <f t="array" ref="F239">_xlfn.IFS(B239=TRUE,"High Risk",AND(Raw_Data!S239&gt;=3,Raw_Data!G239&gt;200),"High Risk",Raw_Data!S239&gt;=2,"Medium Risk",TRUE,"Low Risk")</f>
        <v>Low Risk</v>
      </c>
      <c r="G239" s="1" t="str">
        <f>IF(OR(Raw_Data!D239="Yes",Raw_Data!E239="Yes"),"Has Plan","No Special Plan")</f>
        <v>No Special Plan</v>
      </c>
      <c r="H239" s="1" t="str">
        <f>IF(NOT(Raw_Data!S239&gt;=3),"Normal Service Contact","Frequent Service Contact")</f>
        <v>Normal Service Contact</v>
      </c>
      <c r="I239" s="1" t="str" cm="1">
        <f t="array" ref="I239">_xlfn.SWITCH(Raw_Data!D239,"Yes","International Customer","No","Domestic Plan","Unknown")</f>
        <v>Domestic Plan</v>
      </c>
      <c r="J239" s="1" t="str">
        <f>IF(ISERROR(Raw_Data!G239/0),"Error","Valid")</f>
        <v>Error</v>
      </c>
      <c r="K239" s="1" t="str">
        <f>IF(ISBLANK(Raw_Data!A239),"Missing","Available")</f>
        <v>Available</v>
      </c>
      <c r="L239" s="5" t="str">
        <f>IF(ISNUMBER(Raw_Data!G239),"Numeric","Not Numeric")</f>
        <v>Numeric</v>
      </c>
    </row>
    <row r="240" spans="1:12" x14ac:dyDescent="0.25">
      <c r="A240" s="4" t="str">
        <f>Raw_Data!A240</f>
        <v>MI</v>
      </c>
      <c r="B240" s="1" t="b">
        <f>Raw_Data!T240</f>
        <v>1</v>
      </c>
      <c r="C240" s="1" t="str">
        <f t="shared" si="3"/>
        <v>Churned</v>
      </c>
      <c r="D240" s="1" t="str">
        <f>IF(Raw_Data!S240=0,"Low Contact",IF(Raw_Data!S240&lt;=2,"Normal Contact","High Contact"))</f>
        <v>High Contact</v>
      </c>
      <c r="E240" s="1" t="str">
        <f>IF(AND(Raw_Data!G240&gt;200,Raw_Data!H240&gt;100),"High Usage","Normal Usage")</f>
        <v>Normal Usage</v>
      </c>
      <c r="F240" s="1" t="str" cm="1">
        <f t="array" ref="F240">_xlfn.IFS(B240=TRUE,"High Risk",AND(Raw_Data!S240&gt;=3,Raw_Data!G240&gt;200),"High Risk",Raw_Data!S240&gt;=2,"Medium Risk",TRUE,"Low Risk")</f>
        <v>High Risk</v>
      </c>
      <c r="G240" s="1" t="str">
        <f>IF(OR(Raw_Data!D240="Yes",Raw_Data!E240="Yes"),"Has Plan","No Special Plan")</f>
        <v>No Special Plan</v>
      </c>
      <c r="H240" s="1" t="str">
        <f>IF(NOT(Raw_Data!S240&gt;=3),"Normal Service Contact","Frequent Service Contact")</f>
        <v>Frequent Service Contact</v>
      </c>
      <c r="I240" s="1" t="str" cm="1">
        <f t="array" ref="I240">_xlfn.SWITCH(Raw_Data!D240,"Yes","International Customer","No","Domestic Plan","Unknown")</f>
        <v>Domestic Plan</v>
      </c>
      <c r="J240" s="1" t="str">
        <f>IF(ISERROR(Raw_Data!G240/0),"Error","Valid")</f>
        <v>Error</v>
      </c>
      <c r="K240" s="1" t="str">
        <f>IF(ISBLANK(Raw_Data!A240),"Missing","Available")</f>
        <v>Available</v>
      </c>
      <c r="L240" s="5" t="str">
        <f>IF(ISNUMBER(Raw_Data!G240),"Numeric","Not Numeric")</f>
        <v>Numeric</v>
      </c>
    </row>
    <row r="241" spans="1:12" x14ac:dyDescent="0.25">
      <c r="A241" s="4" t="str">
        <f>Raw_Data!A241</f>
        <v>NY</v>
      </c>
      <c r="B241" s="1" t="b">
        <f>Raw_Data!T241</f>
        <v>0</v>
      </c>
      <c r="C241" s="1" t="str">
        <f t="shared" si="3"/>
        <v>Retained</v>
      </c>
      <c r="D241" s="1" t="str">
        <f>IF(Raw_Data!S241=0,"Low Contact",IF(Raw_Data!S241&lt;=2,"Normal Contact","High Contact"))</f>
        <v>Normal Contact</v>
      </c>
      <c r="E241" s="1" t="str">
        <f>IF(AND(Raw_Data!G241&gt;200,Raw_Data!H241&gt;100),"High Usage","Normal Usage")</f>
        <v>Normal Usage</v>
      </c>
      <c r="F241" s="1" t="str" cm="1">
        <f t="array" ref="F241">_xlfn.IFS(B241=TRUE,"High Risk",AND(Raw_Data!S241&gt;=3,Raw_Data!G241&gt;200),"High Risk",Raw_Data!S241&gt;=2,"Medium Risk",TRUE,"Low Risk")</f>
        <v>Low Risk</v>
      </c>
      <c r="G241" s="1" t="str">
        <f>IF(OR(Raw_Data!D241="Yes",Raw_Data!E241="Yes"),"Has Plan","No Special Plan")</f>
        <v>No Special Plan</v>
      </c>
      <c r="H241" s="1" t="str">
        <f>IF(NOT(Raw_Data!S241&gt;=3),"Normal Service Contact","Frequent Service Contact")</f>
        <v>Normal Service Contact</v>
      </c>
      <c r="I241" s="1" t="str" cm="1">
        <f t="array" ref="I241">_xlfn.SWITCH(Raw_Data!D241,"Yes","International Customer","No","Domestic Plan","Unknown")</f>
        <v>Domestic Plan</v>
      </c>
      <c r="J241" s="1" t="str">
        <f>IF(ISERROR(Raw_Data!G241/0),"Error","Valid")</f>
        <v>Error</v>
      </c>
      <c r="K241" s="1" t="str">
        <f>IF(ISBLANK(Raw_Data!A241),"Missing","Available")</f>
        <v>Available</v>
      </c>
      <c r="L241" s="5" t="str">
        <f>IF(ISNUMBER(Raw_Data!G241),"Numeric","Not Numeric")</f>
        <v>Numeric</v>
      </c>
    </row>
    <row r="242" spans="1:12" x14ac:dyDescent="0.25">
      <c r="A242" s="4" t="str">
        <f>Raw_Data!A242</f>
        <v>KS</v>
      </c>
      <c r="B242" s="1" t="b">
        <f>Raw_Data!T242</f>
        <v>0</v>
      </c>
      <c r="C242" s="1" t="str">
        <f t="shared" si="3"/>
        <v>Retained</v>
      </c>
      <c r="D242" s="1" t="str">
        <f>IF(Raw_Data!S242=0,"Low Contact",IF(Raw_Data!S242&lt;=2,"Normal Contact","High Contact"))</f>
        <v>Low Contact</v>
      </c>
      <c r="E242" s="1" t="str">
        <f>IF(AND(Raw_Data!G242&gt;200,Raw_Data!H242&gt;100),"High Usage","Normal Usage")</f>
        <v>Normal Usage</v>
      </c>
      <c r="F242" s="1" t="str" cm="1">
        <f t="array" ref="F242">_xlfn.IFS(B242=TRUE,"High Risk",AND(Raw_Data!S242&gt;=3,Raw_Data!G242&gt;200),"High Risk",Raw_Data!S242&gt;=2,"Medium Risk",TRUE,"Low Risk")</f>
        <v>Low Risk</v>
      </c>
      <c r="G242" s="1" t="str">
        <f>IF(OR(Raw_Data!D242="Yes",Raw_Data!E242="Yes"),"Has Plan","No Special Plan")</f>
        <v>Has Plan</v>
      </c>
      <c r="H242" s="1" t="str">
        <f>IF(NOT(Raw_Data!S242&gt;=3),"Normal Service Contact","Frequent Service Contact")</f>
        <v>Normal Service Contact</v>
      </c>
      <c r="I242" s="1" t="str" cm="1">
        <f t="array" ref="I242">_xlfn.SWITCH(Raw_Data!D242,"Yes","International Customer","No","Domestic Plan","Unknown")</f>
        <v>Domestic Plan</v>
      </c>
      <c r="J242" s="1" t="str">
        <f>IF(ISERROR(Raw_Data!G242/0),"Error","Valid")</f>
        <v>Error</v>
      </c>
      <c r="K242" s="1" t="str">
        <f>IF(ISBLANK(Raw_Data!A242),"Missing","Available")</f>
        <v>Available</v>
      </c>
      <c r="L242" s="5" t="str">
        <f>IF(ISNUMBER(Raw_Data!G242),"Numeric","Not Numeric")</f>
        <v>Numeric</v>
      </c>
    </row>
    <row r="243" spans="1:12" x14ac:dyDescent="0.25">
      <c r="A243" s="4" t="str">
        <f>Raw_Data!A243</f>
        <v>PA</v>
      </c>
      <c r="B243" s="1" t="b">
        <f>Raw_Data!T243</f>
        <v>0</v>
      </c>
      <c r="C243" s="1" t="str">
        <f t="shared" si="3"/>
        <v>Retained</v>
      </c>
      <c r="D243" s="1" t="str">
        <f>IF(Raw_Data!S243=0,"Low Contact",IF(Raw_Data!S243&lt;=2,"Normal Contact","High Contact"))</f>
        <v>Normal Contact</v>
      </c>
      <c r="E243" s="1" t="str">
        <f>IF(AND(Raw_Data!G243&gt;200,Raw_Data!H243&gt;100),"High Usage","Normal Usage")</f>
        <v>Normal Usage</v>
      </c>
      <c r="F243" s="1" t="str" cm="1">
        <f t="array" ref="F243">_xlfn.IFS(B243=TRUE,"High Risk",AND(Raw_Data!S243&gt;=3,Raw_Data!G243&gt;200),"High Risk",Raw_Data!S243&gt;=2,"Medium Risk",TRUE,"Low Risk")</f>
        <v>Low Risk</v>
      </c>
      <c r="G243" s="1" t="str">
        <f>IF(OR(Raw_Data!D243="Yes",Raw_Data!E243="Yes"),"Has Plan","No Special Plan")</f>
        <v>No Special Plan</v>
      </c>
      <c r="H243" s="1" t="str">
        <f>IF(NOT(Raw_Data!S243&gt;=3),"Normal Service Contact","Frequent Service Contact")</f>
        <v>Normal Service Contact</v>
      </c>
      <c r="I243" s="1" t="str" cm="1">
        <f t="array" ref="I243">_xlfn.SWITCH(Raw_Data!D243,"Yes","International Customer","No","Domestic Plan","Unknown")</f>
        <v>Domestic Plan</v>
      </c>
      <c r="J243" s="1" t="str">
        <f>IF(ISERROR(Raw_Data!G243/0),"Error","Valid")</f>
        <v>Error</v>
      </c>
      <c r="K243" s="1" t="str">
        <f>IF(ISBLANK(Raw_Data!A243),"Missing","Available")</f>
        <v>Available</v>
      </c>
      <c r="L243" s="5" t="str">
        <f>IF(ISNUMBER(Raw_Data!G243),"Numeric","Not Numeric")</f>
        <v>Numeric</v>
      </c>
    </row>
    <row r="244" spans="1:12" x14ac:dyDescent="0.25">
      <c r="A244" s="4" t="str">
        <f>Raw_Data!A244</f>
        <v>MI</v>
      </c>
      <c r="B244" s="1" t="b">
        <f>Raw_Data!T244</f>
        <v>0</v>
      </c>
      <c r="C244" s="1" t="str">
        <f t="shared" si="3"/>
        <v>Retained</v>
      </c>
      <c r="D244" s="1" t="str">
        <f>IF(Raw_Data!S244=0,"Low Contact",IF(Raw_Data!S244&lt;=2,"Normal Contact","High Contact"))</f>
        <v>Low Contact</v>
      </c>
      <c r="E244" s="1" t="str">
        <f>IF(AND(Raw_Data!G244&gt;200,Raw_Data!H244&gt;100),"High Usage","Normal Usage")</f>
        <v>Normal Usage</v>
      </c>
      <c r="F244" s="1" t="str" cm="1">
        <f t="array" ref="F244">_xlfn.IFS(B244=TRUE,"High Risk",AND(Raw_Data!S244&gt;=3,Raw_Data!G244&gt;200),"High Risk",Raw_Data!S244&gt;=2,"Medium Risk",TRUE,"Low Risk")</f>
        <v>Low Risk</v>
      </c>
      <c r="G244" s="1" t="str">
        <f>IF(OR(Raw_Data!D244="Yes",Raw_Data!E244="Yes"),"Has Plan","No Special Plan")</f>
        <v>Has Plan</v>
      </c>
      <c r="H244" s="1" t="str">
        <f>IF(NOT(Raw_Data!S244&gt;=3),"Normal Service Contact","Frequent Service Contact")</f>
        <v>Normal Service Contact</v>
      </c>
      <c r="I244" s="1" t="str" cm="1">
        <f t="array" ref="I244">_xlfn.SWITCH(Raw_Data!D244,"Yes","International Customer","No","Domestic Plan","Unknown")</f>
        <v>Domestic Plan</v>
      </c>
      <c r="J244" s="1" t="str">
        <f>IF(ISERROR(Raw_Data!G244/0),"Error","Valid")</f>
        <v>Error</v>
      </c>
      <c r="K244" s="1" t="str">
        <f>IF(ISBLANK(Raw_Data!A244),"Missing","Available")</f>
        <v>Available</v>
      </c>
      <c r="L244" s="5" t="str">
        <f>IF(ISNUMBER(Raw_Data!G244),"Numeric","Not Numeric")</f>
        <v>Numeric</v>
      </c>
    </row>
    <row r="245" spans="1:12" x14ac:dyDescent="0.25">
      <c r="A245" s="4" t="str">
        <f>Raw_Data!A245</f>
        <v>NH</v>
      </c>
      <c r="B245" s="1" t="b">
        <f>Raw_Data!T245</f>
        <v>0</v>
      </c>
      <c r="C245" s="1" t="str">
        <f t="shared" si="3"/>
        <v>Retained</v>
      </c>
      <c r="D245" s="1" t="str">
        <f>IF(Raw_Data!S245=0,"Low Contact",IF(Raw_Data!S245&lt;=2,"Normal Contact","High Contact"))</f>
        <v>Normal Contact</v>
      </c>
      <c r="E245" s="1" t="str">
        <f>IF(AND(Raw_Data!G245&gt;200,Raw_Data!H245&gt;100),"High Usage","Normal Usage")</f>
        <v>Normal Usage</v>
      </c>
      <c r="F245" s="1" t="str" cm="1">
        <f t="array" ref="F245">_xlfn.IFS(B245=TRUE,"High Risk",AND(Raw_Data!S245&gt;=3,Raw_Data!G245&gt;200),"High Risk",Raw_Data!S245&gt;=2,"Medium Risk",TRUE,"Low Risk")</f>
        <v>Medium Risk</v>
      </c>
      <c r="G245" s="1" t="str">
        <f>IF(OR(Raw_Data!D245="Yes",Raw_Data!E245="Yes"),"Has Plan","No Special Plan")</f>
        <v>No Special Plan</v>
      </c>
      <c r="H245" s="1" t="str">
        <f>IF(NOT(Raw_Data!S245&gt;=3),"Normal Service Contact","Frequent Service Contact")</f>
        <v>Normal Service Contact</v>
      </c>
      <c r="I245" s="1" t="str" cm="1">
        <f t="array" ref="I245">_xlfn.SWITCH(Raw_Data!D245,"Yes","International Customer","No","Domestic Plan","Unknown")</f>
        <v>Domestic Plan</v>
      </c>
      <c r="J245" s="1" t="str">
        <f>IF(ISERROR(Raw_Data!G245/0),"Error","Valid")</f>
        <v>Error</v>
      </c>
      <c r="K245" s="1" t="str">
        <f>IF(ISBLANK(Raw_Data!A245),"Missing","Available")</f>
        <v>Available</v>
      </c>
      <c r="L245" s="5" t="str">
        <f>IF(ISNUMBER(Raw_Data!G245),"Numeric","Not Numeric")</f>
        <v>Numeric</v>
      </c>
    </row>
    <row r="246" spans="1:12" x14ac:dyDescent="0.25">
      <c r="A246" s="4" t="str">
        <f>Raw_Data!A246</f>
        <v>WA</v>
      </c>
      <c r="B246" s="1" t="b">
        <f>Raw_Data!T246</f>
        <v>0</v>
      </c>
      <c r="C246" s="1" t="str">
        <f t="shared" si="3"/>
        <v>Retained</v>
      </c>
      <c r="D246" s="1" t="str">
        <f>IF(Raw_Data!S246=0,"Low Contact",IF(Raw_Data!S246&lt;=2,"Normal Contact","High Contact"))</f>
        <v>Normal Contact</v>
      </c>
      <c r="E246" s="1" t="str">
        <f>IF(AND(Raw_Data!G246&gt;200,Raw_Data!H246&gt;100),"High Usage","Normal Usage")</f>
        <v>Normal Usage</v>
      </c>
      <c r="F246" s="1" t="str" cm="1">
        <f t="array" ref="F246">_xlfn.IFS(B246=TRUE,"High Risk",AND(Raw_Data!S246&gt;=3,Raw_Data!G246&gt;200),"High Risk",Raw_Data!S246&gt;=2,"Medium Risk",TRUE,"Low Risk")</f>
        <v>Low Risk</v>
      </c>
      <c r="G246" s="1" t="str">
        <f>IF(OR(Raw_Data!D246="Yes",Raw_Data!E246="Yes"),"Has Plan","No Special Plan")</f>
        <v>No Special Plan</v>
      </c>
      <c r="H246" s="1" t="str">
        <f>IF(NOT(Raw_Data!S246&gt;=3),"Normal Service Contact","Frequent Service Contact")</f>
        <v>Normal Service Contact</v>
      </c>
      <c r="I246" s="1" t="str" cm="1">
        <f t="array" ref="I246">_xlfn.SWITCH(Raw_Data!D246,"Yes","International Customer","No","Domestic Plan","Unknown")</f>
        <v>Domestic Plan</v>
      </c>
      <c r="J246" s="1" t="str">
        <f>IF(ISERROR(Raw_Data!G246/0),"Error","Valid")</f>
        <v>Error</v>
      </c>
      <c r="K246" s="1" t="str">
        <f>IF(ISBLANK(Raw_Data!A246),"Missing","Available")</f>
        <v>Available</v>
      </c>
      <c r="L246" s="5" t="str">
        <f>IF(ISNUMBER(Raw_Data!G246),"Numeric","Not Numeric")</f>
        <v>Numeric</v>
      </c>
    </row>
    <row r="247" spans="1:12" x14ac:dyDescent="0.25">
      <c r="A247" s="4" t="str">
        <f>Raw_Data!A247</f>
        <v>NY</v>
      </c>
      <c r="B247" s="1" t="b">
        <f>Raw_Data!T247</f>
        <v>0</v>
      </c>
      <c r="C247" s="1" t="str">
        <f t="shared" si="3"/>
        <v>Retained</v>
      </c>
      <c r="D247" s="1" t="str">
        <f>IF(Raw_Data!S247=0,"Low Contact",IF(Raw_Data!S247&lt;=2,"Normal Contact","High Contact"))</f>
        <v>High Contact</v>
      </c>
      <c r="E247" s="1" t="str">
        <f>IF(AND(Raw_Data!G247&gt;200,Raw_Data!H247&gt;100),"High Usage","Normal Usage")</f>
        <v>Normal Usage</v>
      </c>
      <c r="F247" s="1" t="str" cm="1">
        <f t="array" ref="F247">_xlfn.IFS(B247=TRUE,"High Risk",AND(Raw_Data!S247&gt;=3,Raw_Data!G247&gt;200),"High Risk",Raw_Data!S247&gt;=2,"Medium Risk",TRUE,"Low Risk")</f>
        <v>Medium Risk</v>
      </c>
      <c r="G247" s="1" t="str">
        <f>IF(OR(Raw_Data!D247="Yes",Raw_Data!E247="Yes"),"Has Plan","No Special Plan")</f>
        <v>No Special Plan</v>
      </c>
      <c r="H247" s="1" t="str">
        <f>IF(NOT(Raw_Data!S247&gt;=3),"Normal Service Contact","Frequent Service Contact")</f>
        <v>Frequent Service Contact</v>
      </c>
      <c r="I247" s="1" t="str" cm="1">
        <f t="array" ref="I247">_xlfn.SWITCH(Raw_Data!D247,"Yes","International Customer","No","Domestic Plan","Unknown")</f>
        <v>Domestic Plan</v>
      </c>
      <c r="J247" s="1" t="str">
        <f>IF(ISERROR(Raw_Data!G247/0),"Error","Valid")</f>
        <v>Error</v>
      </c>
      <c r="K247" s="1" t="str">
        <f>IF(ISBLANK(Raw_Data!A247),"Missing","Available")</f>
        <v>Available</v>
      </c>
      <c r="L247" s="5" t="str">
        <f>IF(ISNUMBER(Raw_Data!G247),"Numeric","Not Numeric")</f>
        <v>Numeric</v>
      </c>
    </row>
    <row r="248" spans="1:12" x14ac:dyDescent="0.25">
      <c r="A248" s="4" t="str">
        <f>Raw_Data!A248</f>
        <v>MD</v>
      </c>
      <c r="B248" s="1" t="b">
        <f>Raw_Data!T248</f>
        <v>0</v>
      </c>
      <c r="C248" s="1" t="str">
        <f t="shared" si="3"/>
        <v>Retained</v>
      </c>
      <c r="D248" s="1" t="str">
        <f>IF(Raw_Data!S248=0,"Low Contact",IF(Raw_Data!S248&lt;=2,"Normal Contact","High Contact"))</f>
        <v>Normal Contact</v>
      </c>
      <c r="E248" s="1" t="str">
        <f>IF(AND(Raw_Data!G248&gt;200,Raw_Data!H248&gt;100),"High Usage","Normal Usage")</f>
        <v>Normal Usage</v>
      </c>
      <c r="F248" s="1" t="str" cm="1">
        <f t="array" ref="F248">_xlfn.IFS(B248=TRUE,"High Risk",AND(Raw_Data!S248&gt;=3,Raw_Data!G248&gt;200),"High Risk",Raw_Data!S248&gt;=2,"Medium Risk",TRUE,"Low Risk")</f>
        <v>Medium Risk</v>
      </c>
      <c r="G248" s="1" t="str">
        <f>IF(OR(Raw_Data!D248="Yes",Raw_Data!E248="Yes"),"Has Plan","No Special Plan")</f>
        <v>Has Plan</v>
      </c>
      <c r="H248" s="1" t="str">
        <f>IF(NOT(Raw_Data!S248&gt;=3),"Normal Service Contact","Frequent Service Contact")</f>
        <v>Normal Service Contact</v>
      </c>
      <c r="I248" s="1" t="str" cm="1">
        <f t="array" ref="I248">_xlfn.SWITCH(Raw_Data!D248,"Yes","International Customer","No","Domestic Plan","Unknown")</f>
        <v>International Customer</v>
      </c>
      <c r="J248" s="1" t="str">
        <f>IF(ISERROR(Raw_Data!G248/0),"Error","Valid")</f>
        <v>Error</v>
      </c>
      <c r="K248" s="1" t="str">
        <f>IF(ISBLANK(Raw_Data!A248),"Missing","Available")</f>
        <v>Available</v>
      </c>
      <c r="L248" s="5" t="str">
        <f>IF(ISNUMBER(Raw_Data!G248),"Numeric","Not Numeric")</f>
        <v>Numeric</v>
      </c>
    </row>
    <row r="249" spans="1:12" x14ac:dyDescent="0.25">
      <c r="A249" s="4" t="str">
        <f>Raw_Data!A249</f>
        <v>KS</v>
      </c>
      <c r="B249" s="1" t="b">
        <f>Raw_Data!T249</f>
        <v>0</v>
      </c>
      <c r="C249" s="1" t="str">
        <f t="shared" si="3"/>
        <v>Retained</v>
      </c>
      <c r="D249" s="1" t="str">
        <f>IF(Raw_Data!S249=0,"Low Contact",IF(Raw_Data!S249&lt;=2,"Normal Contact","High Contact"))</f>
        <v>Low Contact</v>
      </c>
      <c r="E249" s="1" t="str">
        <f>IF(AND(Raw_Data!G249&gt;200,Raw_Data!H249&gt;100),"High Usage","Normal Usage")</f>
        <v>Normal Usage</v>
      </c>
      <c r="F249" s="1" t="str" cm="1">
        <f t="array" ref="F249">_xlfn.IFS(B249=TRUE,"High Risk",AND(Raw_Data!S249&gt;=3,Raw_Data!G249&gt;200),"High Risk",Raw_Data!S249&gt;=2,"Medium Risk",TRUE,"Low Risk")</f>
        <v>Low Risk</v>
      </c>
      <c r="G249" s="1" t="str">
        <f>IF(OR(Raw_Data!D249="Yes",Raw_Data!E249="Yes"),"Has Plan","No Special Plan")</f>
        <v>No Special Plan</v>
      </c>
      <c r="H249" s="1" t="str">
        <f>IF(NOT(Raw_Data!S249&gt;=3),"Normal Service Contact","Frequent Service Contact")</f>
        <v>Normal Service Contact</v>
      </c>
      <c r="I249" s="1" t="str" cm="1">
        <f t="array" ref="I249">_xlfn.SWITCH(Raw_Data!D249,"Yes","International Customer","No","Domestic Plan","Unknown")</f>
        <v>Domestic Plan</v>
      </c>
      <c r="J249" s="1" t="str">
        <f>IF(ISERROR(Raw_Data!G249/0),"Error","Valid")</f>
        <v>Error</v>
      </c>
      <c r="K249" s="1" t="str">
        <f>IF(ISBLANK(Raw_Data!A249),"Missing","Available")</f>
        <v>Available</v>
      </c>
      <c r="L249" s="5" t="str">
        <f>IF(ISNUMBER(Raw_Data!G249),"Numeric","Not Numeric")</f>
        <v>Numeric</v>
      </c>
    </row>
    <row r="250" spans="1:12" x14ac:dyDescent="0.25">
      <c r="A250" s="4" t="str">
        <f>Raw_Data!A250</f>
        <v>DE</v>
      </c>
      <c r="B250" s="1" t="b">
        <f>Raw_Data!T250</f>
        <v>0</v>
      </c>
      <c r="C250" s="1" t="str">
        <f t="shared" si="3"/>
        <v>Retained</v>
      </c>
      <c r="D250" s="1" t="str">
        <f>IF(Raw_Data!S250=0,"Low Contact",IF(Raw_Data!S250&lt;=2,"Normal Contact","High Contact"))</f>
        <v>Normal Contact</v>
      </c>
      <c r="E250" s="1" t="str">
        <f>IF(AND(Raw_Data!G250&gt;200,Raw_Data!H250&gt;100),"High Usage","Normal Usage")</f>
        <v>Normal Usage</v>
      </c>
      <c r="F250" s="1" t="str" cm="1">
        <f t="array" ref="F250">_xlfn.IFS(B250=TRUE,"High Risk",AND(Raw_Data!S250&gt;=3,Raw_Data!G250&gt;200),"High Risk",Raw_Data!S250&gt;=2,"Medium Risk",TRUE,"Low Risk")</f>
        <v>Low Risk</v>
      </c>
      <c r="G250" s="1" t="str">
        <f>IF(OR(Raw_Data!D250="Yes",Raw_Data!E250="Yes"),"Has Plan","No Special Plan")</f>
        <v>Has Plan</v>
      </c>
      <c r="H250" s="1" t="str">
        <f>IF(NOT(Raw_Data!S250&gt;=3),"Normal Service Contact","Frequent Service Contact")</f>
        <v>Normal Service Contact</v>
      </c>
      <c r="I250" s="1" t="str" cm="1">
        <f t="array" ref="I250">_xlfn.SWITCH(Raw_Data!D250,"Yes","International Customer","No","Domestic Plan","Unknown")</f>
        <v>International Customer</v>
      </c>
      <c r="J250" s="1" t="str">
        <f>IF(ISERROR(Raw_Data!G250/0),"Error","Valid")</f>
        <v>Error</v>
      </c>
      <c r="K250" s="1" t="str">
        <f>IF(ISBLANK(Raw_Data!A250),"Missing","Available")</f>
        <v>Available</v>
      </c>
      <c r="L250" s="5" t="str">
        <f>IF(ISNUMBER(Raw_Data!G250),"Numeric","Not Numeric")</f>
        <v>Numeric</v>
      </c>
    </row>
    <row r="251" spans="1:12" x14ac:dyDescent="0.25">
      <c r="A251" s="4" t="str">
        <f>Raw_Data!A251</f>
        <v>IN</v>
      </c>
      <c r="B251" s="1" t="b">
        <f>Raw_Data!T251</f>
        <v>0</v>
      </c>
      <c r="C251" s="1" t="str">
        <f t="shared" si="3"/>
        <v>Retained</v>
      </c>
      <c r="D251" s="1" t="str">
        <f>IF(Raw_Data!S251=0,"Low Contact",IF(Raw_Data!S251&lt;=2,"Normal Contact","High Contact"))</f>
        <v>Low Contact</v>
      </c>
      <c r="E251" s="1" t="str">
        <f>IF(AND(Raw_Data!G251&gt;200,Raw_Data!H251&gt;100),"High Usage","Normal Usage")</f>
        <v>Normal Usage</v>
      </c>
      <c r="F251" s="1" t="str" cm="1">
        <f t="array" ref="F251">_xlfn.IFS(B251=TRUE,"High Risk",AND(Raw_Data!S251&gt;=3,Raw_Data!G251&gt;200),"High Risk",Raw_Data!S251&gt;=2,"Medium Risk",TRUE,"Low Risk")</f>
        <v>Low Risk</v>
      </c>
      <c r="G251" s="1" t="str">
        <f>IF(OR(Raw_Data!D251="Yes",Raw_Data!E251="Yes"),"Has Plan","No Special Plan")</f>
        <v>No Special Plan</v>
      </c>
      <c r="H251" s="1" t="str">
        <f>IF(NOT(Raw_Data!S251&gt;=3),"Normal Service Contact","Frequent Service Contact")</f>
        <v>Normal Service Contact</v>
      </c>
      <c r="I251" s="1" t="str" cm="1">
        <f t="array" ref="I251">_xlfn.SWITCH(Raw_Data!D251,"Yes","International Customer","No","Domestic Plan","Unknown")</f>
        <v>Domestic Plan</v>
      </c>
      <c r="J251" s="1" t="str">
        <f>IF(ISERROR(Raw_Data!G251/0),"Error","Valid")</f>
        <v>Error</v>
      </c>
      <c r="K251" s="1" t="str">
        <f>IF(ISBLANK(Raw_Data!A251),"Missing","Available")</f>
        <v>Available</v>
      </c>
      <c r="L251" s="5" t="str">
        <f>IF(ISNUMBER(Raw_Data!G251),"Numeric","Not Numeric")</f>
        <v>Numeric</v>
      </c>
    </row>
    <row r="252" spans="1:12" x14ac:dyDescent="0.25">
      <c r="A252" s="4" t="str">
        <f>Raw_Data!A252</f>
        <v>VT</v>
      </c>
      <c r="B252" s="1" t="b">
        <f>Raw_Data!T252</f>
        <v>0</v>
      </c>
      <c r="C252" s="1" t="str">
        <f t="shared" si="3"/>
        <v>Retained</v>
      </c>
      <c r="D252" s="1" t="str">
        <f>IF(Raw_Data!S252=0,"Low Contact",IF(Raw_Data!S252&lt;=2,"Normal Contact","High Contact"))</f>
        <v>Normal Contact</v>
      </c>
      <c r="E252" s="1" t="str">
        <f>IF(AND(Raw_Data!G252&gt;200,Raw_Data!H252&gt;100),"High Usage","Normal Usage")</f>
        <v>High Usage</v>
      </c>
      <c r="F252" s="1" t="str" cm="1">
        <f t="array" ref="F252">_xlfn.IFS(B252=TRUE,"High Risk",AND(Raw_Data!S252&gt;=3,Raw_Data!G252&gt;200),"High Risk",Raw_Data!S252&gt;=2,"Medium Risk",TRUE,"Low Risk")</f>
        <v>Low Risk</v>
      </c>
      <c r="G252" s="1" t="str">
        <f>IF(OR(Raw_Data!D252="Yes",Raw_Data!E252="Yes"),"Has Plan","No Special Plan")</f>
        <v>No Special Plan</v>
      </c>
      <c r="H252" s="1" t="str">
        <f>IF(NOT(Raw_Data!S252&gt;=3),"Normal Service Contact","Frequent Service Contact")</f>
        <v>Normal Service Contact</v>
      </c>
      <c r="I252" s="1" t="str" cm="1">
        <f t="array" ref="I252">_xlfn.SWITCH(Raw_Data!D252,"Yes","International Customer","No","Domestic Plan","Unknown")</f>
        <v>Domestic Plan</v>
      </c>
      <c r="J252" s="1" t="str">
        <f>IF(ISERROR(Raw_Data!G252/0),"Error","Valid")</f>
        <v>Error</v>
      </c>
      <c r="K252" s="1" t="str">
        <f>IF(ISBLANK(Raw_Data!A252),"Missing","Available")</f>
        <v>Available</v>
      </c>
      <c r="L252" s="5" t="str">
        <f>IF(ISNUMBER(Raw_Data!G252),"Numeric","Not Numeric")</f>
        <v>Numeric</v>
      </c>
    </row>
    <row r="253" spans="1:12" x14ac:dyDescent="0.25">
      <c r="A253" s="4" t="str">
        <f>Raw_Data!A253</f>
        <v>WA</v>
      </c>
      <c r="B253" s="1" t="b">
        <f>Raw_Data!T253</f>
        <v>0</v>
      </c>
      <c r="C253" s="1" t="str">
        <f t="shared" si="3"/>
        <v>Retained</v>
      </c>
      <c r="D253" s="1" t="str">
        <f>IF(Raw_Data!S253=0,"Low Contact",IF(Raw_Data!S253&lt;=2,"Normal Contact","High Contact"))</f>
        <v>Normal Contact</v>
      </c>
      <c r="E253" s="1" t="str">
        <f>IF(AND(Raw_Data!G253&gt;200,Raw_Data!H253&gt;100),"High Usage","Normal Usage")</f>
        <v>Normal Usage</v>
      </c>
      <c r="F253" s="1" t="str" cm="1">
        <f t="array" ref="F253">_xlfn.IFS(B253=TRUE,"High Risk",AND(Raw_Data!S253&gt;=3,Raw_Data!G253&gt;200),"High Risk",Raw_Data!S253&gt;=2,"Medium Risk",TRUE,"Low Risk")</f>
        <v>Low Risk</v>
      </c>
      <c r="G253" s="1" t="str">
        <f>IF(OR(Raw_Data!D253="Yes",Raw_Data!E253="Yes"),"Has Plan","No Special Plan")</f>
        <v>No Special Plan</v>
      </c>
      <c r="H253" s="1" t="str">
        <f>IF(NOT(Raw_Data!S253&gt;=3),"Normal Service Contact","Frequent Service Contact")</f>
        <v>Normal Service Contact</v>
      </c>
      <c r="I253" s="1" t="str" cm="1">
        <f t="array" ref="I253">_xlfn.SWITCH(Raw_Data!D253,"Yes","International Customer","No","Domestic Plan","Unknown")</f>
        <v>Domestic Plan</v>
      </c>
      <c r="J253" s="1" t="str">
        <f>IF(ISERROR(Raw_Data!G253/0),"Error","Valid")</f>
        <v>Error</v>
      </c>
      <c r="K253" s="1" t="str">
        <f>IF(ISBLANK(Raw_Data!A253),"Missing","Available")</f>
        <v>Available</v>
      </c>
      <c r="L253" s="5" t="str">
        <f>IF(ISNUMBER(Raw_Data!G253),"Numeric","Not Numeric")</f>
        <v>Numeric</v>
      </c>
    </row>
    <row r="254" spans="1:12" x14ac:dyDescent="0.25">
      <c r="A254" s="4" t="str">
        <f>Raw_Data!A254</f>
        <v>NM</v>
      </c>
      <c r="B254" s="1" t="b">
        <f>Raw_Data!T254</f>
        <v>1</v>
      </c>
      <c r="C254" s="1" t="str">
        <f t="shared" si="3"/>
        <v>Churned</v>
      </c>
      <c r="D254" s="1" t="str">
        <f>IF(Raw_Data!S254=0,"Low Contact",IF(Raw_Data!S254&lt;=2,"Normal Contact","High Contact"))</f>
        <v>High Contact</v>
      </c>
      <c r="E254" s="1" t="str">
        <f>IF(AND(Raw_Data!G254&gt;200,Raw_Data!H254&gt;100),"High Usage","Normal Usage")</f>
        <v>Normal Usage</v>
      </c>
      <c r="F254" s="1" t="str" cm="1">
        <f t="array" ref="F254">_xlfn.IFS(B254=TRUE,"High Risk",AND(Raw_Data!S254&gt;=3,Raw_Data!G254&gt;200),"High Risk",Raw_Data!S254&gt;=2,"Medium Risk",TRUE,"Low Risk")</f>
        <v>High Risk</v>
      </c>
      <c r="G254" s="1" t="str">
        <f>IF(OR(Raw_Data!D254="Yes",Raw_Data!E254="Yes"),"Has Plan","No Special Plan")</f>
        <v>Has Plan</v>
      </c>
      <c r="H254" s="1" t="str">
        <f>IF(NOT(Raw_Data!S254&gt;=3),"Normal Service Contact","Frequent Service Contact")</f>
        <v>Frequent Service Contact</v>
      </c>
      <c r="I254" s="1" t="str" cm="1">
        <f t="array" ref="I254">_xlfn.SWITCH(Raw_Data!D254,"Yes","International Customer","No","Domestic Plan","Unknown")</f>
        <v>International Customer</v>
      </c>
      <c r="J254" s="1" t="str">
        <f>IF(ISERROR(Raw_Data!G254/0),"Error","Valid")</f>
        <v>Error</v>
      </c>
      <c r="K254" s="1" t="str">
        <f>IF(ISBLANK(Raw_Data!A254),"Missing","Available")</f>
        <v>Available</v>
      </c>
      <c r="L254" s="5" t="str">
        <f>IF(ISNUMBER(Raw_Data!G254),"Numeric","Not Numeric")</f>
        <v>Numeric</v>
      </c>
    </row>
    <row r="255" spans="1:12" x14ac:dyDescent="0.25">
      <c r="A255" s="4" t="str">
        <f>Raw_Data!A255</f>
        <v>MO</v>
      </c>
      <c r="B255" s="1" t="b">
        <f>Raw_Data!T255</f>
        <v>0</v>
      </c>
      <c r="C255" s="1" t="str">
        <f t="shared" si="3"/>
        <v>Retained</v>
      </c>
      <c r="D255" s="1" t="str">
        <f>IF(Raw_Data!S255=0,"Low Contact",IF(Raw_Data!S255&lt;=2,"Normal Contact","High Contact"))</f>
        <v>Low Contact</v>
      </c>
      <c r="E255" s="1" t="str">
        <f>IF(AND(Raw_Data!G255&gt;200,Raw_Data!H255&gt;100),"High Usage","Normal Usage")</f>
        <v>Normal Usage</v>
      </c>
      <c r="F255" s="1" t="str" cm="1">
        <f t="array" ref="F255">_xlfn.IFS(B255=TRUE,"High Risk",AND(Raw_Data!S255&gt;=3,Raw_Data!G255&gt;200),"High Risk",Raw_Data!S255&gt;=2,"Medium Risk",TRUE,"Low Risk")</f>
        <v>Low Risk</v>
      </c>
      <c r="G255" s="1" t="str">
        <f>IF(OR(Raw_Data!D255="Yes",Raw_Data!E255="Yes"),"Has Plan","No Special Plan")</f>
        <v>No Special Plan</v>
      </c>
      <c r="H255" s="1" t="str">
        <f>IF(NOT(Raw_Data!S255&gt;=3),"Normal Service Contact","Frequent Service Contact")</f>
        <v>Normal Service Contact</v>
      </c>
      <c r="I255" s="1" t="str" cm="1">
        <f t="array" ref="I255">_xlfn.SWITCH(Raw_Data!D255,"Yes","International Customer","No","Domestic Plan","Unknown")</f>
        <v>Domestic Plan</v>
      </c>
      <c r="J255" s="1" t="str">
        <f>IF(ISERROR(Raw_Data!G255/0),"Error","Valid")</f>
        <v>Error</v>
      </c>
      <c r="K255" s="1" t="str">
        <f>IF(ISBLANK(Raw_Data!A255),"Missing","Available")</f>
        <v>Available</v>
      </c>
      <c r="L255" s="5" t="str">
        <f>IF(ISNUMBER(Raw_Data!G255),"Numeric","Not Numeric")</f>
        <v>Numeric</v>
      </c>
    </row>
    <row r="256" spans="1:12" x14ac:dyDescent="0.25">
      <c r="A256" s="4" t="str">
        <f>Raw_Data!A256</f>
        <v>IA</v>
      </c>
      <c r="B256" s="1" t="b">
        <f>Raw_Data!T256</f>
        <v>0</v>
      </c>
      <c r="C256" s="1" t="str">
        <f t="shared" si="3"/>
        <v>Retained</v>
      </c>
      <c r="D256" s="1" t="str">
        <f>IF(Raw_Data!S256=0,"Low Contact",IF(Raw_Data!S256&lt;=2,"Normal Contact","High Contact"))</f>
        <v>Low Contact</v>
      </c>
      <c r="E256" s="1" t="str">
        <f>IF(AND(Raw_Data!G256&gt;200,Raw_Data!H256&gt;100),"High Usage","Normal Usage")</f>
        <v>Normal Usage</v>
      </c>
      <c r="F256" s="1" t="str" cm="1">
        <f t="array" ref="F256">_xlfn.IFS(B256=TRUE,"High Risk",AND(Raw_Data!S256&gt;=3,Raw_Data!G256&gt;200),"High Risk",Raw_Data!S256&gt;=2,"Medium Risk",TRUE,"Low Risk")</f>
        <v>Low Risk</v>
      </c>
      <c r="G256" s="1" t="str">
        <f>IF(OR(Raw_Data!D256="Yes",Raw_Data!E256="Yes"),"Has Plan","No Special Plan")</f>
        <v>Has Plan</v>
      </c>
      <c r="H256" s="1" t="str">
        <f>IF(NOT(Raw_Data!S256&gt;=3),"Normal Service Contact","Frequent Service Contact")</f>
        <v>Normal Service Contact</v>
      </c>
      <c r="I256" s="1" t="str" cm="1">
        <f t="array" ref="I256">_xlfn.SWITCH(Raw_Data!D256,"Yes","International Customer","No","Domestic Plan","Unknown")</f>
        <v>Domestic Plan</v>
      </c>
      <c r="J256" s="1" t="str">
        <f>IF(ISERROR(Raw_Data!G256/0),"Error","Valid")</f>
        <v>Error</v>
      </c>
      <c r="K256" s="1" t="str">
        <f>IF(ISBLANK(Raw_Data!A256),"Missing","Available")</f>
        <v>Available</v>
      </c>
      <c r="L256" s="5" t="str">
        <f>IF(ISNUMBER(Raw_Data!G256),"Numeric","Not Numeric")</f>
        <v>Numeric</v>
      </c>
    </row>
    <row r="257" spans="1:12" x14ac:dyDescent="0.25">
      <c r="A257" s="4" t="str">
        <f>Raw_Data!A257</f>
        <v>WA</v>
      </c>
      <c r="B257" s="1" t="b">
        <f>Raw_Data!T257</f>
        <v>0</v>
      </c>
      <c r="C257" s="1" t="str">
        <f t="shared" si="3"/>
        <v>Retained</v>
      </c>
      <c r="D257" s="1" t="str">
        <f>IF(Raw_Data!S257=0,"Low Contact",IF(Raw_Data!S257&lt;=2,"Normal Contact","High Contact"))</f>
        <v>Normal Contact</v>
      </c>
      <c r="E257" s="1" t="str">
        <f>IF(AND(Raw_Data!G257&gt;200,Raw_Data!H257&gt;100),"High Usage","Normal Usage")</f>
        <v>Normal Usage</v>
      </c>
      <c r="F257" s="1" t="str" cm="1">
        <f t="array" ref="F257">_xlfn.IFS(B257=TRUE,"High Risk",AND(Raw_Data!S257&gt;=3,Raw_Data!G257&gt;200),"High Risk",Raw_Data!S257&gt;=2,"Medium Risk",TRUE,"Low Risk")</f>
        <v>Medium Risk</v>
      </c>
      <c r="G257" s="1" t="str">
        <f>IF(OR(Raw_Data!D257="Yes",Raw_Data!E257="Yes"),"Has Plan","No Special Plan")</f>
        <v>Has Plan</v>
      </c>
      <c r="H257" s="1" t="str">
        <f>IF(NOT(Raw_Data!S257&gt;=3),"Normal Service Contact","Frequent Service Contact")</f>
        <v>Normal Service Contact</v>
      </c>
      <c r="I257" s="1" t="str" cm="1">
        <f t="array" ref="I257">_xlfn.SWITCH(Raw_Data!D257,"Yes","International Customer","No","Domestic Plan","Unknown")</f>
        <v>Domestic Plan</v>
      </c>
      <c r="J257" s="1" t="str">
        <f>IF(ISERROR(Raw_Data!G257/0),"Error","Valid")</f>
        <v>Error</v>
      </c>
      <c r="K257" s="1" t="str">
        <f>IF(ISBLANK(Raw_Data!A257),"Missing","Available")</f>
        <v>Available</v>
      </c>
      <c r="L257" s="5" t="str">
        <f>IF(ISNUMBER(Raw_Data!G257),"Numeric","Not Numeric")</f>
        <v>Numeric</v>
      </c>
    </row>
    <row r="258" spans="1:12" x14ac:dyDescent="0.25">
      <c r="A258" s="4" t="str">
        <f>Raw_Data!A258</f>
        <v>CT</v>
      </c>
      <c r="B258" s="1" t="b">
        <f>Raw_Data!T258</f>
        <v>0</v>
      </c>
      <c r="C258" s="1" t="str">
        <f t="shared" si="3"/>
        <v>Retained</v>
      </c>
      <c r="D258" s="1" t="str">
        <f>IF(Raw_Data!S258=0,"Low Contact",IF(Raw_Data!S258&lt;=2,"Normal Contact","High Contact"))</f>
        <v>Low Contact</v>
      </c>
      <c r="E258" s="1" t="str">
        <f>IF(AND(Raw_Data!G258&gt;200,Raw_Data!H258&gt;100),"High Usage","Normal Usage")</f>
        <v>Normal Usage</v>
      </c>
      <c r="F258" s="1" t="str" cm="1">
        <f t="array" ref="F258">_xlfn.IFS(B258=TRUE,"High Risk",AND(Raw_Data!S258&gt;=3,Raw_Data!G258&gt;200),"High Risk",Raw_Data!S258&gt;=2,"Medium Risk",TRUE,"Low Risk")</f>
        <v>Low Risk</v>
      </c>
      <c r="G258" s="1" t="str">
        <f>IF(OR(Raw_Data!D258="Yes",Raw_Data!E258="Yes"),"Has Plan","No Special Plan")</f>
        <v>Has Plan</v>
      </c>
      <c r="H258" s="1" t="str">
        <f>IF(NOT(Raw_Data!S258&gt;=3),"Normal Service Contact","Frequent Service Contact")</f>
        <v>Normal Service Contact</v>
      </c>
      <c r="I258" s="1" t="str" cm="1">
        <f t="array" ref="I258">_xlfn.SWITCH(Raw_Data!D258,"Yes","International Customer","No","Domestic Plan","Unknown")</f>
        <v>International Customer</v>
      </c>
      <c r="J258" s="1" t="str">
        <f>IF(ISERROR(Raw_Data!G258/0),"Error","Valid")</f>
        <v>Error</v>
      </c>
      <c r="K258" s="1" t="str">
        <f>IF(ISBLANK(Raw_Data!A258),"Missing","Available")</f>
        <v>Available</v>
      </c>
      <c r="L258" s="5" t="str">
        <f>IF(ISNUMBER(Raw_Data!G258),"Numeric","Not Numeric")</f>
        <v>Numeric</v>
      </c>
    </row>
    <row r="259" spans="1:12" x14ac:dyDescent="0.25">
      <c r="A259" s="4" t="str">
        <f>Raw_Data!A259</f>
        <v>NH</v>
      </c>
      <c r="B259" s="1" t="b">
        <f>Raw_Data!T259</f>
        <v>0</v>
      </c>
      <c r="C259" s="1" t="str">
        <f t="shared" ref="C259:C322" si="4">IF(B259=TRUE,"Churned","Retained")</f>
        <v>Retained</v>
      </c>
      <c r="D259" s="1" t="str">
        <f>IF(Raw_Data!S259=0,"Low Contact",IF(Raw_Data!S259&lt;=2,"Normal Contact","High Contact"))</f>
        <v>Normal Contact</v>
      </c>
      <c r="E259" s="1" t="str">
        <f>IF(AND(Raw_Data!G259&gt;200,Raw_Data!H259&gt;100),"High Usage","Normal Usage")</f>
        <v>High Usage</v>
      </c>
      <c r="F259" s="1" t="str" cm="1">
        <f t="array" ref="F259">_xlfn.IFS(B259=TRUE,"High Risk",AND(Raw_Data!S259&gt;=3,Raw_Data!G259&gt;200),"High Risk",Raw_Data!S259&gt;=2,"Medium Risk",TRUE,"Low Risk")</f>
        <v>Low Risk</v>
      </c>
      <c r="G259" s="1" t="str">
        <f>IF(OR(Raw_Data!D259="Yes",Raw_Data!E259="Yes"),"Has Plan","No Special Plan")</f>
        <v>No Special Plan</v>
      </c>
      <c r="H259" s="1" t="str">
        <f>IF(NOT(Raw_Data!S259&gt;=3),"Normal Service Contact","Frequent Service Contact")</f>
        <v>Normal Service Contact</v>
      </c>
      <c r="I259" s="1" t="str" cm="1">
        <f t="array" ref="I259">_xlfn.SWITCH(Raw_Data!D259,"Yes","International Customer","No","Domestic Plan","Unknown")</f>
        <v>Domestic Plan</v>
      </c>
      <c r="J259" s="1" t="str">
        <f>IF(ISERROR(Raw_Data!G259/0),"Error","Valid")</f>
        <v>Error</v>
      </c>
      <c r="K259" s="1" t="str">
        <f>IF(ISBLANK(Raw_Data!A259),"Missing","Available")</f>
        <v>Available</v>
      </c>
      <c r="L259" s="5" t="str">
        <f>IF(ISNUMBER(Raw_Data!G259),"Numeric","Not Numeric")</f>
        <v>Numeric</v>
      </c>
    </row>
    <row r="260" spans="1:12" x14ac:dyDescent="0.25">
      <c r="A260" s="4" t="str">
        <f>Raw_Data!A260</f>
        <v>LA</v>
      </c>
      <c r="B260" s="1" t="b">
        <f>Raw_Data!T260</f>
        <v>0</v>
      </c>
      <c r="C260" s="1" t="str">
        <f t="shared" si="4"/>
        <v>Retained</v>
      </c>
      <c r="D260" s="1" t="str">
        <f>IF(Raw_Data!S260=0,"Low Contact",IF(Raw_Data!S260&lt;=2,"Normal Contact","High Contact"))</f>
        <v>High Contact</v>
      </c>
      <c r="E260" s="1" t="str">
        <f>IF(AND(Raw_Data!G260&gt;200,Raw_Data!H260&gt;100),"High Usage","Normal Usage")</f>
        <v>Normal Usage</v>
      </c>
      <c r="F260" s="1" t="str" cm="1">
        <f t="array" ref="F260">_xlfn.IFS(B260=TRUE,"High Risk",AND(Raw_Data!S260&gt;=3,Raw_Data!G260&gt;200),"High Risk",Raw_Data!S260&gt;=2,"Medium Risk",TRUE,"Low Risk")</f>
        <v>Medium Risk</v>
      </c>
      <c r="G260" s="1" t="str">
        <f>IF(OR(Raw_Data!D260="Yes",Raw_Data!E260="Yes"),"Has Plan","No Special Plan")</f>
        <v>No Special Plan</v>
      </c>
      <c r="H260" s="1" t="str">
        <f>IF(NOT(Raw_Data!S260&gt;=3),"Normal Service Contact","Frequent Service Contact")</f>
        <v>Frequent Service Contact</v>
      </c>
      <c r="I260" s="1" t="str" cm="1">
        <f t="array" ref="I260">_xlfn.SWITCH(Raw_Data!D260,"Yes","International Customer","No","Domestic Plan","Unknown")</f>
        <v>Domestic Plan</v>
      </c>
      <c r="J260" s="1" t="str">
        <f>IF(ISERROR(Raw_Data!G260/0),"Error","Valid")</f>
        <v>Error</v>
      </c>
      <c r="K260" s="1" t="str">
        <f>IF(ISBLANK(Raw_Data!A260),"Missing","Available")</f>
        <v>Available</v>
      </c>
      <c r="L260" s="5" t="str">
        <f>IF(ISNUMBER(Raw_Data!G260),"Numeric","Not Numeric")</f>
        <v>Numeric</v>
      </c>
    </row>
    <row r="261" spans="1:12" x14ac:dyDescent="0.25">
      <c r="A261" s="4" t="str">
        <f>Raw_Data!A261</f>
        <v>ME</v>
      </c>
      <c r="B261" s="1" t="b">
        <f>Raw_Data!T261</f>
        <v>0</v>
      </c>
      <c r="C261" s="1" t="str">
        <f t="shared" si="4"/>
        <v>Retained</v>
      </c>
      <c r="D261" s="1" t="str">
        <f>IF(Raw_Data!S261=0,"Low Contact",IF(Raw_Data!S261&lt;=2,"Normal Contact","High Contact"))</f>
        <v>High Contact</v>
      </c>
      <c r="E261" s="1" t="str">
        <f>IF(AND(Raw_Data!G261&gt;200,Raw_Data!H261&gt;100),"High Usage","Normal Usage")</f>
        <v>Normal Usage</v>
      </c>
      <c r="F261" s="1" t="str" cm="1">
        <f t="array" ref="F261">_xlfn.IFS(B261=TRUE,"High Risk",AND(Raw_Data!S261&gt;=3,Raw_Data!G261&gt;200),"High Risk",Raw_Data!S261&gt;=2,"Medium Risk",TRUE,"Low Risk")</f>
        <v>Medium Risk</v>
      </c>
      <c r="G261" s="1" t="str">
        <f>IF(OR(Raw_Data!D261="Yes",Raw_Data!E261="Yes"),"Has Plan","No Special Plan")</f>
        <v>Has Plan</v>
      </c>
      <c r="H261" s="1" t="str">
        <f>IF(NOT(Raw_Data!S261&gt;=3),"Normal Service Contact","Frequent Service Contact")</f>
        <v>Frequent Service Contact</v>
      </c>
      <c r="I261" s="1" t="str" cm="1">
        <f t="array" ref="I261">_xlfn.SWITCH(Raw_Data!D261,"Yes","International Customer","No","Domestic Plan","Unknown")</f>
        <v>Domestic Plan</v>
      </c>
      <c r="J261" s="1" t="str">
        <f>IF(ISERROR(Raw_Data!G261/0),"Error","Valid")</f>
        <v>Error</v>
      </c>
      <c r="K261" s="1" t="str">
        <f>IF(ISBLANK(Raw_Data!A261),"Missing","Available")</f>
        <v>Available</v>
      </c>
      <c r="L261" s="5" t="str">
        <f>IF(ISNUMBER(Raw_Data!G261),"Numeric","Not Numeric")</f>
        <v>Numeric</v>
      </c>
    </row>
    <row r="262" spans="1:12" x14ac:dyDescent="0.25">
      <c r="A262" s="4" t="str">
        <f>Raw_Data!A262</f>
        <v>MT</v>
      </c>
      <c r="B262" s="1" t="b">
        <f>Raw_Data!T262</f>
        <v>0</v>
      </c>
      <c r="C262" s="1" t="str">
        <f t="shared" si="4"/>
        <v>Retained</v>
      </c>
      <c r="D262" s="1" t="str">
        <f>IF(Raw_Data!S262=0,"Low Contact",IF(Raw_Data!S262&lt;=2,"Normal Contact","High Contact"))</f>
        <v>High Contact</v>
      </c>
      <c r="E262" s="1" t="str">
        <f>IF(AND(Raw_Data!G262&gt;200,Raw_Data!H262&gt;100),"High Usage","Normal Usage")</f>
        <v>Normal Usage</v>
      </c>
      <c r="F262" s="1" t="str" cm="1">
        <f t="array" ref="F262">_xlfn.IFS(B262=TRUE,"High Risk",AND(Raw_Data!S262&gt;=3,Raw_Data!G262&gt;200),"High Risk",Raw_Data!S262&gt;=2,"Medium Risk",TRUE,"Low Risk")</f>
        <v>High Risk</v>
      </c>
      <c r="G262" s="1" t="str">
        <f>IF(OR(Raw_Data!D262="Yes",Raw_Data!E262="Yes"),"Has Plan","No Special Plan")</f>
        <v>No Special Plan</v>
      </c>
      <c r="H262" s="1" t="str">
        <f>IF(NOT(Raw_Data!S262&gt;=3),"Normal Service Contact","Frequent Service Contact")</f>
        <v>Frequent Service Contact</v>
      </c>
      <c r="I262" s="1" t="str" cm="1">
        <f t="array" ref="I262">_xlfn.SWITCH(Raw_Data!D262,"Yes","International Customer","No","Domestic Plan","Unknown")</f>
        <v>Domestic Plan</v>
      </c>
      <c r="J262" s="1" t="str">
        <f>IF(ISERROR(Raw_Data!G262/0),"Error","Valid")</f>
        <v>Error</v>
      </c>
      <c r="K262" s="1" t="str">
        <f>IF(ISBLANK(Raw_Data!A262),"Missing","Available")</f>
        <v>Available</v>
      </c>
      <c r="L262" s="5" t="str">
        <f>IF(ISNUMBER(Raw_Data!G262),"Numeric","Not Numeric")</f>
        <v>Numeric</v>
      </c>
    </row>
    <row r="263" spans="1:12" x14ac:dyDescent="0.25">
      <c r="A263" s="4" t="str">
        <f>Raw_Data!A263</f>
        <v>ID</v>
      </c>
      <c r="B263" s="1" t="b">
        <f>Raw_Data!T263</f>
        <v>0</v>
      </c>
      <c r="C263" s="1" t="str">
        <f t="shared" si="4"/>
        <v>Retained</v>
      </c>
      <c r="D263" s="1" t="str">
        <f>IF(Raw_Data!S263=0,"Low Contact",IF(Raw_Data!S263&lt;=2,"Normal Contact","High Contact"))</f>
        <v>Normal Contact</v>
      </c>
      <c r="E263" s="1" t="str">
        <f>IF(AND(Raw_Data!G263&gt;200,Raw_Data!H263&gt;100),"High Usage","Normal Usage")</f>
        <v>Normal Usage</v>
      </c>
      <c r="F263" s="1" t="str" cm="1">
        <f t="array" ref="F263">_xlfn.IFS(B263=TRUE,"High Risk",AND(Raw_Data!S263&gt;=3,Raw_Data!G263&gt;200),"High Risk",Raw_Data!S263&gt;=2,"Medium Risk",TRUE,"Low Risk")</f>
        <v>Low Risk</v>
      </c>
      <c r="G263" s="1" t="str">
        <f>IF(OR(Raw_Data!D263="Yes",Raw_Data!E263="Yes"),"Has Plan","No Special Plan")</f>
        <v>Has Plan</v>
      </c>
      <c r="H263" s="1" t="str">
        <f>IF(NOT(Raw_Data!S263&gt;=3),"Normal Service Contact","Frequent Service Contact")</f>
        <v>Normal Service Contact</v>
      </c>
      <c r="I263" s="1" t="str" cm="1">
        <f t="array" ref="I263">_xlfn.SWITCH(Raw_Data!D263,"Yes","International Customer","No","Domestic Plan","Unknown")</f>
        <v>Domestic Plan</v>
      </c>
      <c r="J263" s="1" t="str">
        <f>IF(ISERROR(Raw_Data!G263/0),"Error","Valid")</f>
        <v>Error</v>
      </c>
      <c r="K263" s="1" t="str">
        <f>IF(ISBLANK(Raw_Data!A263),"Missing","Available")</f>
        <v>Available</v>
      </c>
      <c r="L263" s="5" t="str">
        <f>IF(ISNUMBER(Raw_Data!G263),"Numeric","Not Numeric")</f>
        <v>Numeric</v>
      </c>
    </row>
    <row r="264" spans="1:12" x14ac:dyDescent="0.25">
      <c r="A264" s="4" t="str">
        <f>Raw_Data!A264</f>
        <v>UT</v>
      </c>
      <c r="B264" s="1" t="b">
        <f>Raw_Data!T264</f>
        <v>0</v>
      </c>
      <c r="C264" s="1" t="str">
        <f t="shared" si="4"/>
        <v>Retained</v>
      </c>
      <c r="D264" s="1" t="str">
        <f>IF(Raw_Data!S264=0,"Low Contact",IF(Raw_Data!S264&lt;=2,"Normal Contact","High Contact"))</f>
        <v>Normal Contact</v>
      </c>
      <c r="E264" s="1" t="str">
        <f>IF(AND(Raw_Data!G264&gt;200,Raw_Data!H264&gt;100),"High Usage","Normal Usage")</f>
        <v>Normal Usage</v>
      </c>
      <c r="F264" s="1" t="str" cm="1">
        <f t="array" ref="F264">_xlfn.IFS(B264=TRUE,"High Risk",AND(Raw_Data!S264&gt;=3,Raw_Data!G264&gt;200),"High Risk",Raw_Data!S264&gt;=2,"Medium Risk",TRUE,"Low Risk")</f>
        <v>Low Risk</v>
      </c>
      <c r="G264" s="1" t="str">
        <f>IF(OR(Raw_Data!D264="Yes",Raw_Data!E264="Yes"),"Has Plan","No Special Plan")</f>
        <v>No Special Plan</v>
      </c>
      <c r="H264" s="1" t="str">
        <f>IF(NOT(Raw_Data!S264&gt;=3),"Normal Service Contact","Frequent Service Contact")</f>
        <v>Normal Service Contact</v>
      </c>
      <c r="I264" s="1" t="str" cm="1">
        <f t="array" ref="I264">_xlfn.SWITCH(Raw_Data!D264,"Yes","International Customer","No","Domestic Plan","Unknown")</f>
        <v>Domestic Plan</v>
      </c>
      <c r="J264" s="1" t="str">
        <f>IF(ISERROR(Raw_Data!G264/0),"Error","Valid")</f>
        <v>Error</v>
      </c>
      <c r="K264" s="1" t="str">
        <f>IF(ISBLANK(Raw_Data!A264),"Missing","Available")</f>
        <v>Available</v>
      </c>
      <c r="L264" s="5" t="str">
        <f>IF(ISNUMBER(Raw_Data!G264),"Numeric","Not Numeric")</f>
        <v>Numeric</v>
      </c>
    </row>
    <row r="265" spans="1:12" x14ac:dyDescent="0.25">
      <c r="A265" s="4" t="str">
        <f>Raw_Data!A265</f>
        <v>IL</v>
      </c>
      <c r="B265" s="1" t="b">
        <f>Raw_Data!T265</f>
        <v>0</v>
      </c>
      <c r="C265" s="1" t="str">
        <f t="shared" si="4"/>
        <v>Retained</v>
      </c>
      <c r="D265" s="1" t="str">
        <f>IF(Raw_Data!S265=0,"Low Contact",IF(Raw_Data!S265&lt;=2,"Normal Contact","High Contact"))</f>
        <v>Low Contact</v>
      </c>
      <c r="E265" s="1" t="str">
        <f>IF(AND(Raw_Data!G265&gt;200,Raw_Data!H265&gt;100),"High Usage","Normal Usage")</f>
        <v>Normal Usage</v>
      </c>
      <c r="F265" s="1" t="str" cm="1">
        <f t="array" ref="F265">_xlfn.IFS(B265=TRUE,"High Risk",AND(Raw_Data!S265&gt;=3,Raw_Data!G265&gt;200),"High Risk",Raw_Data!S265&gt;=2,"Medium Risk",TRUE,"Low Risk")</f>
        <v>Low Risk</v>
      </c>
      <c r="G265" s="1" t="str">
        <f>IF(OR(Raw_Data!D265="Yes",Raw_Data!E265="Yes"),"Has Plan","No Special Plan")</f>
        <v>No Special Plan</v>
      </c>
      <c r="H265" s="1" t="str">
        <f>IF(NOT(Raw_Data!S265&gt;=3),"Normal Service Contact","Frequent Service Contact")</f>
        <v>Normal Service Contact</v>
      </c>
      <c r="I265" s="1" t="str" cm="1">
        <f t="array" ref="I265">_xlfn.SWITCH(Raw_Data!D265,"Yes","International Customer","No","Domestic Plan","Unknown")</f>
        <v>Domestic Plan</v>
      </c>
      <c r="J265" s="1" t="str">
        <f>IF(ISERROR(Raw_Data!G265/0),"Error","Valid")</f>
        <v>Error</v>
      </c>
      <c r="K265" s="1" t="str">
        <f>IF(ISBLANK(Raw_Data!A265),"Missing","Available")</f>
        <v>Available</v>
      </c>
      <c r="L265" s="5" t="str">
        <f>IF(ISNUMBER(Raw_Data!G265),"Numeric","Not Numeric")</f>
        <v>Numeric</v>
      </c>
    </row>
    <row r="266" spans="1:12" x14ac:dyDescent="0.25">
      <c r="A266" s="4" t="str">
        <f>Raw_Data!A266</f>
        <v>AZ</v>
      </c>
      <c r="B266" s="1" t="b">
        <f>Raw_Data!T266</f>
        <v>0</v>
      </c>
      <c r="C266" s="1" t="str">
        <f t="shared" si="4"/>
        <v>Retained</v>
      </c>
      <c r="D266" s="1" t="str">
        <f>IF(Raw_Data!S266=0,"Low Contact",IF(Raw_Data!S266&lt;=2,"Normal Contact","High Contact"))</f>
        <v>High Contact</v>
      </c>
      <c r="E266" s="1" t="str">
        <f>IF(AND(Raw_Data!G266&gt;200,Raw_Data!H266&gt;100),"High Usage","Normal Usage")</f>
        <v>Normal Usage</v>
      </c>
      <c r="F266" s="1" t="str" cm="1">
        <f t="array" ref="F266">_xlfn.IFS(B266=TRUE,"High Risk",AND(Raw_Data!S266&gt;=3,Raw_Data!G266&gt;200),"High Risk",Raw_Data!S266&gt;=2,"Medium Risk",TRUE,"Low Risk")</f>
        <v>Medium Risk</v>
      </c>
      <c r="G266" s="1" t="str">
        <f>IF(OR(Raw_Data!D266="Yes",Raw_Data!E266="Yes"),"Has Plan","No Special Plan")</f>
        <v>No Special Plan</v>
      </c>
      <c r="H266" s="1" t="str">
        <f>IF(NOT(Raw_Data!S266&gt;=3),"Normal Service Contact","Frequent Service Contact")</f>
        <v>Frequent Service Contact</v>
      </c>
      <c r="I266" s="1" t="str" cm="1">
        <f t="array" ref="I266">_xlfn.SWITCH(Raw_Data!D266,"Yes","International Customer","No","Domestic Plan","Unknown")</f>
        <v>Domestic Plan</v>
      </c>
      <c r="J266" s="1" t="str">
        <f>IF(ISERROR(Raw_Data!G266/0),"Error","Valid")</f>
        <v>Error</v>
      </c>
      <c r="K266" s="1" t="str">
        <f>IF(ISBLANK(Raw_Data!A266),"Missing","Available")</f>
        <v>Available</v>
      </c>
      <c r="L266" s="5" t="str">
        <f>IF(ISNUMBER(Raw_Data!G266),"Numeric","Not Numeric")</f>
        <v>Numeric</v>
      </c>
    </row>
    <row r="267" spans="1:12" x14ac:dyDescent="0.25">
      <c r="A267" s="4" t="str">
        <f>Raw_Data!A267</f>
        <v>ID</v>
      </c>
      <c r="B267" s="1" t="b">
        <f>Raw_Data!T267</f>
        <v>0</v>
      </c>
      <c r="C267" s="1" t="str">
        <f t="shared" si="4"/>
        <v>Retained</v>
      </c>
      <c r="D267" s="1" t="str">
        <f>IF(Raw_Data!S267=0,"Low Contact",IF(Raw_Data!S267&lt;=2,"Normal Contact","High Contact"))</f>
        <v>High Contact</v>
      </c>
      <c r="E267" s="1" t="str">
        <f>IF(AND(Raw_Data!G267&gt;200,Raw_Data!H267&gt;100),"High Usage","Normal Usage")</f>
        <v>Normal Usage</v>
      </c>
      <c r="F267" s="1" t="str" cm="1">
        <f t="array" ref="F267">_xlfn.IFS(B267=TRUE,"High Risk",AND(Raw_Data!S267&gt;=3,Raw_Data!G267&gt;200),"High Risk",Raw_Data!S267&gt;=2,"Medium Risk",TRUE,"Low Risk")</f>
        <v>Medium Risk</v>
      </c>
      <c r="G267" s="1" t="str">
        <f>IF(OR(Raw_Data!D267="Yes",Raw_Data!E267="Yes"),"Has Plan","No Special Plan")</f>
        <v>No Special Plan</v>
      </c>
      <c r="H267" s="1" t="str">
        <f>IF(NOT(Raw_Data!S267&gt;=3),"Normal Service Contact","Frequent Service Contact")</f>
        <v>Frequent Service Contact</v>
      </c>
      <c r="I267" s="1" t="str" cm="1">
        <f t="array" ref="I267">_xlfn.SWITCH(Raw_Data!D267,"Yes","International Customer","No","Domestic Plan","Unknown")</f>
        <v>Domestic Plan</v>
      </c>
      <c r="J267" s="1" t="str">
        <f>IF(ISERROR(Raw_Data!G267/0),"Error","Valid")</f>
        <v>Error</v>
      </c>
      <c r="K267" s="1" t="str">
        <f>IF(ISBLANK(Raw_Data!A267),"Missing","Available")</f>
        <v>Available</v>
      </c>
      <c r="L267" s="5" t="str">
        <f>IF(ISNUMBER(Raw_Data!G267),"Numeric","Not Numeric")</f>
        <v>Numeric</v>
      </c>
    </row>
    <row r="268" spans="1:12" x14ac:dyDescent="0.25">
      <c r="A268" s="4" t="str">
        <f>Raw_Data!A268</f>
        <v>TX</v>
      </c>
      <c r="B268" s="1" t="b">
        <f>Raw_Data!T268</f>
        <v>0</v>
      </c>
      <c r="C268" s="1" t="str">
        <f t="shared" si="4"/>
        <v>Retained</v>
      </c>
      <c r="D268" s="1" t="str">
        <f>IF(Raw_Data!S268=0,"Low Contact",IF(Raw_Data!S268&lt;=2,"Normal Contact","High Contact"))</f>
        <v>Normal Contact</v>
      </c>
      <c r="E268" s="1" t="str">
        <f>IF(AND(Raw_Data!G268&gt;200,Raw_Data!H268&gt;100),"High Usage","Normal Usage")</f>
        <v>Normal Usage</v>
      </c>
      <c r="F268" s="1" t="str" cm="1">
        <f t="array" ref="F268">_xlfn.IFS(B268=TRUE,"High Risk",AND(Raw_Data!S268&gt;=3,Raw_Data!G268&gt;200),"High Risk",Raw_Data!S268&gt;=2,"Medium Risk",TRUE,"Low Risk")</f>
        <v>Medium Risk</v>
      </c>
      <c r="G268" s="1" t="str">
        <f>IF(OR(Raw_Data!D268="Yes",Raw_Data!E268="Yes"),"Has Plan","No Special Plan")</f>
        <v>No Special Plan</v>
      </c>
      <c r="H268" s="1" t="str">
        <f>IF(NOT(Raw_Data!S268&gt;=3),"Normal Service Contact","Frequent Service Contact")</f>
        <v>Normal Service Contact</v>
      </c>
      <c r="I268" s="1" t="str" cm="1">
        <f t="array" ref="I268">_xlfn.SWITCH(Raw_Data!D268,"Yes","International Customer","No","Domestic Plan","Unknown")</f>
        <v>Domestic Plan</v>
      </c>
      <c r="J268" s="1" t="str">
        <f>IF(ISERROR(Raw_Data!G268/0),"Error","Valid")</f>
        <v>Error</v>
      </c>
      <c r="K268" s="1" t="str">
        <f>IF(ISBLANK(Raw_Data!A268),"Missing","Available")</f>
        <v>Available</v>
      </c>
      <c r="L268" s="5" t="str">
        <f>IF(ISNUMBER(Raw_Data!G268),"Numeric","Not Numeric")</f>
        <v>Numeric</v>
      </c>
    </row>
    <row r="269" spans="1:12" x14ac:dyDescent="0.25">
      <c r="A269" s="4" t="str">
        <f>Raw_Data!A269</f>
        <v>MT</v>
      </c>
      <c r="B269" s="1" t="b">
        <f>Raw_Data!T269</f>
        <v>0</v>
      </c>
      <c r="C269" s="1" t="str">
        <f t="shared" si="4"/>
        <v>Retained</v>
      </c>
      <c r="D269" s="1" t="str">
        <f>IF(Raw_Data!S269=0,"Low Contact",IF(Raw_Data!S269&lt;=2,"Normal Contact","High Contact"))</f>
        <v>Normal Contact</v>
      </c>
      <c r="E269" s="1" t="str">
        <f>IF(AND(Raw_Data!G269&gt;200,Raw_Data!H269&gt;100),"High Usage","Normal Usage")</f>
        <v>Normal Usage</v>
      </c>
      <c r="F269" s="1" t="str" cm="1">
        <f t="array" ref="F269">_xlfn.IFS(B269=TRUE,"High Risk",AND(Raw_Data!S269&gt;=3,Raw_Data!G269&gt;200),"High Risk",Raw_Data!S269&gt;=2,"Medium Risk",TRUE,"Low Risk")</f>
        <v>Low Risk</v>
      </c>
      <c r="G269" s="1" t="str">
        <f>IF(OR(Raw_Data!D269="Yes",Raw_Data!E269="Yes"),"Has Plan","No Special Plan")</f>
        <v>Has Plan</v>
      </c>
      <c r="H269" s="1" t="str">
        <f>IF(NOT(Raw_Data!S269&gt;=3),"Normal Service Contact","Frequent Service Contact")</f>
        <v>Normal Service Contact</v>
      </c>
      <c r="I269" s="1" t="str" cm="1">
        <f t="array" ref="I269">_xlfn.SWITCH(Raw_Data!D269,"Yes","International Customer","No","Domestic Plan","Unknown")</f>
        <v>Domestic Plan</v>
      </c>
      <c r="J269" s="1" t="str">
        <f>IF(ISERROR(Raw_Data!G269/0),"Error","Valid")</f>
        <v>Error</v>
      </c>
      <c r="K269" s="1" t="str">
        <f>IF(ISBLANK(Raw_Data!A269),"Missing","Available")</f>
        <v>Available</v>
      </c>
      <c r="L269" s="5" t="str">
        <f>IF(ISNUMBER(Raw_Data!G269),"Numeric","Not Numeric")</f>
        <v>Numeric</v>
      </c>
    </row>
    <row r="270" spans="1:12" x14ac:dyDescent="0.25">
      <c r="A270" s="4" t="str">
        <f>Raw_Data!A270</f>
        <v>PA</v>
      </c>
      <c r="B270" s="1" t="b">
        <f>Raw_Data!T270</f>
        <v>0</v>
      </c>
      <c r="C270" s="1" t="str">
        <f t="shared" si="4"/>
        <v>Retained</v>
      </c>
      <c r="D270" s="1" t="str">
        <f>IF(Raw_Data!S270=0,"Low Contact",IF(Raw_Data!S270&lt;=2,"Normal Contact","High Contact"))</f>
        <v>Low Contact</v>
      </c>
      <c r="E270" s="1" t="str">
        <f>IF(AND(Raw_Data!G270&gt;200,Raw_Data!H270&gt;100),"High Usage","Normal Usage")</f>
        <v>Normal Usage</v>
      </c>
      <c r="F270" s="1" t="str" cm="1">
        <f t="array" ref="F270">_xlfn.IFS(B270=TRUE,"High Risk",AND(Raw_Data!S270&gt;=3,Raw_Data!G270&gt;200),"High Risk",Raw_Data!S270&gt;=2,"Medium Risk",TRUE,"Low Risk")</f>
        <v>Low Risk</v>
      </c>
      <c r="G270" s="1" t="str">
        <f>IF(OR(Raw_Data!D270="Yes",Raw_Data!E270="Yes"),"Has Plan","No Special Plan")</f>
        <v>Has Plan</v>
      </c>
      <c r="H270" s="1" t="str">
        <f>IF(NOT(Raw_Data!S270&gt;=3),"Normal Service Contact","Frequent Service Contact")</f>
        <v>Normal Service Contact</v>
      </c>
      <c r="I270" s="1" t="str" cm="1">
        <f t="array" ref="I270">_xlfn.SWITCH(Raw_Data!D270,"Yes","International Customer","No","Domestic Plan","Unknown")</f>
        <v>International Customer</v>
      </c>
      <c r="J270" s="1" t="str">
        <f>IF(ISERROR(Raw_Data!G270/0),"Error","Valid")</f>
        <v>Error</v>
      </c>
      <c r="K270" s="1" t="str">
        <f>IF(ISBLANK(Raw_Data!A270),"Missing","Available")</f>
        <v>Available</v>
      </c>
      <c r="L270" s="5" t="str">
        <f>IF(ISNUMBER(Raw_Data!G270),"Numeric","Not Numeric")</f>
        <v>Numeric</v>
      </c>
    </row>
    <row r="271" spans="1:12" x14ac:dyDescent="0.25">
      <c r="A271" s="4" t="str">
        <f>Raw_Data!A271</f>
        <v>RI</v>
      </c>
      <c r="B271" s="1" t="b">
        <f>Raw_Data!T271</f>
        <v>0</v>
      </c>
      <c r="C271" s="1" t="str">
        <f t="shared" si="4"/>
        <v>Retained</v>
      </c>
      <c r="D271" s="1" t="str">
        <f>IF(Raw_Data!S271=0,"Low Contact",IF(Raw_Data!S271&lt;=2,"Normal Contact","High Contact"))</f>
        <v>High Contact</v>
      </c>
      <c r="E271" s="1" t="str">
        <f>IF(AND(Raw_Data!G271&gt;200,Raw_Data!H271&gt;100),"High Usage","Normal Usage")</f>
        <v>Normal Usage</v>
      </c>
      <c r="F271" s="1" t="str" cm="1">
        <f t="array" ref="F271">_xlfn.IFS(B271=TRUE,"High Risk",AND(Raw_Data!S271&gt;=3,Raw_Data!G271&gt;200),"High Risk",Raw_Data!S271&gt;=2,"Medium Risk",TRUE,"Low Risk")</f>
        <v>Medium Risk</v>
      </c>
      <c r="G271" s="1" t="str">
        <f>IF(OR(Raw_Data!D271="Yes",Raw_Data!E271="Yes"),"Has Plan","No Special Plan")</f>
        <v>Has Plan</v>
      </c>
      <c r="H271" s="1" t="str">
        <f>IF(NOT(Raw_Data!S271&gt;=3),"Normal Service Contact","Frequent Service Contact")</f>
        <v>Frequent Service Contact</v>
      </c>
      <c r="I271" s="1" t="str" cm="1">
        <f t="array" ref="I271">_xlfn.SWITCH(Raw_Data!D271,"Yes","International Customer","No","Domestic Plan","Unknown")</f>
        <v>International Customer</v>
      </c>
      <c r="J271" s="1" t="str">
        <f>IF(ISERROR(Raw_Data!G271/0),"Error","Valid")</f>
        <v>Error</v>
      </c>
      <c r="K271" s="1" t="str">
        <f>IF(ISBLANK(Raw_Data!A271),"Missing","Available")</f>
        <v>Available</v>
      </c>
      <c r="L271" s="5" t="str">
        <f>IF(ISNUMBER(Raw_Data!G271),"Numeric","Not Numeric")</f>
        <v>Numeric</v>
      </c>
    </row>
    <row r="272" spans="1:12" x14ac:dyDescent="0.25">
      <c r="A272" s="4" t="str">
        <f>Raw_Data!A272</f>
        <v>NH</v>
      </c>
      <c r="B272" s="1" t="b">
        <f>Raw_Data!T272</f>
        <v>0</v>
      </c>
      <c r="C272" s="1" t="str">
        <f t="shared" si="4"/>
        <v>Retained</v>
      </c>
      <c r="D272" s="1" t="str">
        <f>IF(Raw_Data!S272=0,"Low Contact",IF(Raw_Data!S272&lt;=2,"Normal Contact","High Contact"))</f>
        <v>Low Contact</v>
      </c>
      <c r="E272" s="1" t="str">
        <f>IF(AND(Raw_Data!G272&gt;200,Raw_Data!H272&gt;100),"High Usage","Normal Usage")</f>
        <v>Normal Usage</v>
      </c>
      <c r="F272" s="1" t="str" cm="1">
        <f t="array" ref="F272">_xlfn.IFS(B272=TRUE,"High Risk",AND(Raw_Data!S272&gt;=3,Raw_Data!G272&gt;200),"High Risk",Raw_Data!S272&gt;=2,"Medium Risk",TRUE,"Low Risk")</f>
        <v>Low Risk</v>
      </c>
      <c r="G272" s="1" t="str">
        <f>IF(OR(Raw_Data!D272="Yes",Raw_Data!E272="Yes"),"Has Plan","No Special Plan")</f>
        <v>No Special Plan</v>
      </c>
      <c r="H272" s="1" t="str">
        <f>IF(NOT(Raw_Data!S272&gt;=3),"Normal Service Contact","Frequent Service Contact")</f>
        <v>Normal Service Contact</v>
      </c>
      <c r="I272" s="1" t="str" cm="1">
        <f t="array" ref="I272">_xlfn.SWITCH(Raw_Data!D272,"Yes","International Customer","No","Domestic Plan","Unknown")</f>
        <v>Domestic Plan</v>
      </c>
      <c r="J272" s="1" t="str">
        <f>IF(ISERROR(Raw_Data!G272/0),"Error","Valid")</f>
        <v>Error</v>
      </c>
      <c r="K272" s="1" t="str">
        <f>IF(ISBLANK(Raw_Data!A272),"Missing","Available")</f>
        <v>Available</v>
      </c>
      <c r="L272" s="5" t="str">
        <f>IF(ISNUMBER(Raw_Data!G272),"Numeric","Not Numeric")</f>
        <v>Numeric</v>
      </c>
    </row>
    <row r="273" spans="1:12" x14ac:dyDescent="0.25">
      <c r="A273" s="4" t="str">
        <f>Raw_Data!A273</f>
        <v>UT</v>
      </c>
      <c r="B273" s="1" t="b">
        <f>Raw_Data!T273</f>
        <v>0</v>
      </c>
      <c r="C273" s="1" t="str">
        <f t="shared" si="4"/>
        <v>Retained</v>
      </c>
      <c r="D273" s="1" t="str">
        <f>IF(Raw_Data!S273=0,"Low Contact",IF(Raw_Data!S273&lt;=2,"Normal Contact","High Contact"))</f>
        <v>Normal Contact</v>
      </c>
      <c r="E273" s="1" t="str">
        <f>IF(AND(Raw_Data!G273&gt;200,Raw_Data!H273&gt;100),"High Usage","Normal Usage")</f>
        <v>Normal Usage</v>
      </c>
      <c r="F273" s="1" t="str" cm="1">
        <f t="array" ref="F273">_xlfn.IFS(B273=TRUE,"High Risk",AND(Raw_Data!S273&gt;=3,Raw_Data!G273&gt;200),"High Risk",Raw_Data!S273&gt;=2,"Medium Risk",TRUE,"Low Risk")</f>
        <v>Low Risk</v>
      </c>
      <c r="G273" s="1" t="str">
        <f>IF(OR(Raw_Data!D273="Yes",Raw_Data!E273="Yes"),"Has Plan","No Special Plan")</f>
        <v>No Special Plan</v>
      </c>
      <c r="H273" s="1" t="str">
        <f>IF(NOT(Raw_Data!S273&gt;=3),"Normal Service Contact","Frequent Service Contact")</f>
        <v>Normal Service Contact</v>
      </c>
      <c r="I273" s="1" t="str" cm="1">
        <f t="array" ref="I273">_xlfn.SWITCH(Raw_Data!D273,"Yes","International Customer","No","Domestic Plan","Unknown")</f>
        <v>Domestic Plan</v>
      </c>
      <c r="J273" s="1" t="str">
        <f>IF(ISERROR(Raw_Data!G273/0),"Error","Valid")</f>
        <v>Error</v>
      </c>
      <c r="K273" s="1" t="str">
        <f>IF(ISBLANK(Raw_Data!A273),"Missing","Available")</f>
        <v>Available</v>
      </c>
      <c r="L273" s="5" t="str">
        <f>IF(ISNUMBER(Raw_Data!G273),"Numeric","Not Numeric")</f>
        <v>Numeric</v>
      </c>
    </row>
    <row r="274" spans="1:12" x14ac:dyDescent="0.25">
      <c r="A274" s="4" t="str">
        <f>Raw_Data!A274</f>
        <v>NH</v>
      </c>
      <c r="B274" s="1" t="b">
        <f>Raw_Data!T274</f>
        <v>0</v>
      </c>
      <c r="C274" s="1" t="str">
        <f t="shared" si="4"/>
        <v>Retained</v>
      </c>
      <c r="D274" s="1" t="str">
        <f>IF(Raw_Data!S274=0,"Low Contact",IF(Raw_Data!S274&lt;=2,"Normal Contact","High Contact"))</f>
        <v>Normal Contact</v>
      </c>
      <c r="E274" s="1" t="str">
        <f>IF(AND(Raw_Data!G274&gt;200,Raw_Data!H274&gt;100),"High Usage","Normal Usage")</f>
        <v>Normal Usage</v>
      </c>
      <c r="F274" s="1" t="str" cm="1">
        <f t="array" ref="F274">_xlfn.IFS(B274=TRUE,"High Risk",AND(Raw_Data!S274&gt;=3,Raw_Data!G274&gt;200),"High Risk",Raw_Data!S274&gt;=2,"Medium Risk",TRUE,"Low Risk")</f>
        <v>Medium Risk</v>
      </c>
      <c r="G274" s="1" t="str">
        <f>IF(OR(Raw_Data!D274="Yes",Raw_Data!E274="Yes"),"Has Plan","No Special Plan")</f>
        <v>Has Plan</v>
      </c>
      <c r="H274" s="1" t="str">
        <f>IF(NOT(Raw_Data!S274&gt;=3),"Normal Service Contact","Frequent Service Contact")</f>
        <v>Normal Service Contact</v>
      </c>
      <c r="I274" s="1" t="str" cm="1">
        <f t="array" ref="I274">_xlfn.SWITCH(Raw_Data!D274,"Yes","International Customer","No","Domestic Plan","Unknown")</f>
        <v>Domestic Plan</v>
      </c>
      <c r="J274" s="1" t="str">
        <f>IF(ISERROR(Raw_Data!G274/0),"Error","Valid")</f>
        <v>Error</v>
      </c>
      <c r="K274" s="1" t="str">
        <f>IF(ISBLANK(Raw_Data!A274),"Missing","Available")</f>
        <v>Available</v>
      </c>
      <c r="L274" s="5" t="str">
        <f>IF(ISNUMBER(Raw_Data!G274),"Numeric","Not Numeric")</f>
        <v>Numeric</v>
      </c>
    </row>
    <row r="275" spans="1:12" x14ac:dyDescent="0.25">
      <c r="A275" s="4" t="str">
        <f>Raw_Data!A275</f>
        <v>AK</v>
      </c>
      <c r="B275" s="1" t="b">
        <f>Raw_Data!T275</f>
        <v>0</v>
      </c>
      <c r="C275" s="1" t="str">
        <f t="shared" si="4"/>
        <v>Retained</v>
      </c>
      <c r="D275" s="1" t="str">
        <f>IF(Raw_Data!S275=0,"Low Contact",IF(Raw_Data!S275&lt;=2,"Normal Contact","High Contact"))</f>
        <v>High Contact</v>
      </c>
      <c r="E275" s="1" t="str">
        <f>IF(AND(Raw_Data!G275&gt;200,Raw_Data!H275&gt;100),"High Usage","Normal Usage")</f>
        <v>Normal Usage</v>
      </c>
      <c r="F275" s="1" t="str" cm="1">
        <f t="array" ref="F275">_xlfn.IFS(B275=TRUE,"High Risk",AND(Raw_Data!S275&gt;=3,Raw_Data!G275&gt;200),"High Risk",Raw_Data!S275&gt;=2,"Medium Risk",TRUE,"Low Risk")</f>
        <v>Medium Risk</v>
      </c>
      <c r="G275" s="1" t="str">
        <f>IF(OR(Raw_Data!D275="Yes",Raw_Data!E275="Yes"),"Has Plan","No Special Plan")</f>
        <v>Has Plan</v>
      </c>
      <c r="H275" s="1" t="str">
        <f>IF(NOT(Raw_Data!S275&gt;=3),"Normal Service Contact","Frequent Service Contact")</f>
        <v>Frequent Service Contact</v>
      </c>
      <c r="I275" s="1" t="str" cm="1">
        <f t="array" ref="I275">_xlfn.SWITCH(Raw_Data!D275,"Yes","International Customer","No","Domestic Plan","Unknown")</f>
        <v>Domestic Plan</v>
      </c>
      <c r="J275" s="1" t="str">
        <f>IF(ISERROR(Raw_Data!G275/0),"Error","Valid")</f>
        <v>Error</v>
      </c>
      <c r="K275" s="1" t="str">
        <f>IF(ISBLANK(Raw_Data!A275),"Missing","Available")</f>
        <v>Available</v>
      </c>
      <c r="L275" s="5" t="str">
        <f>IF(ISNUMBER(Raw_Data!G275),"Numeric","Not Numeric")</f>
        <v>Numeric</v>
      </c>
    </row>
    <row r="276" spans="1:12" x14ac:dyDescent="0.25">
      <c r="A276" s="4" t="str">
        <f>Raw_Data!A276</f>
        <v>AZ</v>
      </c>
      <c r="B276" s="1" t="b">
        <f>Raw_Data!T276</f>
        <v>0</v>
      </c>
      <c r="C276" s="1" t="str">
        <f t="shared" si="4"/>
        <v>Retained</v>
      </c>
      <c r="D276" s="1" t="str">
        <f>IF(Raw_Data!S276=0,"Low Contact",IF(Raw_Data!S276&lt;=2,"Normal Contact","High Contact"))</f>
        <v>High Contact</v>
      </c>
      <c r="E276" s="1" t="str">
        <f>IF(AND(Raw_Data!G276&gt;200,Raw_Data!H276&gt;100),"High Usage","Normal Usage")</f>
        <v>High Usage</v>
      </c>
      <c r="F276" s="1" t="str" cm="1">
        <f t="array" ref="F276">_xlfn.IFS(B276=TRUE,"High Risk",AND(Raw_Data!S276&gt;=3,Raw_Data!G276&gt;200),"High Risk",Raw_Data!S276&gt;=2,"Medium Risk",TRUE,"Low Risk")</f>
        <v>High Risk</v>
      </c>
      <c r="G276" s="1" t="str">
        <f>IF(OR(Raw_Data!D276="Yes",Raw_Data!E276="Yes"),"Has Plan","No Special Plan")</f>
        <v>No Special Plan</v>
      </c>
      <c r="H276" s="1" t="str">
        <f>IF(NOT(Raw_Data!S276&gt;=3),"Normal Service Contact","Frequent Service Contact")</f>
        <v>Frequent Service Contact</v>
      </c>
      <c r="I276" s="1" t="str" cm="1">
        <f t="array" ref="I276">_xlfn.SWITCH(Raw_Data!D276,"Yes","International Customer","No","Domestic Plan","Unknown")</f>
        <v>Domestic Plan</v>
      </c>
      <c r="J276" s="1" t="str">
        <f>IF(ISERROR(Raw_Data!G276/0),"Error","Valid")</f>
        <v>Error</v>
      </c>
      <c r="K276" s="1" t="str">
        <f>IF(ISBLANK(Raw_Data!A276),"Missing","Available")</f>
        <v>Available</v>
      </c>
      <c r="L276" s="5" t="str">
        <f>IF(ISNUMBER(Raw_Data!G276),"Numeric","Not Numeric")</f>
        <v>Numeric</v>
      </c>
    </row>
    <row r="277" spans="1:12" x14ac:dyDescent="0.25">
      <c r="A277" s="4" t="str">
        <f>Raw_Data!A277</f>
        <v>NJ</v>
      </c>
      <c r="B277" s="1" t="b">
        <f>Raw_Data!T277</f>
        <v>0</v>
      </c>
      <c r="C277" s="1" t="str">
        <f t="shared" si="4"/>
        <v>Retained</v>
      </c>
      <c r="D277" s="1" t="str">
        <f>IF(Raw_Data!S277=0,"Low Contact",IF(Raw_Data!S277&lt;=2,"Normal Contact","High Contact"))</f>
        <v>Low Contact</v>
      </c>
      <c r="E277" s="1" t="str">
        <f>IF(AND(Raw_Data!G277&gt;200,Raw_Data!H277&gt;100),"High Usage","Normal Usage")</f>
        <v>High Usage</v>
      </c>
      <c r="F277" s="1" t="str" cm="1">
        <f t="array" ref="F277">_xlfn.IFS(B277=TRUE,"High Risk",AND(Raw_Data!S277&gt;=3,Raw_Data!G277&gt;200),"High Risk",Raw_Data!S277&gt;=2,"Medium Risk",TRUE,"Low Risk")</f>
        <v>Low Risk</v>
      </c>
      <c r="G277" s="1" t="str">
        <f>IF(OR(Raw_Data!D277="Yes",Raw_Data!E277="Yes"),"Has Plan","No Special Plan")</f>
        <v>No Special Plan</v>
      </c>
      <c r="H277" s="1" t="str">
        <f>IF(NOT(Raw_Data!S277&gt;=3),"Normal Service Contact","Frequent Service Contact")</f>
        <v>Normal Service Contact</v>
      </c>
      <c r="I277" s="1" t="str" cm="1">
        <f t="array" ref="I277">_xlfn.SWITCH(Raw_Data!D277,"Yes","International Customer","No","Domestic Plan","Unknown")</f>
        <v>Domestic Plan</v>
      </c>
      <c r="J277" s="1" t="str">
        <f>IF(ISERROR(Raw_Data!G277/0),"Error","Valid")</f>
        <v>Error</v>
      </c>
      <c r="K277" s="1" t="str">
        <f>IF(ISBLANK(Raw_Data!A277),"Missing","Available")</f>
        <v>Available</v>
      </c>
      <c r="L277" s="5" t="str">
        <f>IF(ISNUMBER(Raw_Data!G277),"Numeric","Not Numeric")</f>
        <v>Numeric</v>
      </c>
    </row>
    <row r="278" spans="1:12" x14ac:dyDescent="0.25">
      <c r="A278" s="4" t="str">
        <f>Raw_Data!A278</f>
        <v>MI</v>
      </c>
      <c r="B278" s="1" t="b">
        <f>Raw_Data!T278</f>
        <v>1</v>
      </c>
      <c r="C278" s="1" t="str">
        <f t="shared" si="4"/>
        <v>Churned</v>
      </c>
      <c r="D278" s="1" t="str">
        <f>IF(Raw_Data!S278=0,"Low Contact",IF(Raw_Data!S278&lt;=2,"Normal Contact","High Contact"))</f>
        <v>Normal Contact</v>
      </c>
      <c r="E278" s="1" t="str">
        <f>IF(AND(Raw_Data!G278&gt;200,Raw_Data!H278&gt;100),"High Usage","Normal Usage")</f>
        <v>High Usage</v>
      </c>
      <c r="F278" s="1" t="str" cm="1">
        <f t="array" ref="F278">_xlfn.IFS(B278=TRUE,"High Risk",AND(Raw_Data!S278&gt;=3,Raw_Data!G278&gt;200),"High Risk",Raw_Data!S278&gt;=2,"Medium Risk",TRUE,"Low Risk")</f>
        <v>High Risk</v>
      </c>
      <c r="G278" s="1" t="str">
        <f>IF(OR(Raw_Data!D278="Yes",Raw_Data!E278="Yes"),"Has Plan","No Special Plan")</f>
        <v>No Special Plan</v>
      </c>
      <c r="H278" s="1" t="str">
        <f>IF(NOT(Raw_Data!S278&gt;=3),"Normal Service Contact","Frequent Service Contact")</f>
        <v>Normal Service Contact</v>
      </c>
      <c r="I278" s="1" t="str" cm="1">
        <f t="array" ref="I278">_xlfn.SWITCH(Raw_Data!D278,"Yes","International Customer","No","Domestic Plan","Unknown")</f>
        <v>Domestic Plan</v>
      </c>
      <c r="J278" s="1" t="str">
        <f>IF(ISERROR(Raw_Data!G278/0),"Error","Valid")</f>
        <v>Error</v>
      </c>
      <c r="K278" s="1" t="str">
        <f>IF(ISBLANK(Raw_Data!A278),"Missing","Available")</f>
        <v>Available</v>
      </c>
      <c r="L278" s="5" t="str">
        <f>IF(ISNUMBER(Raw_Data!G278),"Numeric","Not Numeric")</f>
        <v>Numeric</v>
      </c>
    </row>
    <row r="279" spans="1:12" x14ac:dyDescent="0.25">
      <c r="A279" s="4" t="str">
        <f>Raw_Data!A279</f>
        <v>ID</v>
      </c>
      <c r="B279" s="1" t="b">
        <f>Raw_Data!T279</f>
        <v>0</v>
      </c>
      <c r="C279" s="1" t="str">
        <f t="shared" si="4"/>
        <v>Retained</v>
      </c>
      <c r="D279" s="1" t="str">
        <f>IF(Raw_Data!S279=0,"Low Contact",IF(Raw_Data!S279&lt;=2,"Normal Contact","High Contact"))</f>
        <v>Normal Contact</v>
      </c>
      <c r="E279" s="1" t="str">
        <f>IF(AND(Raw_Data!G279&gt;200,Raw_Data!H279&gt;100),"High Usage","Normal Usage")</f>
        <v>High Usage</v>
      </c>
      <c r="F279" s="1" t="str" cm="1">
        <f t="array" ref="F279">_xlfn.IFS(B279=TRUE,"High Risk",AND(Raw_Data!S279&gt;=3,Raw_Data!G279&gt;200),"High Risk",Raw_Data!S279&gt;=2,"Medium Risk",TRUE,"Low Risk")</f>
        <v>Low Risk</v>
      </c>
      <c r="G279" s="1" t="str">
        <f>IF(OR(Raw_Data!D279="Yes",Raw_Data!E279="Yes"),"Has Plan","No Special Plan")</f>
        <v>No Special Plan</v>
      </c>
      <c r="H279" s="1" t="str">
        <f>IF(NOT(Raw_Data!S279&gt;=3),"Normal Service Contact","Frequent Service Contact")</f>
        <v>Normal Service Contact</v>
      </c>
      <c r="I279" s="1" t="str" cm="1">
        <f t="array" ref="I279">_xlfn.SWITCH(Raw_Data!D279,"Yes","International Customer","No","Domestic Plan","Unknown")</f>
        <v>Domestic Plan</v>
      </c>
      <c r="J279" s="1" t="str">
        <f>IF(ISERROR(Raw_Data!G279/0),"Error","Valid")</f>
        <v>Error</v>
      </c>
      <c r="K279" s="1" t="str">
        <f>IF(ISBLANK(Raw_Data!A279),"Missing","Available")</f>
        <v>Available</v>
      </c>
      <c r="L279" s="5" t="str">
        <f>IF(ISNUMBER(Raw_Data!G279),"Numeric","Not Numeric")</f>
        <v>Numeric</v>
      </c>
    </row>
    <row r="280" spans="1:12" x14ac:dyDescent="0.25">
      <c r="A280" s="4" t="str">
        <f>Raw_Data!A280</f>
        <v>OR</v>
      </c>
      <c r="B280" s="1" t="b">
        <f>Raw_Data!T280</f>
        <v>0</v>
      </c>
      <c r="C280" s="1" t="str">
        <f t="shared" si="4"/>
        <v>Retained</v>
      </c>
      <c r="D280" s="1" t="str">
        <f>IF(Raw_Data!S280=0,"Low Contact",IF(Raw_Data!S280&lt;=2,"Normal Contact","High Contact"))</f>
        <v>Normal Contact</v>
      </c>
      <c r="E280" s="1" t="str">
        <f>IF(AND(Raw_Data!G280&gt;200,Raw_Data!H280&gt;100),"High Usage","Normal Usage")</f>
        <v>Normal Usage</v>
      </c>
      <c r="F280" s="1" t="str" cm="1">
        <f t="array" ref="F280">_xlfn.IFS(B280=TRUE,"High Risk",AND(Raw_Data!S280&gt;=3,Raw_Data!G280&gt;200),"High Risk",Raw_Data!S280&gt;=2,"Medium Risk",TRUE,"Low Risk")</f>
        <v>Low Risk</v>
      </c>
      <c r="G280" s="1" t="str">
        <f>IF(OR(Raw_Data!D280="Yes",Raw_Data!E280="Yes"),"Has Plan","No Special Plan")</f>
        <v>No Special Plan</v>
      </c>
      <c r="H280" s="1" t="str">
        <f>IF(NOT(Raw_Data!S280&gt;=3),"Normal Service Contact","Frequent Service Contact")</f>
        <v>Normal Service Contact</v>
      </c>
      <c r="I280" s="1" t="str" cm="1">
        <f t="array" ref="I280">_xlfn.SWITCH(Raw_Data!D280,"Yes","International Customer","No","Domestic Plan","Unknown")</f>
        <v>Domestic Plan</v>
      </c>
      <c r="J280" s="1" t="str">
        <f>IF(ISERROR(Raw_Data!G280/0),"Error","Valid")</f>
        <v>Error</v>
      </c>
      <c r="K280" s="1" t="str">
        <f>IF(ISBLANK(Raw_Data!A280),"Missing","Available")</f>
        <v>Available</v>
      </c>
      <c r="L280" s="5" t="str">
        <f>IF(ISNUMBER(Raw_Data!G280),"Numeric","Not Numeric")</f>
        <v>Numeric</v>
      </c>
    </row>
    <row r="281" spans="1:12" x14ac:dyDescent="0.25">
      <c r="A281" s="4" t="str">
        <f>Raw_Data!A281</f>
        <v>UT</v>
      </c>
      <c r="B281" s="1" t="b">
        <f>Raw_Data!T281</f>
        <v>1</v>
      </c>
      <c r="C281" s="1" t="str">
        <f t="shared" si="4"/>
        <v>Churned</v>
      </c>
      <c r="D281" s="1" t="str">
        <f>IF(Raw_Data!S281=0,"Low Contact",IF(Raw_Data!S281&lt;=2,"Normal Contact","High Contact"))</f>
        <v>Normal Contact</v>
      </c>
      <c r="E281" s="1" t="str">
        <f>IF(AND(Raw_Data!G281&gt;200,Raw_Data!H281&gt;100),"High Usage","Normal Usage")</f>
        <v>Normal Usage</v>
      </c>
      <c r="F281" s="1" t="str" cm="1">
        <f t="array" ref="F281">_xlfn.IFS(B281=TRUE,"High Risk",AND(Raw_Data!S281&gt;=3,Raw_Data!G281&gt;200),"High Risk",Raw_Data!S281&gt;=2,"Medium Risk",TRUE,"Low Risk")</f>
        <v>High Risk</v>
      </c>
      <c r="G281" s="1" t="str">
        <f>IF(OR(Raw_Data!D281="Yes",Raw_Data!E281="Yes"),"Has Plan","No Special Plan")</f>
        <v>No Special Plan</v>
      </c>
      <c r="H281" s="1" t="str">
        <f>IF(NOT(Raw_Data!S281&gt;=3),"Normal Service Contact","Frequent Service Contact")</f>
        <v>Normal Service Contact</v>
      </c>
      <c r="I281" s="1" t="str" cm="1">
        <f t="array" ref="I281">_xlfn.SWITCH(Raw_Data!D281,"Yes","International Customer","No","Domestic Plan","Unknown")</f>
        <v>Domestic Plan</v>
      </c>
      <c r="J281" s="1" t="str">
        <f>IF(ISERROR(Raw_Data!G281/0),"Error","Valid")</f>
        <v>Error</v>
      </c>
      <c r="K281" s="1" t="str">
        <f>IF(ISBLANK(Raw_Data!A281),"Missing","Available")</f>
        <v>Available</v>
      </c>
      <c r="L281" s="5" t="str">
        <f>IF(ISNUMBER(Raw_Data!G281),"Numeric","Not Numeric")</f>
        <v>Numeric</v>
      </c>
    </row>
    <row r="282" spans="1:12" x14ac:dyDescent="0.25">
      <c r="A282" s="4" t="str">
        <f>Raw_Data!A282</f>
        <v>LA</v>
      </c>
      <c r="B282" s="1" t="b">
        <f>Raw_Data!T282</f>
        <v>0</v>
      </c>
      <c r="C282" s="1" t="str">
        <f t="shared" si="4"/>
        <v>Retained</v>
      </c>
      <c r="D282" s="1" t="str">
        <f>IF(Raw_Data!S282=0,"Low Contact",IF(Raw_Data!S282&lt;=2,"Normal Contact","High Contact"))</f>
        <v>Normal Contact</v>
      </c>
      <c r="E282" s="1" t="str">
        <f>IF(AND(Raw_Data!G282&gt;200,Raw_Data!H282&gt;100),"High Usage","Normal Usage")</f>
        <v>Normal Usage</v>
      </c>
      <c r="F282" s="1" t="str" cm="1">
        <f t="array" ref="F282">_xlfn.IFS(B282=TRUE,"High Risk",AND(Raw_Data!S282&gt;=3,Raw_Data!G282&gt;200),"High Risk",Raw_Data!S282&gt;=2,"Medium Risk",TRUE,"Low Risk")</f>
        <v>Medium Risk</v>
      </c>
      <c r="G282" s="1" t="str">
        <f>IF(OR(Raw_Data!D282="Yes",Raw_Data!E282="Yes"),"Has Plan","No Special Plan")</f>
        <v>No Special Plan</v>
      </c>
      <c r="H282" s="1" t="str">
        <f>IF(NOT(Raw_Data!S282&gt;=3),"Normal Service Contact","Frequent Service Contact")</f>
        <v>Normal Service Contact</v>
      </c>
      <c r="I282" s="1" t="str" cm="1">
        <f t="array" ref="I282">_xlfn.SWITCH(Raw_Data!D282,"Yes","International Customer","No","Domestic Plan","Unknown")</f>
        <v>Domestic Plan</v>
      </c>
      <c r="J282" s="1" t="str">
        <f>IF(ISERROR(Raw_Data!G282/0),"Error","Valid")</f>
        <v>Error</v>
      </c>
      <c r="K282" s="1" t="str">
        <f>IF(ISBLANK(Raw_Data!A282),"Missing","Available")</f>
        <v>Available</v>
      </c>
      <c r="L282" s="5" t="str">
        <f>IF(ISNUMBER(Raw_Data!G282),"Numeric","Not Numeric")</f>
        <v>Numeric</v>
      </c>
    </row>
    <row r="283" spans="1:12" x14ac:dyDescent="0.25">
      <c r="A283" s="4" t="str">
        <f>Raw_Data!A283</f>
        <v>WI</v>
      </c>
      <c r="B283" s="1" t="b">
        <f>Raw_Data!T283</f>
        <v>0</v>
      </c>
      <c r="C283" s="1" t="str">
        <f t="shared" si="4"/>
        <v>Retained</v>
      </c>
      <c r="D283" s="1" t="str">
        <f>IF(Raw_Data!S283=0,"Low Contact",IF(Raw_Data!S283&lt;=2,"Normal Contact","High Contact"))</f>
        <v>Normal Contact</v>
      </c>
      <c r="E283" s="1" t="str">
        <f>IF(AND(Raw_Data!G283&gt;200,Raw_Data!H283&gt;100),"High Usage","Normal Usage")</f>
        <v>Normal Usage</v>
      </c>
      <c r="F283" s="1" t="str" cm="1">
        <f t="array" ref="F283">_xlfn.IFS(B283=TRUE,"High Risk",AND(Raw_Data!S283&gt;=3,Raw_Data!G283&gt;200),"High Risk",Raw_Data!S283&gt;=2,"Medium Risk",TRUE,"Low Risk")</f>
        <v>Low Risk</v>
      </c>
      <c r="G283" s="1" t="str">
        <f>IF(OR(Raw_Data!D283="Yes",Raw_Data!E283="Yes"),"Has Plan","No Special Plan")</f>
        <v>No Special Plan</v>
      </c>
      <c r="H283" s="1" t="str">
        <f>IF(NOT(Raw_Data!S283&gt;=3),"Normal Service Contact","Frequent Service Contact")</f>
        <v>Normal Service Contact</v>
      </c>
      <c r="I283" s="1" t="str" cm="1">
        <f t="array" ref="I283">_xlfn.SWITCH(Raw_Data!D283,"Yes","International Customer","No","Domestic Plan","Unknown")</f>
        <v>Domestic Plan</v>
      </c>
      <c r="J283" s="1" t="str">
        <f>IF(ISERROR(Raw_Data!G283/0),"Error","Valid")</f>
        <v>Error</v>
      </c>
      <c r="K283" s="1" t="str">
        <f>IF(ISBLANK(Raw_Data!A283),"Missing","Available")</f>
        <v>Available</v>
      </c>
      <c r="L283" s="5" t="str">
        <f>IF(ISNUMBER(Raw_Data!G283),"Numeric","Not Numeric")</f>
        <v>Numeric</v>
      </c>
    </row>
    <row r="284" spans="1:12" x14ac:dyDescent="0.25">
      <c r="A284" s="4" t="str">
        <f>Raw_Data!A284</f>
        <v>ID</v>
      </c>
      <c r="B284" s="1" t="b">
        <f>Raw_Data!T284</f>
        <v>1</v>
      </c>
      <c r="C284" s="1" t="str">
        <f t="shared" si="4"/>
        <v>Churned</v>
      </c>
      <c r="D284" s="1" t="str">
        <f>IF(Raw_Data!S284=0,"Low Contact",IF(Raw_Data!S284&lt;=2,"Normal Contact","High Contact"))</f>
        <v>Normal Contact</v>
      </c>
      <c r="E284" s="1" t="str">
        <f>IF(AND(Raw_Data!G284&gt;200,Raw_Data!H284&gt;100),"High Usage","Normal Usage")</f>
        <v>Normal Usage</v>
      </c>
      <c r="F284" s="1" t="str" cm="1">
        <f t="array" ref="F284">_xlfn.IFS(B284=TRUE,"High Risk",AND(Raw_Data!S284&gt;=3,Raw_Data!G284&gt;200),"High Risk",Raw_Data!S284&gt;=2,"Medium Risk",TRUE,"Low Risk")</f>
        <v>High Risk</v>
      </c>
      <c r="G284" s="1" t="str">
        <f>IF(OR(Raw_Data!D284="Yes",Raw_Data!E284="Yes"),"Has Plan","No Special Plan")</f>
        <v>No Special Plan</v>
      </c>
      <c r="H284" s="1" t="str">
        <f>IF(NOT(Raw_Data!S284&gt;=3),"Normal Service Contact","Frequent Service Contact")</f>
        <v>Normal Service Contact</v>
      </c>
      <c r="I284" s="1" t="str" cm="1">
        <f t="array" ref="I284">_xlfn.SWITCH(Raw_Data!D284,"Yes","International Customer","No","Domestic Plan","Unknown")</f>
        <v>Domestic Plan</v>
      </c>
      <c r="J284" s="1" t="str">
        <f>IF(ISERROR(Raw_Data!G284/0),"Error","Valid")</f>
        <v>Error</v>
      </c>
      <c r="K284" s="1" t="str">
        <f>IF(ISBLANK(Raw_Data!A284),"Missing","Available")</f>
        <v>Available</v>
      </c>
      <c r="L284" s="5" t="str">
        <f>IF(ISNUMBER(Raw_Data!G284),"Numeric","Not Numeric")</f>
        <v>Numeric</v>
      </c>
    </row>
    <row r="285" spans="1:12" x14ac:dyDescent="0.25">
      <c r="A285" s="4" t="str">
        <f>Raw_Data!A285</f>
        <v>TN</v>
      </c>
      <c r="B285" s="1" t="b">
        <f>Raw_Data!T285</f>
        <v>0</v>
      </c>
      <c r="C285" s="1" t="str">
        <f t="shared" si="4"/>
        <v>Retained</v>
      </c>
      <c r="D285" s="1" t="str">
        <f>IF(Raw_Data!S285=0,"Low Contact",IF(Raw_Data!S285&lt;=2,"Normal Contact","High Contact"))</f>
        <v>Normal Contact</v>
      </c>
      <c r="E285" s="1" t="str">
        <f>IF(AND(Raw_Data!G285&gt;200,Raw_Data!H285&gt;100),"High Usage","Normal Usage")</f>
        <v>Normal Usage</v>
      </c>
      <c r="F285" s="1" t="str" cm="1">
        <f t="array" ref="F285">_xlfn.IFS(B285=TRUE,"High Risk",AND(Raw_Data!S285&gt;=3,Raw_Data!G285&gt;200),"High Risk",Raw_Data!S285&gt;=2,"Medium Risk",TRUE,"Low Risk")</f>
        <v>Low Risk</v>
      </c>
      <c r="G285" s="1" t="str">
        <f>IF(OR(Raw_Data!D285="Yes",Raw_Data!E285="Yes"),"Has Plan","No Special Plan")</f>
        <v>No Special Plan</v>
      </c>
      <c r="H285" s="1" t="str">
        <f>IF(NOT(Raw_Data!S285&gt;=3),"Normal Service Contact","Frequent Service Contact")</f>
        <v>Normal Service Contact</v>
      </c>
      <c r="I285" s="1" t="str" cm="1">
        <f t="array" ref="I285">_xlfn.SWITCH(Raw_Data!D285,"Yes","International Customer","No","Domestic Plan","Unknown")</f>
        <v>Domestic Plan</v>
      </c>
      <c r="J285" s="1" t="str">
        <f>IF(ISERROR(Raw_Data!G285/0),"Error","Valid")</f>
        <v>Error</v>
      </c>
      <c r="K285" s="1" t="str">
        <f>IF(ISBLANK(Raw_Data!A285),"Missing","Available")</f>
        <v>Available</v>
      </c>
      <c r="L285" s="5" t="str">
        <f>IF(ISNUMBER(Raw_Data!G285),"Numeric","Not Numeric")</f>
        <v>Numeric</v>
      </c>
    </row>
    <row r="286" spans="1:12" x14ac:dyDescent="0.25">
      <c r="A286" s="4" t="str">
        <f>Raw_Data!A286</f>
        <v>NV</v>
      </c>
      <c r="B286" s="1" t="b">
        <f>Raw_Data!T286</f>
        <v>0</v>
      </c>
      <c r="C286" s="1" t="str">
        <f t="shared" si="4"/>
        <v>Retained</v>
      </c>
      <c r="D286" s="1" t="str">
        <f>IF(Raw_Data!S286=0,"Low Contact",IF(Raw_Data!S286&lt;=2,"Normal Contact","High Contact"))</f>
        <v>Normal Contact</v>
      </c>
      <c r="E286" s="1" t="str">
        <f>IF(AND(Raw_Data!G286&gt;200,Raw_Data!H286&gt;100),"High Usage","Normal Usage")</f>
        <v>High Usage</v>
      </c>
      <c r="F286" s="1" t="str" cm="1">
        <f t="array" ref="F286">_xlfn.IFS(B286=TRUE,"High Risk",AND(Raw_Data!S286&gt;=3,Raw_Data!G286&gt;200),"High Risk",Raw_Data!S286&gt;=2,"Medium Risk",TRUE,"Low Risk")</f>
        <v>Low Risk</v>
      </c>
      <c r="G286" s="1" t="str">
        <f>IF(OR(Raw_Data!D286="Yes",Raw_Data!E286="Yes"),"Has Plan","No Special Plan")</f>
        <v>Has Plan</v>
      </c>
      <c r="H286" s="1" t="str">
        <f>IF(NOT(Raw_Data!S286&gt;=3),"Normal Service Contact","Frequent Service Contact")</f>
        <v>Normal Service Contact</v>
      </c>
      <c r="I286" s="1" t="str" cm="1">
        <f t="array" ref="I286">_xlfn.SWITCH(Raw_Data!D286,"Yes","International Customer","No","Domestic Plan","Unknown")</f>
        <v>Domestic Plan</v>
      </c>
      <c r="J286" s="1" t="str">
        <f>IF(ISERROR(Raw_Data!G286/0),"Error","Valid")</f>
        <v>Error</v>
      </c>
      <c r="K286" s="1" t="str">
        <f>IF(ISBLANK(Raw_Data!A286),"Missing","Available")</f>
        <v>Available</v>
      </c>
      <c r="L286" s="5" t="str">
        <f>IF(ISNUMBER(Raw_Data!G286),"Numeric","Not Numeric")</f>
        <v>Numeric</v>
      </c>
    </row>
    <row r="287" spans="1:12" x14ac:dyDescent="0.25">
      <c r="A287" s="4" t="str">
        <f>Raw_Data!A287</f>
        <v>WY</v>
      </c>
      <c r="B287" s="1" t="b">
        <f>Raw_Data!T287</f>
        <v>0</v>
      </c>
      <c r="C287" s="1" t="str">
        <f t="shared" si="4"/>
        <v>Retained</v>
      </c>
      <c r="D287" s="1" t="str">
        <f>IF(Raw_Data!S287=0,"Low Contact",IF(Raw_Data!S287&lt;=2,"Normal Contact","High Contact"))</f>
        <v>Low Contact</v>
      </c>
      <c r="E287" s="1" t="str">
        <f>IF(AND(Raw_Data!G287&gt;200,Raw_Data!H287&gt;100),"High Usage","Normal Usage")</f>
        <v>High Usage</v>
      </c>
      <c r="F287" s="1" t="str" cm="1">
        <f t="array" ref="F287">_xlfn.IFS(B287=TRUE,"High Risk",AND(Raw_Data!S287&gt;=3,Raw_Data!G287&gt;200),"High Risk",Raw_Data!S287&gt;=2,"Medium Risk",TRUE,"Low Risk")</f>
        <v>Low Risk</v>
      </c>
      <c r="G287" s="1" t="str">
        <f>IF(OR(Raw_Data!D287="Yes",Raw_Data!E287="Yes"),"Has Plan","No Special Plan")</f>
        <v>No Special Plan</v>
      </c>
      <c r="H287" s="1" t="str">
        <f>IF(NOT(Raw_Data!S287&gt;=3),"Normal Service Contact","Frequent Service Contact")</f>
        <v>Normal Service Contact</v>
      </c>
      <c r="I287" s="1" t="str" cm="1">
        <f t="array" ref="I287">_xlfn.SWITCH(Raw_Data!D287,"Yes","International Customer","No","Domestic Plan","Unknown")</f>
        <v>Domestic Plan</v>
      </c>
      <c r="J287" s="1" t="str">
        <f>IF(ISERROR(Raw_Data!G287/0),"Error","Valid")</f>
        <v>Error</v>
      </c>
      <c r="K287" s="1" t="str">
        <f>IF(ISBLANK(Raw_Data!A287),"Missing","Available")</f>
        <v>Available</v>
      </c>
      <c r="L287" s="5" t="str">
        <f>IF(ISNUMBER(Raw_Data!G287),"Numeric","Not Numeric")</f>
        <v>Numeric</v>
      </c>
    </row>
    <row r="288" spans="1:12" x14ac:dyDescent="0.25">
      <c r="A288" s="4" t="str">
        <f>Raw_Data!A288</f>
        <v>IL</v>
      </c>
      <c r="B288" s="1" t="b">
        <f>Raw_Data!T288</f>
        <v>0</v>
      </c>
      <c r="C288" s="1" t="str">
        <f t="shared" si="4"/>
        <v>Retained</v>
      </c>
      <c r="D288" s="1" t="str">
        <f>IF(Raw_Data!S288=0,"Low Contact",IF(Raw_Data!S288&lt;=2,"Normal Contact","High Contact"))</f>
        <v>Normal Contact</v>
      </c>
      <c r="E288" s="1" t="str">
        <f>IF(AND(Raw_Data!G288&gt;200,Raw_Data!H288&gt;100),"High Usage","Normal Usage")</f>
        <v>High Usage</v>
      </c>
      <c r="F288" s="1" t="str" cm="1">
        <f t="array" ref="F288">_xlfn.IFS(B288=TRUE,"High Risk",AND(Raw_Data!S288&gt;=3,Raw_Data!G288&gt;200),"High Risk",Raw_Data!S288&gt;=2,"Medium Risk",TRUE,"Low Risk")</f>
        <v>Low Risk</v>
      </c>
      <c r="G288" s="1" t="str">
        <f>IF(OR(Raw_Data!D288="Yes",Raw_Data!E288="Yes"),"Has Plan","No Special Plan")</f>
        <v>Has Plan</v>
      </c>
      <c r="H288" s="1" t="str">
        <f>IF(NOT(Raw_Data!S288&gt;=3),"Normal Service Contact","Frequent Service Contact")</f>
        <v>Normal Service Contact</v>
      </c>
      <c r="I288" s="1" t="str" cm="1">
        <f t="array" ref="I288">_xlfn.SWITCH(Raw_Data!D288,"Yes","International Customer","No","Domestic Plan","Unknown")</f>
        <v>Domestic Plan</v>
      </c>
      <c r="J288" s="1" t="str">
        <f>IF(ISERROR(Raw_Data!G288/0),"Error","Valid")</f>
        <v>Error</v>
      </c>
      <c r="K288" s="1" t="str">
        <f>IF(ISBLANK(Raw_Data!A288),"Missing","Available")</f>
        <v>Available</v>
      </c>
      <c r="L288" s="5" t="str">
        <f>IF(ISNUMBER(Raw_Data!G288),"Numeric","Not Numeric")</f>
        <v>Numeric</v>
      </c>
    </row>
    <row r="289" spans="1:12" x14ac:dyDescent="0.25">
      <c r="A289" s="4" t="str">
        <f>Raw_Data!A289</f>
        <v>MA</v>
      </c>
      <c r="B289" s="1" t="b">
        <f>Raw_Data!T289</f>
        <v>1</v>
      </c>
      <c r="C289" s="1" t="str">
        <f t="shared" si="4"/>
        <v>Churned</v>
      </c>
      <c r="D289" s="1" t="str">
        <f>IF(Raw_Data!S289=0,"Low Contact",IF(Raw_Data!S289&lt;=2,"Normal Contact","High Contact"))</f>
        <v>Low Contact</v>
      </c>
      <c r="E289" s="1" t="str">
        <f>IF(AND(Raw_Data!G289&gt;200,Raw_Data!H289&gt;100),"High Usage","Normal Usage")</f>
        <v>Normal Usage</v>
      </c>
      <c r="F289" s="1" t="str" cm="1">
        <f t="array" ref="F289">_xlfn.IFS(B289=TRUE,"High Risk",AND(Raw_Data!S289&gt;=3,Raw_Data!G289&gt;200),"High Risk",Raw_Data!S289&gt;=2,"Medium Risk",TRUE,"Low Risk")</f>
        <v>High Risk</v>
      </c>
      <c r="G289" s="1" t="str">
        <f>IF(OR(Raw_Data!D289="Yes",Raw_Data!E289="Yes"),"Has Plan","No Special Plan")</f>
        <v>No Special Plan</v>
      </c>
      <c r="H289" s="1" t="str">
        <f>IF(NOT(Raw_Data!S289&gt;=3),"Normal Service Contact","Frequent Service Contact")</f>
        <v>Normal Service Contact</v>
      </c>
      <c r="I289" s="1" t="str" cm="1">
        <f t="array" ref="I289">_xlfn.SWITCH(Raw_Data!D289,"Yes","International Customer","No","Domestic Plan","Unknown")</f>
        <v>Domestic Plan</v>
      </c>
      <c r="J289" s="1" t="str">
        <f>IF(ISERROR(Raw_Data!G289/0),"Error","Valid")</f>
        <v>Error</v>
      </c>
      <c r="K289" s="1" t="str">
        <f>IF(ISBLANK(Raw_Data!A289),"Missing","Available")</f>
        <v>Available</v>
      </c>
      <c r="L289" s="5" t="str">
        <f>IF(ISNUMBER(Raw_Data!G289),"Numeric","Not Numeric")</f>
        <v>Numeric</v>
      </c>
    </row>
    <row r="290" spans="1:12" x14ac:dyDescent="0.25">
      <c r="A290" s="4" t="str">
        <f>Raw_Data!A290</f>
        <v>AZ</v>
      </c>
      <c r="B290" s="1" t="b">
        <f>Raw_Data!T290</f>
        <v>0</v>
      </c>
      <c r="C290" s="1" t="str">
        <f t="shared" si="4"/>
        <v>Retained</v>
      </c>
      <c r="D290" s="1" t="str">
        <f>IF(Raw_Data!S290=0,"Low Contact",IF(Raw_Data!S290&lt;=2,"Normal Contact","High Contact"))</f>
        <v>High Contact</v>
      </c>
      <c r="E290" s="1" t="str">
        <f>IF(AND(Raw_Data!G290&gt;200,Raw_Data!H290&gt;100),"High Usage","Normal Usage")</f>
        <v>Normal Usage</v>
      </c>
      <c r="F290" s="1" t="str" cm="1">
        <f t="array" ref="F290">_xlfn.IFS(B290=TRUE,"High Risk",AND(Raw_Data!S290&gt;=3,Raw_Data!G290&gt;200),"High Risk",Raw_Data!S290&gt;=2,"Medium Risk",TRUE,"Low Risk")</f>
        <v>Medium Risk</v>
      </c>
      <c r="G290" s="1" t="str">
        <f>IF(OR(Raw_Data!D290="Yes",Raw_Data!E290="Yes"),"Has Plan","No Special Plan")</f>
        <v>No Special Plan</v>
      </c>
      <c r="H290" s="1" t="str">
        <f>IF(NOT(Raw_Data!S290&gt;=3),"Normal Service Contact","Frequent Service Contact")</f>
        <v>Frequent Service Contact</v>
      </c>
      <c r="I290" s="1" t="str" cm="1">
        <f t="array" ref="I290">_xlfn.SWITCH(Raw_Data!D290,"Yes","International Customer","No","Domestic Plan","Unknown")</f>
        <v>Domestic Plan</v>
      </c>
      <c r="J290" s="1" t="str">
        <f>IF(ISERROR(Raw_Data!G290/0),"Error","Valid")</f>
        <v>Error</v>
      </c>
      <c r="K290" s="1" t="str">
        <f>IF(ISBLANK(Raw_Data!A290),"Missing","Available")</f>
        <v>Available</v>
      </c>
      <c r="L290" s="5" t="str">
        <f>IF(ISNUMBER(Raw_Data!G290),"Numeric","Not Numeric")</f>
        <v>Numeric</v>
      </c>
    </row>
    <row r="291" spans="1:12" x14ac:dyDescent="0.25">
      <c r="A291" s="4" t="str">
        <f>Raw_Data!A291</f>
        <v>ND</v>
      </c>
      <c r="B291" s="1" t="b">
        <f>Raw_Data!T291</f>
        <v>0</v>
      </c>
      <c r="C291" s="1" t="str">
        <f t="shared" si="4"/>
        <v>Retained</v>
      </c>
      <c r="D291" s="1" t="str">
        <f>IF(Raw_Data!S291=0,"Low Contact",IF(Raw_Data!S291&lt;=2,"Normal Contact","High Contact"))</f>
        <v>Low Contact</v>
      </c>
      <c r="E291" s="1" t="str">
        <f>IF(AND(Raw_Data!G291&gt;200,Raw_Data!H291&gt;100),"High Usage","Normal Usage")</f>
        <v>Normal Usage</v>
      </c>
      <c r="F291" s="1" t="str" cm="1">
        <f t="array" ref="F291">_xlfn.IFS(B291=TRUE,"High Risk",AND(Raw_Data!S291&gt;=3,Raw_Data!G291&gt;200),"High Risk",Raw_Data!S291&gt;=2,"Medium Risk",TRUE,"Low Risk")</f>
        <v>Low Risk</v>
      </c>
      <c r="G291" s="1" t="str">
        <f>IF(OR(Raw_Data!D291="Yes",Raw_Data!E291="Yes"),"Has Plan","No Special Plan")</f>
        <v>No Special Plan</v>
      </c>
      <c r="H291" s="1" t="str">
        <f>IF(NOT(Raw_Data!S291&gt;=3),"Normal Service Contact","Frequent Service Contact")</f>
        <v>Normal Service Contact</v>
      </c>
      <c r="I291" s="1" t="str" cm="1">
        <f t="array" ref="I291">_xlfn.SWITCH(Raw_Data!D291,"Yes","International Customer","No","Domestic Plan","Unknown")</f>
        <v>Domestic Plan</v>
      </c>
      <c r="J291" s="1" t="str">
        <f>IF(ISERROR(Raw_Data!G291/0),"Error","Valid")</f>
        <v>Error</v>
      </c>
      <c r="K291" s="1" t="str">
        <f>IF(ISBLANK(Raw_Data!A291),"Missing","Available")</f>
        <v>Available</v>
      </c>
      <c r="L291" s="5" t="str">
        <f>IF(ISNUMBER(Raw_Data!G291),"Numeric","Not Numeric")</f>
        <v>Numeric</v>
      </c>
    </row>
    <row r="292" spans="1:12" x14ac:dyDescent="0.25">
      <c r="A292" s="4" t="str">
        <f>Raw_Data!A292</f>
        <v>SD</v>
      </c>
      <c r="B292" s="1" t="b">
        <f>Raw_Data!T292</f>
        <v>0</v>
      </c>
      <c r="C292" s="1" t="str">
        <f t="shared" si="4"/>
        <v>Retained</v>
      </c>
      <c r="D292" s="1" t="str">
        <f>IF(Raw_Data!S292=0,"Low Contact",IF(Raw_Data!S292&lt;=2,"Normal Contact","High Contact"))</f>
        <v>Normal Contact</v>
      </c>
      <c r="E292" s="1" t="str">
        <f>IF(AND(Raw_Data!G292&gt;200,Raw_Data!H292&gt;100),"High Usage","Normal Usage")</f>
        <v>Normal Usage</v>
      </c>
      <c r="F292" s="1" t="str" cm="1">
        <f t="array" ref="F292">_xlfn.IFS(B292=TRUE,"High Risk",AND(Raw_Data!S292&gt;=3,Raw_Data!G292&gt;200),"High Risk",Raw_Data!S292&gt;=2,"Medium Risk",TRUE,"Low Risk")</f>
        <v>Low Risk</v>
      </c>
      <c r="G292" s="1" t="str">
        <f>IF(OR(Raw_Data!D292="Yes",Raw_Data!E292="Yes"),"Has Plan","No Special Plan")</f>
        <v>No Special Plan</v>
      </c>
      <c r="H292" s="1" t="str">
        <f>IF(NOT(Raw_Data!S292&gt;=3),"Normal Service Contact","Frequent Service Contact")</f>
        <v>Normal Service Contact</v>
      </c>
      <c r="I292" s="1" t="str" cm="1">
        <f t="array" ref="I292">_xlfn.SWITCH(Raw_Data!D292,"Yes","International Customer","No","Domestic Plan","Unknown")</f>
        <v>Domestic Plan</v>
      </c>
      <c r="J292" s="1" t="str">
        <f>IF(ISERROR(Raw_Data!G292/0),"Error","Valid")</f>
        <v>Error</v>
      </c>
      <c r="K292" s="1" t="str">
        <f>IF(ISBLANK(Raw_Data!A292),"Missing","Available")</f>
        <v>Available</v>
      </c>
      <c r="L292" s="5" t="str">
        <f>IF(ISNUMBER(Raw_Data!G292),"Numeric","Not Numeric")</f>
        <v>Numeric</v>
      </c>
    </row>
    <row r="293" spans="1:12" x14ac:dyDescent="0.25">
      <c r="A293" s="4" t="str">
        <f>Raw_Data!A293</f>
        <v>ND</v>
      </c>
      <c r="B293" s="1" t="b">
        <f>Raw_Data!T293</f>
        <v>0</v>
      </c>
      <c r="C293" s="1" t="str">
        <f t="shared" si="4"/>
        <v>Retained</v>
      </c>
      <c r="D293" s="1" t="str">
        <f>IF(Raw_Data!S293=0,"Low Contact",IF(Raw_Data!S293&lt;=2,"Normal Contact","High Contact"))</f>
        <v>Normal Contact</v>
      </c>
      <c r="E293" s="1" t="str">
        <f>IF(AND(Raw_Data!G293&gt;200,Raw_Data!H293&gt;100),"High Usage","Normal Usage")</f>
        <v>Normal Usage</v>
      </c>
      <c r="F293" s="1" t="str" cm="1">
        <f t="array" ref="F293">_xlfn.IFS(B293=TRUE,"High Risk",AND(Raw_Data!S293&gt;=3,Raw_Data!G293&gt;200),"High Risk",Raw_Data!S293&gt;=2,"Medium Risk",TRUE,"Low Risk")</f>
        <v>Low Risk</v>
      </c>
      <c r="G293" s="1" t="str">
        <f>IF(OR(Raw_Data!D293="Yes",Raw_Data!E293="Yes"),"Has Plan","No Special Plan")</f>
        <v>No Special Plan</v>
      </c>
      <c r="H293" s="1" t="str">
        <f>IF(NOT(Raw_Data!S293&gt;=3),"Normal Service Contact","Frequent Service Contact")</f>
        <v>Normal Service Contact</v>
      </c>
      <c r="I293" s="1" t="str" cm="1">
        <f t="array" ref="I293">_xlfn.SWITCH(Raw_Data!D293,"Yes","International Customer","No","Domestic Plan","Unknown")</f>
        <v>Domestic Plan</v>
      </c>
      <c r="J293" s="1" t="str">
        <f>IF(ISERROR(Raw_Data!G293/0),"Error","Valid")</f>
        <v>Error</v>
      </c>
      <c r="K293" s="1" t="str">
        <f>IF(ISBLANK(Raw_Data!A293),"Missing","Available")</f>
        <v>Available</v>
      </c>
      <c r="L293" s="5" t="str">
        <f>IF(ISNUMBER(Raw_Data!G293),"Numeric","Not Numeric")</f>
        <v>Numeric</v>
      </c>
    </row>
    <row r="294" spans="1:12" x14ac:dyDescent="0.25">
      <c r="A294" s="4" t="str">
        <f>Raw_Data!A294</f>
        <v>CT</v>
      </c>
      <c r="B294" s="1" t="b">
        <f>Raw_Data!T294</f>
        <v>0</v>
      </c>
      <c r="C294" s="1" t="str">
        <f t="shared" si="4"/>
        <v>Retained</v>
      </c>
      <c r="D294" s="1" t="str">
        <f>IF(Raw_Data!S294=0,"Low Contact",IF(Raw_Data!S294&lt;=2,"Normal Contact","High Contact"))</f>
        <v>Normal Contact</v>
      </c>
      <c r="E294" s="1" t="str">
        <f>IF(AND(Raw_Data!G294&gt;200,Raw_Data!H294&gt;100),"High Usage","Normal Usage")</f>
        <v>Normal Usage</v>
      </c>
      <c r="F294" s="1" t="str" cm="1">
        <f t="array" ref="F294">_xlfn.IFS(B294=TRUE,"High Risk",AND(Raw_Data!S294&gt;=3,Raw_Data!G294&gt;200),"High Risk",Raw_Data!S294&gt;=2,"Medium Risk",TRUE,"Low Risk")</f>
        <v>Low Risk</v>
      </c>
      <c r="G294" s="1" t="str">
        <f>IF(OR(Raw_Data!D294="Yes",Raw_Data!E294="Yes"),"Has Plan","No Special Plan")</f>
        <v>No Special Plan</v>
      </c>
      <c r="H294" s="1" t="str">
        <f>IF(NOT(Raw_Data!S294&gt;=3),"Normal Service Contact","Frequent Service Contact")</f>
        <v>Normal Service Contact</v>
      </c>
      <c r="I294" s="1" t="str" cm="1">
        <f t="array" ref="I294">_xlfn.SWITCH(Raw_Data!D294,"Yes","International Customer","No","Domestic Plan","Unknown")</f>
        <v>Domestic Plan</v>
      </c>
      <c r="J294" s="1" t="str">
        <f>IF(ISERROR(Raw_Data!G294/0),"Error","Valid")</f>
        <v>Error</v>
      </c>
      <c r="K294" s="1" t="str">
        <f>IF(ISBLANK(Raw_Data!A294),"Missing","Available")</f>
        <v>Available</v>
      </c>
      <c r="L294" s="5" t="str">
        <f>IF(ISNUMBER(Raw_Data!G294),"Numeric","Not Numeric")</f>
        <v>Numeric</v>
      </c>
    </row>
    <row r="295" spans="1:12" x14ac:dyDescent="0.25">
      <c r="A295" s="4" t="str">
        <f>Raw_Data!A295</f>
        <v>MO</v>
      </c>
      <c r="B295" s="1" t="b">
        <f>Raw_Data!T295</f>
        <v>0</v>
      </c>
      <c r="C295" s="1" t="str">
        <f t="shared" si="4"/>
        <v>Retained</v>
      </c>
      <c r="D295" s="1" t="str">
        <f>IF(Raw_Data!S295=0,"Low Contact",IF(Raw_Data!S295&lt;=2,"Normal Contact","High Contact"))</f>
        <v>High Contact</v>
      </c>
      <c r="E295" s="1" t="str">
        <f>IF(AND(Raw_Data!G295&gt;200,Raw_Data!H295&gt;100),"High Usage","Normal Usage")</f>
        <v>High Usage</v>
      </c>
      <c r="F295" s="1" t="str" cm="1">
        <f t="array" ref="F295">_xlfn.IFS(B295=TRUE,"High Risk",AND(Raw_Data!S295&gt;=3,Raw_Data!G295&gt;200),"High Risk",Raw_Data!S295&gt;=2,"Medium Risk",TRUE,"Low Risk")</f>
        <v>High Risk</v>
      </c>
      <c r="G295" s="1" t="str">
        <f>IF(OR(Raw_Data!D295="Yes",Raw_Data!E295="Yes"),"Has Plan","No Special Plan")</f>
        <v>No Special Plan</v>
      </c>
      <c r="H295" s="1" t="str">
        <f>IF(NOT(Raw_Data!S295&gt;=3),"Normal Service Contact","Frequent Service Contact")</f>
        <v>Frequent Service Contact</v>
      </c>
      <c r="I295" s="1" t="str" cm="1">
        <f t="array" ref="I295">_xlfn.SWITCH(Raw_Data!D295,"Yes","International Customer","No","Domestic Plan","Unknown")</f>
        <v>Domestic Plan</v>
      </c>
      <c r="J295" s="1" t="str">
        <f>IF(ISERROR(Raw_Data!G295/0),"Error","Valid")</f>
        <v>Error</v>
      </c>
      <c r="K295" s="1" t="str">
        <f>IF(ISBLANK(Raw_Data!A295),"Missing","Available")</f>
        <v>Available</v>
      </c>
      <c r="L295" s="5" t="str">
        <f>IF(ISNUMBER(Raw_Data!G295),"Numeric","Not Numeric")</f>
        <v>Numeric</v>
      </c>
    </row>
    <row r="296" spans="1:12" x14ac:dyDescent="0.25">
      <c r="A296" s="4" t="str">
        <f>Raw_Data!A296</f>
        <v>NJ</v>
      </c>
      <c r="B296" s="1" t="b">
        <f>Raw_Data!T296</f>
        <v>0</v>
      </c>
      <c r="C296" s="1" t="str">
        <f t="shared" si="4"/>
        <v>Retained</v>
      </c>
      <c r="D296" s="1" t="str">
        <f>IF(Raw_Data!S296=0,"Low Contact",IF(Raw_Data!S296&lt;=2,"Normal Contact","High Contact"))</f>
        <v>Normal Contact</v>
      </c>
      <c r="E296" s="1" t="str">
        <f>IF(AND(Raw_Data!G296&gt;200,Raw_Data!H296&gt;100),"High Usage","Normal Usage")</f>
        <v>Normal Usage</v>
      </c>
      <c r="F296" s="1" t="str" cm="1">
        <f t="array" ref="F296">_xlfn.IFS(B296=TRUE,"High Risk",AND(Raw_Data!S296&gt;=3,Raw_Data!G296&gt;200),"High Risk",Raw_Data!S296&gt;=2,"Medium Risk",TRUE,"Low Risk")</f>
        <v>Low Risk</v>
      </c>
      <c r="G296" s="1" t="str">
        <f>IF(OR(Raw_Data!D296="Yes",Raw_Data!E296="Yes"),"Has Plan","No Special Plan")</f>
        <v>No Special Plan</v>
      </c>
      <c r="H296" s="1" t="str">
        <f>IF(NOT(Raw_Data!S296&gt;=3),"Normal Service Contact","Frequent Service Contact")</f>
        <v>Normal Service Contact</v>
      </c>
      <c r="I296" s="1" t="str" cm="1">
        <f t="array" ref="I296">_xlfn.SWITCH(Raw_Data!D296,"Yes","International Customer","No","Domestic Plan","Unknown")</f>
        <v>Domestic Plan</v>
      </c>
      <c r="J296" s="1" t="str">
        <f>IF(ISERROR(Raw_Data!G296/0),"Error","Valid")</f>
        <v>Error</v>
      </c>
      <c r="K296" s="1" t="str">
        <f>IF(ISBLANK(Raw_Data!A296),"Missing","Available")</f>
        <v>Available</v>
      </c>
      <c r="L296" s="5" t="str">
        <f>IF(ISNUMBER(Raw_Data!G296),"Numeric","Not Numeric")</f>
        <v>Numeric</v>
      </c>
    </row>
    <row r="297" spans="1:12" x14ac:dyDescent="0.25">
      <c r="A297" s="4" t="str">
        <f>Raw_Data!A297</f>
        <v>NC</v>
      </c>
      <c r="B297" s="1" t="b">
        <f>Raw_Data!T297</f>
        <v>0</v>
      </c>
      <c r="C297" s="1" t="str">
        <f t="shared" si="4"/>
        <v>Retained</v>
      </c>
      <c r="D297" s="1" t="str">
        <f>IF(Raw_Data!S297=0,"Low Contact",IF(Raw_Data!S297&lt;=2,"Normal Contact","High Contact"))</f>
        <v>Low Contact</v>
      </c>
      <c r="E297" s="1" t="str">
        <f>IF(AND(Raw_Data!G297&gt;200,Raw_Data!H297&gt;100),"High Usage","Normal Usage")</f>
        <v>High Usage</v>
      </c>
      <c r="F297" s="1" t="str" cm="1">
        <f t="array" ref="F297">_xlfn.IFS(B297=TRUE,"High Risk",AND(Raw_Data!S297&gt;=3,Raw_Data!G297&gt;200),"High Risk",Raw_Data!S297&gt;=2,"Medium Risk",TRUE,"Low Risk")</f>
        <v>Low Risk</v>
      </c>
      <c r="G297" s="1" t="str">
        <f>IF(OR(Raw_Data!D297="Yes",Raw_Data!E297="Yes"),"Has Plan","No Special Plan")</f>
        <v>No Special Plan</v>
      </c>
      <c r="H297" s="1" t="str">
        <f>IF(NOT(Raw_Data!S297&gt;=3),"Normal Service Contact","Frequent Service Contact")</f>
        <v>Normal Service Contact</v>
      </c>
      <c r="I297" s="1" t="str" cm="1">
        <f t="array" ref="I297">_xlfn.SWITCH(Raw_Data!D297,"Yes","International Customer","No","Domestic Plan","Unknown")</f>
        <v>Domestic Plan</v>
      </c>
      <c r="J297" s="1" t="str">
        <f>IF(ISERROR(Raw_Data!G297/0),"Error","Valid")</f>
        <v>Error</v>
      </c>
      <c r="K297" s="1" t="str">
        <f>IF(ISBLANK(Raw_Data!A297),"Missing","Available")</f>
        <v>Available</v>
      </c>
      <c r="L297" s="5" t="str">
        <f>IF(ISNUMBER(Raw_Data!G297),"Numeric","Not Numeric")</f>
        <v>Numeric</v>
      </c>
    </row>
    <row r="298" spans="1:12" x14ac:dyDescent="0.25">
      <c r="A298" s="4" t="str">
        <f>Raw_Data!A298</f>
        <v>UT</v>
      </c>
      <c r="B298" s="1" t="b">
        <f>Raw_Data!T298</f>
        <v>0</v>
      </c>
      <c r="C298" s="1" t="str">
        <f t="shared" si="4"/>
        <v>Retained</v>
      </c>
      <c r="D298" s="1" t="str">
        <f>IF(Raw_Data!S298=0,"Low Contact",IF(Raw_Data!S298&lt;=2,"Normal Contact","High Contact"))</f>
        <v>Low Contact</v>
      </c>
      <c r="E298" s="1" t="str">
        <f>IF(AND(Raw_Data!G298&gt;200,Raw_Data!H298&gt;100),"High Usage","Normal Usage")</f>
        <v>Normal Usage</v>
      </c>
      <c r="F298" s="1" t="str" cm="1">
        <f t="array" ref="F298">_xlfn.IFS(B298=TRUE,"High Risk",AND(Raw_Data!S298&gt;=3,Raw_Data!G298&gt;200),"High Risk",Raw_Data!S298&gt;=2,"Medium Risk",TRUE,"Low Risk")</f>
        <v>Low Risk</v>
      </c>
      <c r="G298" s="1" t="str">
        <f>IF(OR(Raw_Data!D298="Yes",Raw_Data!E298="Yes"),"Has Plan","No Special Plan")</f>
        <v>No Special Plan</v>
      </c>
      <c r="H298" s="1" t="str">
        <f>IF(NOT(Raw_Data!S298&gt;=3),"Normal Service Contact","Frequent Service Contact")</f>
        <v>Normal Service Contact</v>
      </c>
      <c r="I298" s="1" t="str" cm="1">
        <f t="array" ref="I298">_xlfn.SWITCH(Raw_Data!D298,"Yes","International Customer","No","Domestic Plan","Unknown")</f>
        <v>Domestic Plan</v>
      </c>
      <c r="J298" s="1" t="str">
        <f>IF(ISERROR(Raw_Data!G298/0),"Error","Valid")</f>
        <v>Error</v>
      </c>
      <c r="K298" s="1" t="str">
        <f>IF(ISBLANK(Raw_Data!A298),"Missing","Available")</f>
        <v>Available</v>
      </c>
      <c r="L298" s="5" t="str">
        <f>IF(ISNUMBER(Raw_Data!G298),"Numeric","Not Numeric")</f>
        <v>Numeric</v>
      </c>
    </row>
    <row r="299" spans="1:12" x14ac:dyDescent="0.25">
      <c r="A299" s="4" t="str">
        <f>Raw_Data!A299</f>
        <v>WI</v>
      </c>
      <c r="B299" s="1" t="b">
        <f>Raw_Data!T299</f>
        <v>0</v>
      </c>
      <c r="C299" s="1" t="str">
        <f t="shared" si="4"/>
        <v>Retained</v>
      </c>
      <c r="D299" s="1" t="str">
        <f>IF(Raw_Data!S299=0,"Low Contact",IF(Raw_Data!S299&lt;=2,"Normal Contact","High Contact"))</f>
        <v>Low Contact</v>
      </c>
      <c r="E299" s="1" t="str">
        <f>IF(AND(Raw_Data!G299&gt;200,Raw_Data!H299&gt;100),"High Usage","Normal Usage")</f>
        <v>Normal Usage</v>
      </c>
      <c r="F299" s="1" t="str" cm="1">
        <f t="array" ref="F299">_xlfn.IFS(B299=TRUE,"High Risk",AND(Raw_Data!S299&gt;=3,Raw_Data!G299&gt;200),"High Risk",Raw_Data!S299&gt;=2,"Medium Risk",TRUE,"Low Risk")</f>
        <v>Low Risk</v>
      </c>
      <c r="G299" s="1" t="str">
        <f>IF(OR(Raw_Data!D299="Yes",Raw_Data!E299="Yes"),"Has Plan","No Special Plan")</f>
        <v>No Special Plan</v>
      </c>
      <c r="H299" s="1" t="str">
        <f>IF(NOT(Raw_Data!S299&gt;=3),"Normal Service Contact","Frequent Service Contact")</f>
        <v>Normal Service Contact</v>
      </c>
      <c r="I299" s="1" t="str" cm="1">
        <f t="array" ref="I299">_xlfn.SWITCH(Raw_Data!D299,"Yes","International Customer","No","Domestic Plan","Unknown")</f>
        <v>Domestic Plan</v>
      </c>
      <c r="J299" s="1" t="str">
        <f>IF(ISERROR(Raw_Data!G299/0),"Error","Valid")</f>
        <v>Error</v>
      </c>
      <c r="K299" s="1" t="str">
        <f>IF(ISBLANK(Raw_Data!A299),"Missing","Available")</f>
        <v>Available</v>
      </c>
      <c r="L299" s="5" t="str">
        <f>IF(ISNUMBER(Raw_Data!G299),"Numeric","Not Numeric")</f>
        <v>Numeric</v>
      </c>
    </row>
    <row r="300" spans="1:12" x14ac:dyDescent="0.25">
      <c r="A300" s="4" t="str">
        <f>Raw_Data!A300</f>
        <v>MT</v>
      </c>
      <c r="B300" s="1" t="b">
        <f>Raw_Data!T300</f>
        <v>1</v>
      </c>
      <c r="C300" s="1" t="str">
        <f t="shared" si="4"/>
        <v>Churned</v>
      </c>
      <c r="D300" s="1" t="str">
        <f>IF(Raw_Data!S300=0,"Low Contact",IF(Raw_Data!S300&lt;=2,"Normal Contact","High Contact"))</f>
        <v>High Contact</v>
      </c>
      <c r="E300" s="1" t="str">
        <f>IF(AND(Raw_Data!G300&gt;200,Raw_Data!H300&gt;100),"High Usage","Normal Usage")</f>
        <v>Normal Usage</v>
      </c>
      <c r="F300" s="1" t="str" cm="1">
        <f t="array" ref="F300">_xlfn.IFS(B300=TRUE,"High Risk",AND(Raw_Data!S300&gt;=3,Raw_Data!G300&gt;200),"High Risk",Raw_Data!S300&gt;=2,"Medium Risk",TRUE,"Low Risk")</f>
        <v>High Risk</v>
      </c>
      <c r="G300" s="1" t="str">
        <f>IF(OR(Raw_Data!D300="Yes",Raw_Data!E300="Yes"),"Has Plan","No Special Plan")</f>
        <v>No Special Plan</v>
      </c>
      <c r="H300" s="1" t="str">
        <f>IF(NOT(Raw_Data!S300&gt;=3),"Normal Service Contact","Frequent Service Contact")</f>
        <v>Frequent Service Contact</v>
      </c>
      <c r="I300" s="1" t="str" cm="1">
        <f t="array" ref="I300">_xlfn.SWITCH(Raw_Data!D300,"Yes","International Customer","No","Domestic Plan","Unknown")</f>
        <v>Domestic Plan</v>
      </c>
      <c r="J300" s="1" t="str">
        <f>IF(ISERROR(Raw_Data!G300/0),"Error","Valid")</f>
        <v>Error</v>
      </c>
      <c r="K300" s="1" t="str">
        <f>IF(ISBLANK(Raw_Data!A300),"Missing","Available")</f>
        <v>Available</v>
      </c>
      <c r="L300" s="5" t="str">
        <f>IF(ISNUMBER(Raw_Data!G300),"Numeric","Not Numeric")</f>
        <v>Numeric</v>
      </c>
    </row>
    <row r="301" spans="1:12" x14ac:dyDescent="0.25">
      <c r="A301" s="4" t="str">
        <f>Raw_Data!A301</f>
        <v>MS</v>
      </c>
      <c r="B301" s="1" t="b">
        <f>Raw_Data!T301</f>
        <v>1</v>
      </c>
      <c r="C301" s="1" t="str">
        <f t="shared" si="4"/>
        <v>Churned</v>
      </c>
      <c r="D301" s="1" t="str">
        <f>IF(Raw_Data!S301=0,"Low Contact",IF(Raw_Data!S301&lt;=2,"Normal Contact","High Contact"))</f>
        <v>High Contact</v>
      </c>
      <c r="E301" s="1" t="str">
        <f>IF(AND(Raw_Data!G301&gt;200,Raw_Data!H301&gt;100),"High Usage","Normal Usage")</f>
        <v>Normal Usage</v>
      </c>
      <c r="F301" s="1" t="str" cm="1">
        <f t="array" ref="F301">_xlfn.IFS(B301=TRUE,"High Risk",AND(Raw_Data!S301&gt;=3,Raw_Data!G301&gt;200),"High Risk",Raw_Data!S301&gt;=2,"Medium Risk",TRUE,"Low Risk")</f>
        <v>High Risk</v>
      </c>
      <c r="G301" s="1" t="str">
        <f>IF(OR(Raw_Data!D301="Yes",Raw_Data!E301="Yes"),"Has Plan","No Special Plan")</f>
        <v>Has Plan</v>
      </c>
      <c r="H301" s="1" t="str">
        <f>IF(NOT(Raw_Data!S301&gt;=3),"Normal Service Contact","Frequent Service Contact")</f>
        <v>Frequent Service Contact</v>
      </c>
      <c r="I301" s="1" t="str" cm="1">
        <f t="array" ref="I301">_xlfn.SWITCH(Raw_Data!D301,"Yes","International Customer","No","Domestic Plan","Unknown")</f>
        <v>Domestic Plan</v>
      </c>
      <c r="J301" s="1" t="str">
        <f>IF(ISERROR(Raw_Data!G301/0),"Error","Valid")</f>
        <v>Error</v>
      </c>
      <c r="K301" s="1" t="str">
        <f>IF(ISBLANK(Raw_Data!A301),"Missing","Available")</f>
        <v>Available</v>
      </c>
      <c r="L301" s="5" t="str">
        <f>IF(ISNUMBER(Raw_Data!G301),"Numeric","Not Numeric")</f>
        <v>Numeric</v>
      </c>
    </row>
    <row r="302" spans="1:12" x14ac:dyDescent="0.25">
      <c r="A302" s="4" t="str">
        <f>Raw_Data!A302</f>
        <v>NM</v>
      </c>
      <c r="B302" s="1" t="b">
        <f>Raw_Data!T302</f>
        <v>0</v>
      </c>
      <c r="C302" s="1" t="str">
        <f t="shared" si="4"/>
        <v>Retained</v>
      </c>
      <c r="D302" s="1" t="str">
        <f>IF(Raw_Data!S302=0,"Low Contact",IF(Raw_Data!S302&lt;=2,"Normal Contact","High Contact"))</f>
        <v>Normal Contact</v>
      </c>
      <c r="E302" s="1" t="str">
        <f>IF(AND(Raw_Data!G302&gt;200,Raw_Data!H302&gt;100),"High Usage","Normal Usage")</f>
        <v>Normal Usage</v>
      </c>
      <c r="F302" s="1" t="str" cm="1">
        <f t="array" ref="F302">_xlfn.IFS(B302=TRUE,"High Risk",AND(Raw_Data!S302&gt;=3,Raw_Data!G302&gt;200),"High Risk",Raw_Data!S302&gt;=2,"Medium Risk",TRUE,"Low Risk")</f>
        <v>Low Risk</v>
      </c>
      <c r="G302" s="1" t="str">
        <f>IF(OR(Raw_Data!D302="Yes",Raw_Data!E302="Yes"),"Has Plan","No Special Plan")</f>
        <v>No Special Plan</v>
      </c>
      <c r="H302" s="1" t="str">
        <f>IF(NOT(Raw_Data!S302&gt;=3),"Normal Service Contact","Frequent Service Contact")</f>
        <v>Normal Service Contact</v>
      </c>
      <c r="I302" s="1" t="str" cm="1">
        <f t="array" ref="I302">_xlfn.SWITCH(Raw_Data!D302,"Yes","International Customer","No","Domestic Plan","Unknown")</f>
        <v>Domestic Plan</v>
      </c>
      <c r="J302" s="1" t="str">
        <f>IF(ISERROR(Raw_Data!G302/0),"Error","Valid")</f>
        <v>Error</v>
      </c>
      <c r="K302" s="1" t="str">
        <f>IF(ISBLANK(Raw_Data!A302),"Missing","Available")</f>
        <v>Available</v>
      </c>
      <c r="L302" s="5" t="str">
        <f>IF(ISNUMBER(Raw_Data!G302),"Numeric","Not Numeric")</f>
        <v>Numeric</v>
      </c>
    </row>
    <row r="303" spans="1:12" x14ac:dyDescent="0.25">
      <c r="A303" s="4" t="str">
        <f>Raw_Data!A303</f>
        <v>SD</v>
      </c>
      <c r="B303" s="1" t="b">
        <f>Raw_Data!T303</f>
        <v>0</v>
      </c>
      <c r="C303" s="1" t="str">
        <f t="shared" si="4"/>
        <v>Retained</v>
      </c>
      <c r="D303" s="1" t="str">
        <f>IF(Raw_Data!S303=0,"Low Contact",IF(Raw_Data!S303&lt;=2,"Normal Contact","High Contact"))</f>
        <v>Low Contact</v>
      </c>
      <c r="E303" s="1" t="str">
        <f>IF(AND(Raw_Data!G303&gt;200,Raw_Data!H303&gt;100),"High Usage","Normal Usage")</f>
        <v>Normal Usage</v>
      </c>
      <c r="F303" s="1" t="str" cm="1">
        <f t="array" ref="F303">_xlfn.IFS(B303=TRUE,"High Risk",AND(Raw_Data!S303&gt;=3,Raw_Data!G303&gt;200),"High Risk",Raw_Data!S303&gt;=2,"Medium Risk",TRUE,"Low Risk")</f>
        <v>Low Risk</v>
      </c>
      <c r="G303" s="1" t="str">
        <f>IF(OR(Raw_Data!D303="Yes",Raw_Data!E303="Yes"),"Has Plan","No Special Plan")</f>
        <v>Has Plan</v>
      </c>
      <c r="H303" s="1" t="str">
        <f>IF(NOT(Raw_Data!S303&gt;=3),"Normal Service Contact","Frequent Service Contact")</f>
        <v>Normal Service Contact</v>
      </c>
      <c r="I303" s="1" t="str" cm="1">
        <f t="array" ref="I303">_xlfn.SWITCH(Raw_Data!D303,"Yes","International Customer","No","Domestic Plan","Unknown")</f>
        <v>Domestic Plan</v>
      </c>
      <c r="J303" s="1" t="str">
        <f>IF(ISERROR(Raw_Data!G303/0),"Error","Valid")</f>
        <v>Error</v>
      </c>
      <c r="K303" s="1" t="str">
        <f>IF(ISBLANK(Raw_Data!A303),"Missing","Available")</f>
        <v>Available</v>
      </c>
      <c r="L303" s="5" t="str">
        <f>IF(ISNUMBER(Raw_Data!G303),"Numeric","Not Numeric")</f>
        <v>Numeric</v>
      </c>
    </row>
    <row r="304" spans="1:12" x14ac:dyDescent="0.25">
      <c r="A304" s="4" t="str">
        <f>Raw_Data!A304</f>
        <v>VA</v>
      </c>
      <c r="B304" s="1" t="b">
        <f>Raw_Data!T304</f>
        <v>0</v>
      </c>
      <c r="C304" s="1" t="str">
        <f t="shared" si="4"/>
        <v>Retained</v>
      </c>
      <c r="D304" s="1" t="str">
        <f>IF(Raw_Data!S304=0,"Low Contact",IF(Raw_Data!S304&lt;=2,"Normal Contact","High Contact"))</f>
        <v>Normal Contact</v>
      </c>
      <c r="E304" s="1" t="str">
        <f>IF(AND(Raw_Data!G304&gt;200,Raw_Data!H304&gt;100),"High Usage","Normal Usage")</f>
        <v>Normal Usage</v>
      </c>
      <c r="F304" s="1" t="str" cm="1">
        <f t="array" ref="F304">_xlfn.IFS(B304=TRUE,"High Risk",AND(Raw_Data!S304&gt;=3,Raw_Data!G304&gt;200),"High Risk",Raw_Data!S304&gt;=2,"Medium Risk",TRUE,"Low Risk")</f>
        <v>Low Risk</v>
      </c>
      <c r="G304" s="1" t="str">
        <f>IF(OR(Raw_Data!D304="Yes",Raw_Data!E304="Yes"),"Has Plan","No Special Plan")</f>
        <v>No Special Plan</v>
      </c>
      <c r="H304" s="1" t="str">
        <f>IF(NOT(Raw_Data!S304&gt;=3),"Normal Service Contact","Frequent Service Contact")</f>
        <v>Normal Service Contact</v>
      </c>
      <c r="I304" s="1" t="str" cm="1">
        <f t="array" ref="I304">_xlfn.SWITCH(Raw_Data!D304,"Yes","International Customer","No","Domestic Plan","Unknown")</f>
        <v>Domestic Plan</v>
      </c>
      <c r="J304" s="1" t="str">
        <f>IF(ISERROR(Raw_Data!G304/0),"Error","Valid")</f>
        <v>Error</v>
      </c>
      <c r="K304" s="1" t="str">
        <f>IF(ISBLANK(Raw_Data!A304),"Missing","Available")</f>
        <v>Available</v>
      </c>
      <c r="L304" s="5" t="str">
        <f>IF(ISNUMBER(Raw_Data!G304),"Numeric","Not Numeric")</f>
        <v>Numeric</v>
      </c>
    </row>
    <row r="305" spans="1:12" x14ac:dyDescent="0.25">
      <c r="A305" s="4" t="str">
        <f>Raw_Data!A305</f>
        <v>NM</v>
      </c>
      <c r="B305" s="1" t="b">
        <f>Raw_Data!T305</f>
        <v>0</v>
      </c>
      <c r="C305" s="1" t="str">
        <f t="shared" si="4"/>
        <v>Retained</v>
      </c>
      <c r="D305" s="1" t="str">
        <f>IF(Raw_Data!S305=0,"Low Contact",IF(Raw_Data!S305&lt;=2,"Normal Contact","High Contact"))</f>
        <v>Normal Contact</v>
      </c>
      <c r="E305" s="1" t="str">
        <f>IF(AND(Raw_Data!G305&gt;200,Raw_Data!H305&gt;100),"High Usage","Normal Usage")</f>
        <v>Normal Usage</v>
      </c>
      <c r="F305" s="1" t="str" cm="1">
        <f t="array" ref="F305">_xlfn.IFS(B305=TRUE,"High Risk",AND(Raw_Data!S305&gt;=3,Raw_Data!G305&gt;200),"High Risk",Raw_Data!S305&gt;=2,"Medium Risk",TRUE,"Low Risk")</f>
        <v>Medium Risk</v>
      </c>
      <c r="G305" s="1" t="str">
        <f>IF(OR(Raw_Data!D305="Yes",Raw_Data!E305="Yes"),"Has Plan","No Special Plan")</f>
        <v>No Special Plan</v>
      </c>
      <c r="H305" s="1" t="str">
        <f>IF(NOT(Raw_Data!S305&gt;=3),"Normal Service Contact","Frequent Service Contact")</f>
        <v>Normal Service Contact</v>
      </c>
      <c r="I305" s="1" t="str" cm="1">
        <f t="array" ref="I305">_xlfn.SWITCH(Raw_Data!D305,"Yes","International Customer","No","Domestic Plan","Unknown")</f>
        <v>Domestic Plan</v>
      </c>
      <c r="J305" s="1" t="str">
        <f>IF(ISERROR(Raw_Data!G305/0),"Error","Valid")</f>
        <v>Error</v>
      </c>
      <c r="K305" s="1" t="str">
        <f>IF(ISBLANK(Raw_Data!A305),"Missing","Available")</f>
        <v>Available</v>
      </c>
      <c r="L305" s="5" t="str">
        <f>IF(ISNUMBER(Raw_Data!G305),"Numeric","Not Numeric")</f>
        <v>Numeric</v>
      </c>
    </row>
    <row r="306" spans="1:12" x14ac:dyDescent="0.25">
      <c r="A306" s="4" t="str">
        <f>Raw_Data!A306</f>
        <v>VA</v>
      </c>
      <c r="B306" s="1" t="b">
        <f>Raw_Data!T306</f>
        <v>0</v>
      </c>
      <c r="C306" s="1" t="str">
        <f t="shared" si="4"/>
        <v>Retained</v>
      </c>
      <c r="D306" s="1" t="str">
        <f>IF(Raw_Data!S306=0,"Low Contact",IF(Raw_Data!S306&lt;=2,"Normal Contact","High Contact"))</f>
        <v>Normal Contact</v>
      </c>
      <c r="E306" s="1" t="str">
        <f>IF(AND(Raw_Data!G306&gt;200,Raw_Data!H306&gt;100),"High Usage","Normal Usage")</f>
        <v>Normal Usage</v>
      </c>
      <c r="F306" s="1" t="str" cm="1">
        <f t="array" ref="F306">_xlfn.IFS(B306=TRUE,"High Risk",AND(Raw_Data!S306&gt;=3,Raw_Data!G306&gt;200),"High Risk",Raw_Data!S306&gt;=2,"Medium Risk",TRUE,"Low Risk")</f>
        <v>Medium Risk</v>
      </c>
      <c r="G306" s="1" t="str">
        <f>IF(OR(Raw_Data!D306="Yes",Raw_Data!E306="Yes"),"Has Plan","No Special Plan")</f>
        <v>Has Plan</v>
      </c>
      <c r="H306" s="1" t="str">
        <f>IF(NOT(Raw_Data!S306&gt;=3),"Normal Service Contact","Frequent Service Contact")</f>
        <v>Normal Service Contact</v>
      </c>
      <c r="I306" s="1" t="str" cm="1">
        <f t="array" ref="I306">_xlfn.SWITCH(Raw_Data!D306,"Yes","International Customer","No","Domestic Plan","Unknown")</f>
        <v>Domestic Plan</v>
      </c>
      <c r="J306" s="1" t="str">
        <f>IF(ISERROR(Raw_Data!G306/0),"Error","Valid")</f>
        <v>Error</v>
      </c>
      <c r="K306" s="1" t="str">
        <f>IF(ISBLANK(Raw_Data!A306),"Missing","Available")</f>
        <v>Available</v>
      </c>
      <c r="L306" s="5" t="str">
        <f>IF(ISNUMBER(Raw_Data!G306),"Numeric","Not Numeric")</f>
        <v>Numeric</v>
      </c>
    </row>
    <row r="307" spans="1:12" x14ac:dyDescent="0.25">
      <c r="A307" s="4" t="str">
        <f>Raw_Data!A307</f>
        <v>NJ</v>
      </c>
      <c r="B307" s="1" t="b">
        <f>Raw_Data!T307</f>
        <v>0</v>
      </c>
      <c r="C307" s="1" t="str">
        <f t="shared" si="4"/>
        <v>Retained</v>
      </c>
      <c r="D307" s="1" t="str">
        <f>IF(Raw_Data!S307=0,"Low Contact",IF(Raw_Data!S307&lt;=2,"Normal Contact","High Contact"))</f>
        <v>Normal Contact</v>
      </c>
      <c r="E307" s="1" t="str">
        <f>IF(AND(Raw_Data!G307&gt;200,Raw_Data!H307&gt;100),"High Usage","Normal Usage")</f>
        <v>High Usage</v>
      </c>
      <c r="F307" s="1" t="str" cm="1">
        <f t="array" ref="F307">_xlfn.IFS(B307=TRUE,"High Risk",AND(Raw_Data!S307&gt;=3,Raw_Data!G307&gt;200),"High Risk",Raw_Data!S307&gt;=2,"Medium Risk",TRUE,"Low Risk")</f>
        <v>Low Risk</v>
      </c>
      <c r="G307" s="1" t="str">
        <f>IF(OR(Raw_Data!D307="Yes",Raw_Data!E307="Yes"),"Has Plan","No Special Plan")</f>
        <v>No Special Plan</v>
      </c>
      <c r="H307" s="1" t="str">
        <f>IF(NOT(Raw_Data!S307&gt;=3),"Normal Service Contact","Frequent Service Contact")</f>
        <v>Normal Service Contact</v>
      </c>
      <c r="I307" s="1" t="str" cm="1">
        <f t="array" ref="I307">_xlfn.SWITCH(Raw_Data!D307,"Yes","International Customer","No","Domestic Plan","Unknown")</f>
        <v>Domestic Plan</v>
      </c>
      <c r="J307" s="1" t="str">
        <f>IF(ISERROR(Raw_Data!G307/0),"Error","Valid")</f>
        <v>Error</v>
      </c>
      <c r="K307" s="1" t="str">
        <f>IF(ISBLANK(Raw_Data!A307),"Missing","Available")</f>
        <v>Available</v>
      </c>
      <c r="L307" s="5" t="str">
        <f>IF(ISNUMBER(Raw_Data!G307),"Numeric","Not Numeric")</f>
        <v>Numeric</v>
      </c>
    </row>
    <row r="308" spans="1:12" x14ac:dyDescent="0.25">
      <c r="A308" s="4" t="str">
        <f>Raw_Data!A308</f>
        <v>TN</v>
      </c>
      <c r="B308" s="1" t="b">
        <f>Raw_Data!T308</f>
        <v>0</v>
      </c>
      <c r="C308" s="1" t="str">
        <f t="shared" si="4"/>
        <v>Retained</v>
      </c>
      <c r="D308" s="1" t="str">
        <f>IF(Raw_Data!S308=0,"Low Contact",IF(Raw_Data!S308&lt;=2,"Normal Contact","High Contact"))</f>
        <v>Low Contact</v>
      </c>
      <c r="E308" s="1" t="str">
        <f>IF(AND(Raw_Data!G308&gt;200,Raw_Data!H308&gt;100),"High Usage","Normal Usage")</f>
        <v>Normal Usage</v>
      </c>
      <c r="F308" s="1" t="str" cm="1">
        <f t="array" ref="F308">_xlfn.IFS(B308=TRUE,"High Risk",AND(Raw_Data!S308&gt;=3,Raw_Data!G308&gt;200),"High Risk",Raw_Data!S308&gt;=2,"Medium Risk",TRUE,"Low Risk")</f>
        <v>Low Risk</v>
      </c>
      <c r="G308" s="1" t="str">
        <f>IF(OR(Raw_Data!D308="Yes",Raw_Data!E308="Yes"),"Has Plan","No Special Plan")</f>
        <v>No Special Plan</v>
      </c>
      <c r="H308" s="1" t="str">
        <f>IF(NOT(Raw_Data!S308&gt;=3),"Normal Service Contact","Frequent Service Contact")</f>
        <v>Normal Service Contact</v>
      </c>
      <c r="I308" s="1" t="str" cm="1">
        <f t="array" ref="I308">_xlfn.SWITCH(Raw_Data!D308,"Yes","International Customer","No","Domestic Plan","Unknown")</f>
        <v>Domestic Plan</v>
      </c>
      <c r="J308" s="1" t="str">
        <f>IF(ISERROR(Raw_Data!G308/0),"Error","Valid")</f>
        <v>Error</v>
      </c>
      <c r="K308" s="1" t="str">
        <f>IF(ISBLANK(Raw_Data!A308),"Missing","Available")</f>
        <v>Available</v>
      </c>
      <c r="L308" s="5" t="str">
        <f>IF(ISNUMBER(Raw_Data!G308),"Numeric","Not Numeric")</f>
        <v>Numeric</v>
      </c>
    </row>
    <row r="309" spans="1:12" x14ac:dyDescent="0.25">
      <c r="A309" s="4" t="str">
        <f>Raw_Data!A309</f>
        <v>MI</v>
      </c>
      <c r="B309" s="1" t="b">
        <f>Raw_Data!T309</f>
        <v>0</v>
      </c>
      <c r="C309" s="1" t="str">
        <f t="shared" si="4"/>
        <v>Retained</v>
      </c>
      <c r="D309" s="1" t="str">
        <f>IF(Raw_Data!S309=0,"Low Contact",IF(Raw_Data!S309&lt;=2,"Normal Contact","High Contact"))</f>
        <v>Normal Contact</v>
      </c>
      <c r="E309" s="1" t="str">
        <f>IF(AND(Raw_Data!G309&gt;200,Raw_Data!H309&gt;100),"High Usage","Normal Usage")</f>
        <v>High Usage</v>
      </c>
      <c r="F309" s="1" t="str" cm="1">
        <f t="array" ref="F309">_xlfn.IFS(B309=TRUE,"High Risk",AND(Raw_Data!S309&gt;=3,Raw_Data!G309&gt;200),"High Risk",Raw_Data!S309&gt;=2,"Medium Risk",TRUE,"Low Risk")</f>
        <v>Low Risk</v>
      </c>
      <c r="G309" s="1" t="str">
        <f>IF(OR(Raw_Data!D309="Yes",Raw_Data!E309="Yes"),"Has Plan","No Special Plan")</f>
        <v>No Special Plan</v>
      </c>
      <c r="H309" s="1" t="str">
        <f>IF(NOT(Raw_Data!S309&gt;=3),"Normal Service Contact","Frequent Service Contact")</f>
        <v>Normal Service Contact</v>
      </c>
      <c r="I309" s="1" t="str" cm="1">
        <f t="array" ref="I309">_xlfn.SWITCH(Raw_Data!D309,"Yes","International Customer","No","Domestic Plan","Unknown")</f>
        <v>Domestic Plan</v>
      </c>
      <c r="J309" s="1" t="str">
        <f>IF(ISERROR(Raw_Data!G309/0),"Error","Valid")</f>
        <v>Error</v>
      </c>
      <c r="K309" s="1" t="str">
        <f>IF(ISBLANK(Raw_Data!A309),"Missing","Available")</f>
        <v>Available</v>
      </c>
      <c r="L309" s="5" t="str">
        <f>IF(ISNUMBER(Raw_Data!G309),"Numeric","Not Numeric")</f>
        <v>Numeric</v>
      </c>
    </row>
    <row r="310" spans="1:12" x14ac:dyDescent="0.25">
      <c r="A310" s="4" t="str">
        <f>Raw_Data!A310</f>
        <v>LA</v>
      </c>
      <c r="B310" s="1" t="b">
        <f>Raw_Data!T310</f>
        <v>0</v>
      </c>
      <c r="C310" s="1" t="str">
        <f t="shared" si="4"/>
        <v>Retained</v>
      </c>
      <c r="D310" s="1" t="str">
        <f>IF(Raw_Data!S310=0,"Low Contact",IF(Raw_Data!S310&lt;=2,"Normal Contact","High Contact"))</f>
        <v>Normal Contact</v>
      </c>
      <c r="E310" s="1" t="str">
        <f>IF(AND(Raw_Data!G310&gt;200,Raw_Data!H310&gt;100),"High Usage","Normal Usage")</f>
        <v>Normal Usage</v>
      </c>
      <c r="F310" s="1" t="str" cm="1">
        <f t="array" ref="F310">_xlfn.IFS(B310=TRUE,"High Risk",AND(Raw_Data!S310&gt;=3,Raw_Data!G310&gt;200),"High Risk",Raw_Data!S310&gt;=2,"Medium Risk",TRUE,"Low Risk")</f>
        <v>Medium Risk</v>
      </c>
      <c r="G310" s="1" t="str">
        <f>IF(OR(Raw_Data!D310="Yes",Raw_Data!E310="Yes"),"Has Plan","No Special Plan")</f>
        <v>Has Plan</v>
      </c>
      <c r="H310" s="1" t="str">
        <f>IF(NOT(Raw_Data!S310&gt;=3),"Normal Service Contact","Frequent Service Contact")</f>
        <v>Normal Service Contact</v>
      </c>
      <c r="I310" s="1" t="str" cm="1">
        <f t="array" ref="I310">_xlfn.SWITCH(Raw_Data!D310,"Yes","International Customer","No","Domestic Plan","Unknown")</f>
        <v>Domestic Plan</v>
      </c>
      <c r="J310" s="1" t="str">
        <f>IF(ISERROR(Raw_Data!G310/0),"Error","Valid")</f>
        <v>Error</v>
      </c>
      <c r="K310" s="1" t="str">
        <f>IF(ISBLANK(Raw_Data!A310),"Missing","Available")</f>
        <v>Available</v>
      </c>
      <c r="L310" s="5" t="str">
        <f>IF(ISNUMBER(Raw_Data!G310),"Numeric","Not Numeric")</f>
        <v>Numeric</v>
      </c>
    </row>
    <row r="311" spans="1:12" x14ac:dyDescent="0.25">
      <c r="A311" s="4" t="str">
        <f>Raw_Data!A311</f>
        <v>NH</v>
      </c>
      <c r="B311" s="1" t="b">
        <f>Raw_Data!T311</f>
        <v>0</v>
      </c>
      <c r="C311" s="1" t="str">
        <f t="shared" si="4"/>
        <v>Retained</v>
      </c>
      <c r="D311" s="1" t="str">
        <f>IF(Raw_Data!S311=0,"Low Contact",IF(Raw_Data!S311&lt;=2,"Normal Contact","High Contact"))</f>
        <v>Low Contact</v>
      </c>
      <c r="E311" s="1" t="str">
        <f>IF(AND(Raw_Data!G311&gt;200,Raw_Data!H311&gt;100),"High Usage","Normal Usage")</f>
        <v>Normal Usage</v>
      </c>
      <c r="F311" s="1" t="str" cm="1">
        <f t="array" ref="F311">_xlfn.IFS(B311=TRUE,"High Risk",AND(Raw_Data!S311&gt;=3,Raw_Data!G311&gt;200),"High Risk",Raw_Data!S311&gt;=2,"Medium Risk",TRUE,"Low Risk")</f>
        <v>Low Risk</v>
      </c>
      <c r="G311" s="1" t="str">
        <f>IF(OR(Raw_Data!D311="Yes",Raw_Data!E311="Yes"),"Has Plan","No Special Plan")</f>
        <v>Has Plan</v>
      </c>
      <c r="H311" s="1" t="str">
        <f>IF(NOT(Raw_Data!S311&gt;=3),"Normal Service Contact","Frequent Service Contact")</f>
        <v>Normal Service Contact</v>
      </c>
      <c r="I311" s="1" t="str" cm="1">
        <f t="array" ref="I311">_xlfn.SWITCH(Raw_Data!D311,"Yes","International Customer","No","Domestic Plan","Unknown")</f>
        <v>Domestic Plan</v>
      </c>
      <c r="J311" s="1" t="str">
        <f>IF(ISERROR(Raw_Data!G311/0),"Error","Valid")</f>
        <v>Error</v>
      </c>
      <c r="K311" s="1" t="str">
        <f>IF(ISBLANK(Raw_Data!A311),"Missing","Available")</f>
        <v>Available</v>
      </c>
      <c r="L311" s="5" t="str">
        <f>IF(ISNUMBER(Raw_Data!G311),"Numeric","Not Numeric")</f>
        <v>Numeric</v>
      </c>
    </row>
    <row r="312" spans="1:12" x14ac:dyDescent="0.25">
      <c r="A312" s="4" t="str">
        <f>Raw_Data!A312</f>
        <v>RI</v>
      </c>
      <c r="B312" s="1" t="b">
        <f>Raw_Data!T312</f>
        <v>0</v>
      </c>
      <c r="C312" s="1" t="str">
        <f t="shared" si="4"/>
        <v>Retained</v>
      </c>
      <c r="D312" s="1" t="str">
        <f>IF(Raw_Data!S312=0,"Low Contact",IF(Raw_Data!S312&lt;=2,"Normal Contact","High Contact"))</f>
        <v>Normal Contact</v>
      </c>
      <c r="E312" s="1" t="str">
        <f>IF(AND(Raw_Data!G312&gt;200,Raw_Data!H312&gt;100),"High Usage","Normal Usage")</f>
        <v>Normal Usage</v>
      </c>
      <c r="F312" s="1" t="str" cm="1">
        <f t="array" ref="F312">_xlfn.IFS(B312=TRUE,"High Risk",AND(Raw_Data!S312&gt;=3,Raw_Data!G312&gt;200),"High Risk",Raw_Data!S312&gt;=2,"Medium Risk",TRUE,"Low Risk")</f>
        <v>Low Risk</v>
      </c>
      <c r="G312" s="1" t="str">
        <f>IF(OR(Raw_Data!D312="Yes",Raw_Data!E312="Yes"),"Has Plan","No Special Plan")</f>
        <v>No Special Plan</v>
      </c>
      <c r="H312" s="1" t="str">
        <f>IF(NOT(Raw_Data!S312&gt;=3),"Normal Service Contact","Frequent Service Contact")</f>
        <v>Normal Service Contact</v>
      </c>
      <c r="I312" s="1" t="str" cm="1">
        <f t="array" ref="I312">_xlfn.SWITCH(Raw_Data!D312,"Yes","International Customer","No","Domestic Plan","Unknown")</f>
        <v>Domestic Plan</v>
      </c>
      <c r="J312" s="1" t="str">
        <f>IF(ISERROR(Raw_Data!G312/0),"Error","Valid")</f>
        <v>Error</v>
      </c>
      <c r="K312" s="1" t="str">
        <f>IF(ISBLANK(Raw_Data!A312),"Missing","Available")</f>
        <v>Available</v>
      </c>
      <c r="L312" s="5" t="str">
        <f>IF(ISNUMBER(Raw_Data!G312),"Numeric","Not Numeric")</f>
        <v>Numeric</v>
      </c>
    </row>
    <row r="313" spans="1:12" x14ac:dyDescent="0.25">
      <c r="A313" s="4" t="str">
        <f>Raw_Data!A313</f>
        <v>LA</v>
      </c>
      <c r="B313" s="1" t="b">
        <f>Raw_Data!T313</f>
        <v>0</v>
      </c>
      <c r="C313" s="1" t="str">
        <f t="shared" si="4"/>
        <v>Retained</v>
      </c>
      <c r="D313" s="1" t="str">
        <f>IF(Raw_Data!S313=0,"Low Contact",IF(Raw_Data!S313&lt;=2,"Normal Contact","High Contact"))</f>
        <v>High Contact</v>
      </c>
      <c r="E313" s="1" t="str">
        <f>IF(AND(Raw_Data!G313&gt;200,Raw_Data!H313&gt;100),"High Usage","Normal Usage")</f>
        <v>Normal Usage</v>
      </c>
      <c r="F313" s="1" t="str" cm="1">
        <f t="array" ref="F313">_xlfn.IFS(B313=TRUE,"High Risk",AND(Raw_Data!S313&gt;=3,Raw_Data!G313&gt;200),"High Risk",Raw_Data!S313&gt;=2,"Medium Risk",TRUE,"Low Risk")</f>
        <v>Medium Risk</v>
      </c>
      <c r="G313" s="1" t="str">
        <f>IF(OR(Raw_Data!D313="Yes",Raw_Data!E313="Yes"),"Has Plan","No Special Plan")</f>
        <v>Has Plan</v>
      </c>
      <c r="H313" s="1" t="str">
        <f>IF(NOT(Raw_Data!S313&gt;=3),"Normal Service Contact","Frequent Service Contact")</f>
        <v>Frequent Service Contact</v>
      </c>
      <c r="I313" s="1" t="str" cm="1">
        <f t="array" ref="I313">_xlfn.SWITCH(Raw_Data!D313,"Yes","International Customer","No","Domestic Plan","Unknown")</f>
        <v>Domestic Plan</v>
      </c>
      <c r="J313" s="1" t="str">
        <f>IF(ISERROR(Raw_Data!G313/0),"Error","Valid")</f>
        <v>Error</v>
      </c>
      <c r="K313" s="1" t="str">
        <f>IF(ISBLANK(Raw_Data!A313),"Missing","Available")</f>
        <v>Available</v>
      </c>
      <c r="L313" s="5" t="str">
        <f>IF(ISNUMBER(Raw_Data!G313),"Numeric","Not Numeric")</f>
        <v>Numeric</v>
      </c>
    </row>
    <row r="314" spans="1:12" x14ac:dyDescent="0.25">
      <c r="A314" s="4" t="str">
        <f>Raw_Data!A314</f>
        <v>AZ</v>
      </c>
      <c r="B314" s="1" t="b">
        <f>Raw_Data!T314</f>
        <v>0</v>
      </c>
      <c r="C314" s="1" t="str">
        <f t="shared" si="4"/>
        <v>Retained</v>
      </c>
      <c r="D314" s="1" t="str">
        <f>IF(Raw_Data!S314=0,"Low Contact",IF(Raw_Data!S314&lt;=2,"Normal Contact","High Contact"))</f>
        <v>Low Contact</v>
      </c>
      <c r="E314" s="1" t="str">
        <f>IF(AND(Raw_Data!G314&gt;200,Raw_Data!H314&gt;100),"High Usage","Normal Usage")</f>
        <v>Normal Usage</v>
      </c>
      <c r="F314" s="1" t="str" cm="1">
        <f t="array" ref="F314">_xlfn.IFS(B314=TRUE,"High Risk",AND(Raw_Data!S314&gt;=3,Raw_Data!G314&gt;200),"High Risk",Raw_Data!S314&gt;=2,"Medium Risk",TRUE,"Low Risk")</f>
        <v>Low Risk</v>
      </c>
      <c r="G314" s="1" t="str">
        <f>IF(OR(Raw_Data!D314="Yes",Raw_Data!E314="Yes"),"Has Plan","No Special Plan")</f>
        <v>No Special Plan</v>
      </c>
      <c r="H314" s="1" t="str">
        <f>IF(NOT(Raw_Data!S314&gt;=3),"Normal Service Contact","Frequent Service Contact")</f>
        <v>Normal Service Contact</v>
      </c>
      <c r="I314" s="1" t="str" cm="1">
        <f t="array" ref="I314">_xlfn.SWITCH(Raw_Data!D314,"Yes","International Customer","No","Domestic Plan","Unknown")</f>
        <v>Domestic Plan</v>
      </c>
      <c r="J314" s="1" t="str">
        <f>IF(ISERROR(Raw_Data!G314/0),"Error","Valid")</f>
        <v>Error</v>
      </c>
      <c r="K314" s="1" t="str">
        <f>IF(ISBLANK(Raw_Data!A314),"Missing","Available")</f>
        <v>Available</v>
      </c>
      <c r="L314" s="5" t="str">
        <f>IF(ISNUMBER(Raw_Data!G314),"Numeric","Not Numeric")</f>
        <v>Numeric</v>
      </c>
    </row>
    <row r="315" spans="1:12" x14ac:dyDescent="0.25">
      <c r="A315" s="4" t="str">
        <f>Raw_Data!A315</f>
        <v>SC</v>
      </c>
      <c r="B315" s="1" t="b">
        <f>Raw_Data!T315</f>
        <v>0</v>
      </c>
      <c r="C315" s="1" t="str">
        <f t="shared" si="4"/>
        <v>Retained</v>
      </c>
      <c r="D315" s="1" t="str">
        <f>IF(Raw_Data!S315=0,"Low Contact",IF(Raw_Data!S315&lt;=2,"Normal Contact","High Contact"))</f>
        <v>High Contact</v>
      </c>
      <c r="E315" s="1" t="str">
        <f>IF(AND(Raw_Data!G315&gt;200,Raw_Data!H315&gt;100),"High Usage","Normal Usage")</f>
        <v>High Usage</v>
      </c>
      <c r="F315" s="1" t="str" cm="1">
        <f t="array" ref="F315">_xlfn.IFS(B315=TRUE,"High Risk",AND(Raw_Data!S315&gt;=3,Raw_Data!G315&gt;200),"High Risk",Raw_Data!S315&gt;=2,"Medium Risk",TRUE,"Low Risk")</f>
        <v>High Risk</v>
      </c>
      <c r="G315" s="1" t="str">
        <f>IF(OR(Raw_Data!D315="Yes",Raw_Data!E315="Yes"),"Has Plan","No Special Plan")</f>
        <v>Has Plan</v>
      </c>
      <c r="H315" s="1" t="str">
        <f>IF(NOT(Raw_Data!S315&gt;=3),"Normal Service Contact","Frequent Service Contact")</f>
        <v>Frequent Service Contact</v>
      </c>
      <c r="I315" s="1" t="str" cm="1">
        <f t="array" ref="I315">_xlfn.SWITCH(Raw_Data!D315,"Yes","International Customer","No","Domestic Plan","Unknown")</f>
        <v>Domestic Plan</v>
      </c>
      <c r="J315" s="1" t="str">
        <f>IF(ISERROR(Raw_Data!G315/0),"Error","Valid")</f>
        <v>Error</v>
      </c>
      <c r="K315" s="1" t="str">
        <f>IF(ISBLANK(Raw_Data!A315),"Missing","Available")</f>
        <v>Available</v>
      </c>
      <c r="L315" s="5" t="str">
        <f>IF(ISNUMBER(Raw_Data!G315),"Numeric","Not Numeric")</f>
        <v>Numeric</v>
      </c>
    </row>
    <row r="316" spans="1:12" x14ac:dyDescent="0.25">
      <c r="A316" s="4" t="str">
        <f>Raw_Data!A316</f>
        <v>MD</v>
      </c>
      <c r="B316" s="1" t="b">
        <f>Raw_Data!T316</f>
        <v>0</v>
      </c>
      <c r="C316" s="1" t="str">
        <f t="shared" si="4"/>
        <v>Retained</v>
      </c>
      <c r="D316" s="1" t="str">
        <f>IF(Raw_Data!S316=0,"Low Contact",IF(Raw_Data!S316&lt;=2,"Normal Contact","High Contact"))</f>
        <v>Normal Contact</v>
      </c>
      <c r="E316" s="1" t="str">
        <f>IF(AND(Raw_Data!G316&gt;200,Raw_Data!H316&gt;100),"High Usage","Normal Usage")</f>
        <v>High Usage</v>
      </c>
      <c r="F316" s="1" t="str" cm="1">
        <f t="array" ref="F316">_xlfn.IFS(B316=TRUE,"High Risk",AND(Raw_Data!S316&gt;=3,Raw_Data!G316&gt;200),"High Risk",Raw_Data!S316&gt;=2,"Medium Risk",TRUE,"Low Risk")</f>
        <v>Low Risk</v>
      </c>
      <c r="G316" s="1" t="str">
        <f>IF(OR(Raw_Data!D316="Yes",Raw_Data!E316="Yes"),"Has Plan","No Special Plan")</f>
        <v>No Special Plan</v>
      </c>
      <c r="H316" s="1" t="str">
        <f>IF(NOT(Raw_Data!S316&gt;=3),"Normal Service Contact","Frequent Service Contact")</f>
        <v>Normal Service Contact</v>
      </c>
      <c r="I316" s="1" t="str" cm="1">
        <f t="array" ref="I316">_xlfn.SWITCH(Raw_Data!D316,"Yes","International Customer","No","Domestic Plan","Unknown")</f>
        <v>Domestic Plan</v>
      </c>
      <c r="J316" s="1" t="str">
        <f>IF(ISERROR(Raw_Data!G316/0),"Error","Valid")</f>
        <v>Error</v>
      </c>
      <c r="K316" s="1" t="str">
        <f>IF(ISBLANK(Raw_Data!A316),"Missing","Available")</f>
        <v>Available</v>
      </c>
      <c r="L316" s="5" t="str">
        <f>IF(ISNUMBER(Raw_Data!G316),"Numeric","Not Numeric")</f>
        <v>Numeric</v>
      </c>
    </row>
    <row r="317" spans="1:12" x14ac:dyDescent="0.25">
      <c r="A317" s="4" t="str">
        <f>Raw_Data!A317</f>
        <v>WA</v>
      </c>
      <c r="B317" s="1" t="b">
        <f>Raw_Data!T317</f>
        <v>0</v>
      </c>
      <c r="C317" s="1" t="str">
        <f t="shared" si="4"/>
        <v>Retained</v>
      </c>
      <c r="D317" s="1" t="str">
        <f>IF(Raw_Data!S317=0,"Low Contact",IF(Raw_Data!S317&lt;=2,"Normal Contact","High Contact"))</f>
        <v>Normal Contact</v>
      </c>
      <c r="E317" s="1" t="str">
        <f>IF(AND(Raw_Data!G317&gt;200,Raw_Data!H317&gt;100),"High Usage","Normal Usage")</f>
        <v>Normal Usage</v>
      </c>
      <c r="F317" s="1" t="str" cm="1">
        <f t="array" ref="F317">_xlfn.IFS(B317=TRUE,"High Risk",AND(Raw_Data!S317&gt;=3,Raw_Data!G317&gt;200),"High Risk",Raw_Data!S317&gt;=2,"Medium Risk",TRUE,"Low Risk")</f>
        <v>Medium Risk</v>
      </c>
      <c r="G317" s="1" t="str">
        <f>IF(OR(Raw_Data!D317="Yes",Raw_Data!E317="Yes"),"Has Plan","No Special Plan")</f>
        <v>No Special Plan</v>
      </c>
      <c r="H317" s="1" t="str">
        <f>IF(NOT(Raw_Data!S317&gt;=3),"Normal Service Contact","Frequent Service Contact")</f>
        <v>Normal Service Contact</v>
      </c>
      <c r="I317" s="1" t="str" cm="1">
        <f t="array" ref="I317">_xlfn.SWITCH(Raw_Data!D317,"Yes","International Customer","No","Domestic Plan","Unknown")</f>
        <v>Domestic Plan</v>
      </c>
      <c r="J317" s="1" t="str">
        <f>IF(ISERROR(Raw_Data!G317/0),"Error","Valid")</f>
        <v>Error</v>
      </c>
      <c r="K317" s="1" t="str">
        <f>IF(ISBLANK(Raw_Data!A317),"Missing","Available")</f>
        <v>Available</v>
      </c>
      <c r="L317" s="5" t="str">
        <f>IF(ISNUMBER(Raw_Data!G317),"Numeric","Not Numeric")</f>
        <v>Numeric</v>
      </c>
    </row>
    <row r="318" spans="1:12" x14ac:dyDescent="0.25">
      <c r="A318" s="4" t="str">
        <f>Raw_Data!A318</f>
        <v>CA</v>
      </c>
      <c r="B318" s="1" t="b">
        <f>Raw_Data!T318</f>
        <v>0</v>
      </c>
      <c r="C318" s="1" t="str">
        <f t="shared" si="4"/>
        <v>Retained</v>
      </c>
      <c r="D318" s="1" t="str">
        <f>IF(Raw_Data!S318=0,"Low Contact",IF(Raw_Data!S318&lt;=2,"Normal Contact","High Contact"))</f>
        <v>Normal Contact</v>
      </c>
      <c r="E318" s="1" t="str">
        <f>IF(AND(Raw_Data!G318&gt;200,Raw_Data!H318&gt;100),"High Usage","Normal Usage")</f>
        <v>Normal Usage</v>
      </c>
      <c r="F318" s="1" t="str" cm="1">
        <f t="array" ref="F318">_xlfn.IFS(B318=TRUE,"High Risk",AND(Raw_Data!S318&gt;=3,Raw_Data!G318&gt;200),"High Risk",Raw_Data!S318&gt;=2,"Medium Risk",TRUE,"Low Risk")</f>
        <v>Medium Risk</v>
      </c>
      <c r="G318" s="1" t="str">
        <f>IF(OR(Raw_Data!D318="Yes",Raw_Data!E318="Yes"),"Has Plan","No Special Plan")</f>
        <v>Has Plan</v>
      </c>
      <c r="H318" s="1" t="str">
        <f>IF(NOT(Raw_Data!S318&gt;=3),"Normal Service Contact","Frequent Service Contact")</f>
        <v>Normal Service Contact</v>
      </c>
      <c r="I318" s="1" t="str" cm="1">
        <f t="array" ref="I318">_xlfn.SWITCH(Raw_Data!D318,"Yes","International Customer","No","Domestic Plan","Unknown")</f>
        <v>Domestic Plan</v>
      </c>
      <c r="J318" s="1" t="str">
        <f>IF(ISERROR(Raw_Data!G318/0),"Error","Valid")</f>
        <v>Error</v>
      </c>
      <c r="K318" s="1" t="str">
        <f>IF(ISBLANK(Raw_Data!A318),"Missing","Available")</f>
        <v>Available</v>
      </c>
      <c r="L318" s="5" t="str">
        <f>IF(ISNUMBER(Raw_Data!G318),"Numeric","Not Numeric")</f>
        <v>Numeric</v>
      </c>
    </row>
    <row r="319" spans="1:12" x14ac:dyDescent="0.25">
      <c r="A319" s="4" t="str">
        <f>Raw_Data!A319</f>
        <v>NJ</v>
      </c>
      <c r="B319" s="1" t="b">
        <f>Raw_Data!T319</f>
        <v>0</v>
      </c>
      <c r="C319" s="1" t="str">
        <f t="shared" si="4"/>
        <v>Retained</v>
      </c>
      <c r="D319" s="1" t="str">
        <f>IF(Raw_Data!S319=0,"Low Contact",IF(Raw_Data!S319&lt;=2,"Normal Contact","High Contact"))</f>
        <v>High Contact</v>
      </c>
      <c r="E319" s="1" t="str">
        <f>IF(AND(Raw_Data!G319&gt;200,Raw_Data!H319&gt;100),"High Usage","Normal Usage")</f>
        <v>Normal Usage</v>
      </c>
      <c r="F319" s="1" t="str" cm="1">
        <f t="array" ref="F319">_xlfn.IFS(B319=TRUE,"High Risk",AND(Raw_Data!S319&gt;=3,Raw_Data!G319&gt;200),"High Risk",Raw_Data!S319&gt;=2,"Medium Risk",TRUE,"Low Risk")</f>
        <v>Medium Risk</v>
      </c>
      <c r="G319" s="1" t="str">
        <f>IF(OR(Raw_Data!D319="Yes",Raw_Data!E319="Yes"),"Has Plan","No Special Plan")</f>
        <v>No Special Plan</v>
      </c>
      <c r="H319" s="1" t="str">
        <f>IF(NOT(Raw_Data!S319&gt;=3),"Normal Service Contact","Frequent Service Contact")</f>
        <v>Frequent Service Contact</v>
      </c>
      <c r="I319" s="1" t="str" cm="1">
        <f t="array" ref="I319">_xlfn.SWITCH(Raw_Data!D319,"Yes","International Customer","No","Domestic Plan","Unknown")</f>
        <v>Domestic Plan</v>
      </c>
      <c r="J319" s="1" t="str">
        <f>IF(ISERROR(Raw_Data!G319/0),"Error","Valid")</f>
        <v>Error</v>
      </c>
      <c r="K319" s="1" t="str">
        <f>IF(ISBLANK(Raw_Data!A319),"Missing","Available")</f>
        <v>Available</v>
      </c>
      <c r="L319" s="5" t="str">
        <f>IF(ISNUMBER(Raw_Data!G319),"Numeric","Not Numeric")</f>
        <v>Numeric</v>
      </c>
    </row>
    <row r="320" spans="1:12" x14ac:dyDescent="0.25">
      <c r="A320" s="4" t="str">
        <f>Raw_Data!A320</f>
        <v>AR</v>
      </c>
      <c r="B320" s="1" t="b">
        <f>Raw_Data!T320</f>
        <v>0</v>
      </c>
      <c r="C320" s="1" t="str">
        <f t="shared" si="4"/>
        <v>Retained</v>
      </c>
      <c r="D320" s="1" t="str">
        <f>IF(Raw_Data!S320=0,"Low Contact",IF(Raw_Data!S320&lt;=2,"Normal Contact","High Contact"))</f>
        <v>Normal Contact</v>
      </c>
      <c r="E320" s="1" t="str">
        <f>IF(AND(Raw_Data!G320&gt;200,Raw_Data!H320&gt;100),"High Usage","Normal Usage")</f>
        <v>Normal Usage</v>
      </c>
      <c r="F320" s="1" t="str" cm="1">
        <f t="array" ref="F320">_xlfn.IFS(B320=TRUE,"High Risk",AND(Raw_Data!S320&gt;=3,Raw_Data!G320&gt;200),"High Risk",Raw_Data!S320&gt;=2,"Medium Risk",TRUE,"Low Risk")</f>
        <v>Low Risk</v>
      </c>
      <c r="G320" s="1" t="str">
        <f>IF(OR(Raw_Data!D320="Yes",Raw_Data!E320="Yes"),"Has Plan","No Special Plan")</f>
        <v>No Special Plan</v>
      </c>
      <c r="H320" s="1" t="str">
        <f>IF(NOT(Raw_Data!S320&gt;=3),"Normal Service Contact","Frequent Service Contact")</f>
        <v>Normal Service Contact</v>
      </c>
      <c r="I320" s="1" t="str" cm="1">
        <f t="array" ref="I320">_xlfn.SWITCH(Raw_Data!D320,"Yes","International Customer","No","Domestic Plan","Unknown")</f>
        <v>Domestic Plan</v>
      </c>
      <c r="J320" s="1" t="str">
        <f>IF(ISERROR(Raw_Data!G320/0),"Error","Valid")</f>
        <v>Error</v>
      </c>
      <c r="K320" s="1" t="str">
        <f>IF(ISBLANK(Raw_Data!A320),"Missing","Available")</f>
        <v>Available</v>
      </c>
      <c r="L320" s="5" t="str">
        <f>IF(ISNUMBER(Raw_Data!G320),"Numeric","Not Numeric")</f>
        <v>Numeric</v>
      </c>
    </row>
    <row r="321" spans="1:12" x14ac:dyDescent="0.25">
      <c r="A321" s="4" t="str">
        <f>Raw_Data!A321</f>
        <v>CT</v>
      </c>
      <c r="B321" s="1" t="b">
        <f>Raw_Data!T321</f>
        <v>0</v>
      </c>
      <c r="C321" s="1" t="str">
        <f t="shared" si="4"/>
        <v>Retained</v>
      </c>
      <c r="D321" s="1" t="str">
        <f>IF(Raw_Data!S321=0,"Low Contact",IF(Raw_Data!S321&lt;=2,"Normal Contact","High Contact"))</f>
        <v>Normal Contact</v>
      </c>
      <c r="E321" s="1" t="str">
        <f>IF(AND(Raw_Data!G321&gt;200,Raw_Data!H321&gt;100),"High Usage","Normal Usage")</f>
        <v>Normal Usage</v>
      </c>
      <c r="F321" s="1" t="str" cm="1">
        <f t="array" ref="F321">_xlfn.IFS(B321=TRUE,"High Risk",AND(Raw_Data!S321&gt;=3,Raw_Data!G321&gt;200),"High Risk",Raw_Data!S321&gt;=2,"Medium Risk",TRUE,"Low Risk")</f>
        <v>Low Risk</v>
      </c>
      <c r="G321" s="1" t="str">
        <f>IF(OR(Raw_Data!D321="Yes",Raw_Data!E321="Yes"),"Has Plan","No Special Plan")</f>
        <v>No Special Plan</v>
      </c>
      <c r="H321" s="1" t="str">
        <f>IF(NOT(Raw_Data!S321&gt;=3),"Normal Service Contact","Frequent Service Contact")</f>
        <v>Normal Service Contact</v>
      </c>
      <c r="I321" s="1" t="str" cm="1">
        <f t="array" ref="I321">_xlfn.SWITCH(Raw_Data!D321,"Yes","International Customer","No","Domestic Plan","Unknown")</f>
        <v>Domestic Plan</v>
      </c>
      <c r="J321" s="1" t="str">
        <f>IF(ISERROR(Raw_Data!G321/0),"Error","Valid")</f>
        <v>Error</v>
      </c>
      <c r="K321" s="1" t="str">
        <f>IF(ISBLANK(Raw_Data!A321),"Missing","Available")</f>
        <v>Available</v>
      </c>
      <c r="L321" s="5" t="str">
        <f>IF(ISNUMBER(Raw_Data!G321),"Numeric","Not Numeric")</f>
        <v>Numeric</v>
      </c>
    </row>
    <row r="322" spans="1:12" x14ac:dyDescent="0.25">
      <c r="A322" s="4" t="str">
        <f>Raw_Data!A322</f>
        <v>SD</v>
      </c>
      <c r="B322" s="1" t="b">
        <f>Raw_Data!T322</f>
        <v>0</v>
      </c>
      <c r="C322" s="1" t="str">
        <f t="shared" si="4"/>
        <v>Retained</v>
      </c>
      <c r="D322" s="1" t="str">
        <f>IF(Raw_Data!S322=0,"Low Contact",IF(Raw_Data!S322&lt;=2,"Normal Contact","High Contact"))</f>
        <v>Normal Contact</v>
      </c>
      <c r="E322" s="1" t="str">
        <f>IF(AND(Raw_Data!G322&gt;200,Raw_Data!H322&gt;100),"High Usage","Normal Usage")</f>
        <v>Normal Usage</v>
      </c>
      <c r="F322" s="1" t="str" cm="1">
        <f t="array" ref="F322">_xlfn.IFS(B322=TRUE,"High Risk",AND(Raw_Data!S322&gt;=3,Raw_Data!G322&gt;200),"High Risk",Raw_Data!S322&gt;=2,"Medium Risk",TRUE,"Low Risk")</f>
        <v>Medium Risk</v>
      </c>
      <c r="G322" s="1" t="str">
        <f>IF(OR(Raw_Data!D322="Yes",Raw_Data!E322="Yes"),"Has Plan","No Special Plan")</f>
        <v>No Special Plan</v>
      </c>
      <c r="H322" s="1" t="str">
        <f>IF(NOT(Raw_Data!S322&gt;=3),"Normal Service Contact","Frequent Service Contact")</f>
        <v>Normal Service Contact</v>
      </c>
      <c r="I322" s="1" t="str" cm="1">
        <f t="array" ref="I322">_xlfn.SWITCH(Raw_Data!D322,"Yes","International Customer","No","Domestic Plan","Unknown")</f>
        <v>Domestic Plan</v>
      </c>
      <c r="J322" s="1" t="str">
        <f>IF(ISERROR(Raw_Data!G322/0),"Error","Valid")</f>
        <v>Error</v>
      </c>
      <c r="K322" s="1" t="str">
        <f>IF(ISBLANK(Raw_Data!A322),"Missing","Available")</f>
        <v>Available</v>
      </c>
      <c r="L322" s="5" t="str">
        <f>IF(ISNUMBER(Raw_Data!G322),"Numeric","Not Numeric")</f>
        <v>Numeric</v>
      </c>
    </row>
    <row r="323" spans="1:12" x14ac:dyDescent="0.25">
      <c r="A323" s="4" t="str">
        <f>Raw_Data!A323</f>
        <v>FL</v>
      </c>
      <c r="B323" s="1" t="b">
        <f>Raw_Data!T323</f>
        <v>0</v>
      </c>
      <c r="C323" s="1" t="str">
        <f t="shared" ref="C323:C386" si="5">IF(B323=TRUE,"Churned","Retained")</f>
        <v>Retained</v>
      </c>
      <c r="D323" s="1" t="str">
        <f>IF(Raw_Data!S323=0,"Low Contact",IF(Raw_Data!S323&lt;=2,"Normal Contact","High Contact"))</f>
        <v>Low Contact</v>
      </c>
      <c r="E323" s="1" t="str">
        <f>IF(AND(Raw_Data!G323&gt;200,Raw_Data!H323&gt;100),"High Usage","Normal Usage")</f>
        <v>Normal Usage</v>
      </c>
      <c r="F323" s="1" t="str" cm="1">
        <f t="array" ref="F323">_xlfn.IFS(B323=TRUE,"High Risk",AND(Raw_Data!S323&gt;=3,Raw_Data!G323&gt;200),"High Risk",Raw_Data!S323&gt;=2,"Medium Risk",TRUE,"Low Risk")</f>
        <v>Low Risk</v>
      </c>
      <c r="G323" s="1" t="str">
        <f>IF(OR(Raw_Data!D323="Yes",Raw_Data!E323="Yes"),"Has Plan","No Special Plan")</f>
        <v>No Special Plan</v>
      </c>
      <c r="H323" s="1" t="str">
        <f>IF(NOT(Raw_Data!S323&gt;=3),"Normal Service Contact","Frequent Service Contact")</f>
        <v>Normal Service Contact</v>
      </c>
      <c r="I323" s="1" t="str" cm="1">
        <f t="array" ref="I323">_xlfn.SWITCH(Raw_Data!D323,"Yes","International Customer","No","Domestic Plan","Unknown")</f>
        <v>Domestic Plan</v>
      </c>
      <c r="J323" s="1" t="str">
        <f>IF(ISERROR(Raw_Data!G323/0),"Error","Valid")</f>
        <v>Error</v>
      </c>
      <c r="K323" s="1" t="str">
        <f>IF(ISBLANK(Raw_Data!A323),"Missing","Available")</f>
        <v>Available</v>
      </c>
      <c r="L323" s="5" t="str">
        <f>IF(ISNUMBER(Raw_Data!G323),"Numeric","Not Numeric")</f>
        <v>Numeric</v>
      </c>
    </row>
    <row r="324" spans="1:12" x14ac:dyDescent="0.25">
      <c r="A324" s="4" t="str">
        <f>Raw_Data!A324</f>
        <v>MS</v>
      </c>
      <c r="B324" s="1" t="b">
        <f>Raw_Data!T324</f>
        <v>0</v>
      </c>
      <c r="C324" s="1" t="str">
        <f t="shared" si="5"/>
        <v>Retained</v>
      </c>
      <c r="D324" s="1" t="str">
        <f>IF(Raw_Data!S324=0,"Low Contact",IF(Raw_Data!S324&lt;=2,"Normal Contact","High Contact"))</f>
        <v>Low Contact</v>
      </c>
      <c r="E324" s="1" t="str">
        <f>IF(AND(Raw_Data!G324&gt;200,Raw_Data!H324&gt;100),"High Usage","Normal Usage")</f>
        <v>Normal Usage</v>
      </c>
      <c r="F324" s="1" t="str" cm="1">
        <f t="array" ref="F324">_xlfn.IFS(B324=TRUE,"High Risk",AND(Raw_Data!S324&gt;=3,Raw_Data!G324&gt;200),"High Risk",Raw_Data!S324&gt;=2,"Medium Risk",TRUE,"Low Risk")</f>
        <v>Low Risk</v>
      </c>
      <c r="G324" s="1" t="str">
        <f>IF(OR(Raw_Data!D324="Yes",Raw_Data!E324="Yes"),"Has Plan","No Special Plan")</f>
        <v>No Special Plan</v>
      </c>
      <c r="H324" s="1" t="str">
        <f>IF(NOT(Raw_Data!S324&gt;=3),"Normal Service Contact","Frequent Service Contact")</f>
        <v>Normal Service Contact</v>
      </c>
      <c r="I324" s="1" t="str" cm="1">
        <f t="array" ref="I324">_xlfn.SWITCH(Raw_Data!D324,"Yes","International Customer","No","Domestic Plan","Unknown")</f>
        <v>Domestic Plan</v>
      </c>
      <c r="J324" s="1" t="str">
        <f>IF(ISERROR(Raw_Data!G324/0),"Error","Valid")</f>
        <v>Error</v>
      </c>
      <c r="K324" s="1" t="str">
        <f>IF(ISBLANK(Raw_Data!A324),"Missing","Available")</f>
        <v>Available</v>
      </c>
      <c r="L324" s="5" t="str">
        <f>IF(ISNUMBER(Raw_Data!G324),"Numeric","Not Numeric")</f>
        <v>Numeric</v>
      </c>
    </row>
    <row r="325" spans="1:12" x14ac:dyDescent="0.25">
      <c r="A325" s="4" t="str">
        <f>Raw_Data!A325</f>
        <v>MA</v>
      </c>
      <c r="B325" s="1" t="b">
        <f>Raw_Data!T325</f>
        <v>0</v>
      </c>
      <c r="C325" s="1" t="str">
        <f t="shared" si="5"/>
        <v>Retained</v>
      </c>
      <c r="D325" s="1" t="str">
        <f>IF(Raw_Data!S325=0,"Low Contact",IF(Raw_Data!S325&lt;=2,"Normal Contact","High Contact"))</f>
        <v>Normal Contact</v>
      </c>
      <c r="E325" s="1" t="str">
        <f>IF(AND(Raw_Data!G325&gt;200,Raw_Data!H325&gt;100),"High Usage","Normal Usage")</f>
        <v>Normal Usage</v>
      </c>
      <c r="F325" s="1" t="str" cm="1">
        <f t="array" ref="F325">_xlfn.IFS(B325=TRUE,"High Risk",AND(Raw_Data!S325&gt;=3,Raw_Data!G325&gt;200),"High Risk",Raw_Data!S325&gt;=2,"Medium Risk",TRUE,"Low Risk")</f>
        <v>Medium Risk</v>
      </c>
      <c r="G325" s="1" t="str">
        <f>IF(OR(Raw_Data!D325="Yes",Raw_Data!E325="Yes"),"Has Plan","No Special Plan")</f>
        <v>No Special Plan</v>
      </c>
      <c r="H325" s="1" t="str">
        <f>IF(NOT(Raw_Data!S325&gt;=3),"Normal Service Contact","Frequent Service Contact")</f>
        <v>Normal Service Contact</v>
      </c>
      <c r="I325" s="1" t="str" cm="1">
        <f t="array" ref="I325">_xlfn.SWITCH(Raw_Data!D325,"Yes","International Customer","No","Domestic Plan","Unknown")</f>
        <v>Domestic Plan</v>
      </c>
      <c r="J325" s="1" t="str">
        <f>IF(ISERROR(Raw_Data!G325/0),"Error","Valid")</f>
        <v>Error</v>
      </c>
      <c r="K325" s="1" t="str">
        <f>IF(ISBLANK(Raw_Data!A325),"Missing","Available")</f>
        <v>Available</v>
      </c>
      <c r="L325" s="5" t="str">
        <f>IF(ISNUMBER(Raw_Data!G325),"Numeric","Not Numeric")</f>
        <v>Numeric</v>
      </c>
    </row>
    <row r="326" spans="1:12" x14ac:dyDescent="0.25">
      <c r="A326" s="4" t="str">
        <f>Raw_Data!A326</f>
        <v>VT</v>
      </c>
      <c r="B326" s="1" t="b">
        <f>Raw_Data!T326</f>
        <v>0</v>
      </c>
      <c r="C326" s="1" t="str">
        <f t="shared" si="5"/>
        <v>Retained</v>
      </c>
      <c r="D326" s="1" t="str">
        <f>IF(Raw_Data!S326=0,"Low Contact",IF(Raw_Data!S326&lt;=2,"Normal Contact","High Contact"))</f>
        <v>Normal Contact</v>
      </c>
      <c r="E326" s="1" t="str">
        <f>IF(AND(Raw_Data!G326&gt;200,Raw_Data!H326&gt;100),"High Usage","Normal Usage")</f>
        <v>Normal Usage</v>
      </c>
      <c r="F326" s="1" t="str" cm="1">
        <f t="array" ref="F326">_xlfn.IFS(B326=TRUE,"High Risk",AND(Raw_Data!S326&gt;=3,Raw_Data!G326&gt;200),"High Risk",Raw_Data!S326&gt;=2,"Medium Risk",TRUE,"Low Risk")</f>
        <v>Low Risk</v>
      </c>
      <c r="G326" s="1" t="str">
        <f>IF(OR(Raw_Data!D326="Yes",Raw_Data!E326="Yes"),"Has Plan","No Special Plan")</f>
        <v>No Special Plan</v>
      </c>
      <c r="H326" s="1" t="str">
        <f>IF(NOT(Raw_Data!S326&gt;=3),"Normal Service Contact","Frequent Service Contact")</f>
        <v>Normal Service Contact</v>
      </c>
      <c r="I326" s="1" t="str" cm="1">
        <f t="array" ref="I326">_xlfn.SWITCH(Raw_Data!D326,"Yes","International Customer","No","Domestic Plan","Unknown")</f>
        <v>Domestic Plan</v>
      </c>
      <c r="J326" s="1" t="str">
        <f>IF(ISERROR(Raw_Data!G326/0),"Error","Valid")</f>
        <v>Error</v>
      </c>
      <c r="K326" s="1" t="str">
        <f>IF(ISBLANK(Raw_Data!A326),"Missing","Available")</f>
        <v>Available</v>
      </c>
      <c r="L326" s="5" t="str">
        <f>IF(ISNUMBER(Raw_Data!G326),"Numeric","Not Numeric")</f>
        <v>Numeric</v>
      </c>
    </row>
    <row r="327" spans="1:12" x14ac:dyDescent="0.25">
      <c r="A327" s="4" t="str">
        <f>Raw_Data!A327</f>
        <v>IL</v>
      </c>
      <c r="B327" s="1" t="b">
        <f>Raw_Data!T327</f>
        <v>0</v>
      </c>
      <c r="C327" s="1" t="str">
        <f t="shared" si="5"/>
        <v>Retained</v>
      </c>
      <c r="D327" s="1" t="str">
        <f>IF(Raw_Data!S327=0,"Low Contact",IF(Raw_Data!S327&lt;=2,"Normal Contact","High Contact"))</f>
        <v>Normal Contact</v>
      </c>
      <c r="E327" s="1" t="str">
        <f>IF(AND(Raw_Data!G327&gt;200,Raw_Data!H327&gt;100),"High Usage","Normal Usage")</f>
        <v>Normal Usage</v>
      </c>
      <c r="F327" s="1" t="str" cm="1">
        <f t="array" ref="F327">_xlfn.IFS(B327=TRUE,"High Risk",AND(Raw_Data!S327&gt;=3,Raw_Data!G327&gt;200),"High Risk",Raw_Data!S327&gt;=2,"Medium Risk",TRUE,"Low Risk")</f>
        <v>Medium Risk</v>
      </c>
      <c r="G327" s="1" t="str">
        <f>IF(OR(Raw_Data!D327="Yes",Raw_Data!E327="Yes"),"Has Plan","No Special Plan")</f>
        <v>Has Plan</v>
      </c>
      <c r="H327" s="1" t="str">
        <f>IF(NOT(Raw_Data!S327&gt;=3),"Normal Service Contact","Frequent Service Contact")</f>
        <v>Normal Service Contact</v>
      </c>
      <c r="I327" s="1" t="str" cm="1">
        <f t="array" ref="I327">_xlfn.SWITCH(Raw_Data!D327,"Yes","International Customer","No","Domestic Plan","Unknown")</f>
        <v>Domestic Plan</v>
      </c>
      <c r="J327" s="1" t="str">
        <f>IF(ISERROR(Raw_Data!G327/0),"Error","Valid")</f>
        <v>Error</v>
      </c>
      <c r="K327" s="1" t="str">
        <f>IF(ISBLANK(Raw_Data!A327),"Missing","Available")</f>
        <v>Available</v>
      </c>
      <c r="L327" s="5" t="str">
        <f>IF(ISNUMBER(Raw_Data!G327),"Numeric","Not Numeric")</f>
        <v>Numeric</v>
      </c>
    </row>
    <row r="328" spans="1:12" x14ac:dyDescent="0.25">
      <c r="A328" s="4" t="str">
        <f>Raw_Data!A328</f>
        <v>CT</v>
      </c>
      <c r="B328" s="1" t="b">
        <f>Raw_Data!T328</f>
        <v>0</v>
      </c>
      <c r="C328" s="1" t="str">
        <f t="shared" si="5"/>
        <v>Retained</v>
      </c>
      <c r="D328" s="1" t="str">
        <f>IF(Raw_Data!S328=0,"Low Contact",IF(Raw_Data!S328&lt;=2,"Normal Contact","High Contact"))</f>
        <v>High Contact</v>
      </c>
      <c r="E328" s="1" t="str">
        <f>IF(AND(Raw_Data!G328&gt;200,Raw_Data!H328&gt;100),"High Usage","Normal Usage")</f>
        <v>Normal Usage</v>
      </c>
      <c r="F328" s="1" t="str" cm="1">
        <f t="array" ref="F328">_xlfn.IFS(B328=TRUE,"High Risk",AND(Raw_Data!S328&gt;=3,Raw_Data!G328&gt;200),"High Risk",Raw_Data!S328&gt;=2,"Medium Risk",TRUE,"Low Risk")</f>
        <v>Medium Risk</v>
      </c>
      <c r="G328" s="1" t="str">
        <f>IF(OR(Raw_Data!D328="Yes",Raw_Data!E328="Yes"),"Has Plan","No Special Plan")</f>
        <v>No Special Plan</v>
      </c>
      <c r="H328" s="1" t="str">
        <f>IF(NOT(Raw_Data!S328&gt;=3),"Normal Service Contact","Frequent Service Contact")</f>
        <v>Frequent Service Contact</v>
      </c>
      <c r="I328" s="1" t="str" cm="1">
        <f t="array" ref="I328">_xlfn.SWITCH(Raw_Data!D328,"Yes","International Customer","No","Domestic Plan","Unknown")</f>
        <v>Domestic Plan</v>
      </c>
      <c r="J328" s="1" t="str">
        <f>IF(ISERROR(Raw_Data!G328/0),"Error","Valid")</f>
        <v>Error</v>
      </c>
      <c r="K328" s="1" t="str">
        <f>IF(ISBLANK(Raw_Data!A328),"Missing","Available")</f>
        <v>Available</v>
      </c>
      <c r="L328" s="5" t="str">
        <f>IF(ISNUMBER(Raw_Data!G328),"Numeric","Not Numeric")</f>
        <v>Numeric</v>
      </c>
    </row>
    <row r="329" spans="1:12" x14ac:dyDescent="0.25">
      <c r="A329" s="4" t="str">
        <f>Raw_Data!A329</f>
        <v>KS</v>
      </c>
      <c r="B329" s="1" t="b">
        <f>Raw_Data!T329</f>
        <v>1</v>
      </c>
      <c r="C329" s="1" t="str">
        <f t="shared" si="5"/>
        <v>Churned</v>
      </c>
      <c r="D329" s="1" t="str">
        <f>IF(Raw_Data!S329=0,"Low Contact",IF(Raw_Data!S329&lt;=2,"Normal Contact","High Contact"))</f>
        <v>Normal Contact</v>
      </c>
      <c r="E329" s="1" t="str">
        <f>IF(AND(Raw_Data!G329&gt;200,Raw_Data!H329&gt;100),"High Usage","Normal Usage")</f>
        <v>High Usage</v>
      </c>
      <c r="F329" s="1" t="str" cm="1">
        <f t="array" ref="F329">_xlfn.IFS(B329=TRUE,"High Risk",AND(Raw_Data!S329&gt;=3,Raw_Data!G329&gt;200),"High Risk",Raw_Data!S329&gt;=2,"Medium Risk",TRUE,"Low Risk")</f>
        <v>High Risk</v>
      </c>
      <c r="G329" s="1" t="str">
        <f>IF(OR(Raw_Data!D329="Yes",Raw_Data!E329="Yes"),"Has Plan","No Special Plan")</f>
        <v>Has Plan</v>
      </c>
      <c r="H329" s="1" t="str">
        <f>IF(NOT(Raw_Data!S329&gt;=3),"Normal Service Contact","Frequent Service Contact")</f>
        <v>Normal Service Contact</v>
      </c>
      <c r="I329" s="1" t="str" cm="1">
        <f t="array" ref="I329">_xlfn.SWITCH(Raw_Data!D329,"Yes","International Customer","No","Domestic Plan","Unknown")</f>
        <v>International Customer</v>
      </c>
      <c r="J329" s="1" t="str">
        <f>IF(ISERROR(Raw_Data!G329/0),"Error","Valid")</f>
        <v>Error</v>
      </c>
      <c r="K329" s="1" t="str">
        <f>IF(ISBLANK(Raw_Data!A329),"Missing","Available")</f>
        <v>Available</v>
      </c>
      <c r="L329" s="5" t="str">
        <f>IF(ISNUMBER(Raw_Data!G329),"Numeric","Not Numeric")</f>
        <v>Numeric</v>
      </c>
    </row>
    <row r="330" spans="1:12" x14ac:dyDescent="0.25">
      <c r="A330" s="4" t="str">
        <f>Raw_Data!A330</f>
        <v>MA</v>
      </c>
      <c r="B330" s="1" t="b">
        <f>Raw_Data!T330</f>
        <v>0</v>
      </c>
      <c r="C330" s="1" t="str">
        <f t="shared" si="5"/>
        <v>Retained</v>
      </c>
      <c r="D330" s="1" t="str">
        <f>IF(Raw_Data!S330=0,"Low Contact",IF(Raw_Data!S330&lt;=2,"Normal Contact","High Contact"))</f>
        <v>High Contact</v>
      </c>
      <c r="E330" s="1" t="str">
        <f>IF(AND(Raw_Data!G330&gt;200,Raw_Data!H330&gt;100),"High Usage","Normal Usage")</f>
        <v>Normal Usage</v>
      </c>
      <c r="F330" s="1" t="str" cm="1">
        <f t="array" ref="F330">_xlfn.IFS(B330=TRUE,"High Risk",AND(Raw_Data!S330&gt;=3,Raw_Data!G330&gt;200),"High Risk",Raw_Data!S330&gt;=2,"Medium Risk",TRUE,"Low Risk")</f>
        <v>Medium Risk</v>
      </c>
      <c r="G330" s="1" t="str">
        <f>IF(OR(Raw_Data!D330="Yes",Raw_Data!E330="Yes"),"Has Plan","No Special Plan")</f>
        <v>Has Plan</v>
      </c>
      <c r="H330" s="1" t="str">
        <f>IF(NOT(Raw_Data!S330&gt;=3),"Normal Service Contact","Frequent Service Contact")</f>
        <v>Frequent Service Contact</v>
      </c>
      <c r="I330" s="1" t="str" cm="1">
        <f t="array" ref="I330">_xlfn.SWITCH(Raw_Data!D330,"Yes","International Customer","No","Domestic Plan","Unknown")</f>
        <v>Domestic Plan</v>
      </c>
      <c r="J330" s="1" t="str">
        <f>IF(ISERROR(Raw_Data!G330/0),"Error","Valid")</f>
        <v>Error</v>
      </c>
      <c r="K330" s="1" t="str">
        <f>IF(ISBLANK(Raw_Data!A330),"Missing","Available")</f>
        <v>Available</v>
      </c>
      <c r="L330" s="5" t="str">
        <f>IF(ISNUMBER(Raw_Data!G330),"Numeric","Not Numeric")</f>
        <v>Numeric</v>
      </c>
    </row>
    <row r="331" spans="1:12" x14ac:dyDescent="0.25">
      <c r="A331" s="4" t="str">
        <f>Raw_Data!A331</f>
        <v>NJ</v>
      </c>
      <c r="B331" s="1" t="b">
        <f>Raw_Data!T331</f>
        <v>0</v>
      </c>
      <c r="C331" s="1" t="str">
        <f t="shared" si="5"/>
        <v>Retained</v>
      </c>
      <c r="D331" s="1" t="str">
        <f>IF(Raw_Data!S331=0,"Low Contact",IF(Raw_Data!S331&lt;=2,"Normal Contact","High Contact"))</f>
        <v>High Contact</v>
      </c>
      <c r="E331" s="1" t="str">
        <f>IF(AND(Raw_Data!G331&gt;200,Raw_Data!H331&gt;100),"High Usage","Normal Usage")</f>
        <v>Normal Usage</v>
      </c>
      <c r="F331" s="1" t="str" cm="1">
        <f t="array" ref="F331">_xlfn.IFS(B331=TRUE,"High Risk",AND(Raw_Data!S331&gt;=3,Raw_Data!G331&gt;200),"High Risk",Raw_Data!S331&gt;=2,"Medium Risk",TRUE,"Low Risk")</f>
        <v>Medium Risk</v>
      </c>
      <c r="G331" s="1" t="str">
        <f>IF(OR(Raw_Data!D331="Yes",Raw_Data!E331="Yes"),"Has Plan","No Special Plan")</f>
        <v>No Special Plan</v>
      </c>
      <c r="H331" s="1" t="str">
        <f>IF(NOT(Raw_Data!S331&gt;=3),"Normal Service Contact","Frequent Service Contact")</f>
        <v>Frequent Service Contact</v>
      </c>
      <c r="I331" s="1" t="str" cm="1">
        <f t="array" ref="I331">_xlfn.SWITCH(Raw_Data!D331,"Yes","International Customer","No","Domestic Plan","Unknown")</f>
        <v>Domestic Plan</v>
      </c>
      <c r="J331" s="1" t="str">
        <f>IF(ISERROR(Raw_Data!G331/0),"Error","Valid")</f>
        <v>Error</v>
      </c>
      <c r="K331" s="1" t="str">
        <f>IF(ISBLANK(Raw_Data!A331),"Missing","Available")</f>
        <v>Available</v>
      </c>
      <c r="L331" s="5" t="str">
        <f>IF(ISNUMBER(Raw_Data!G331),"Numeric","Not Numeric")</f>
        <v>Numeric</v>
      </c>
    </row>
    <row r="332" spans="1:12" x14ac:dyDescent="0.25">
      <c r="A332" s="4" t="str">
        <f>Raw_Data!A332</f>
        <v>AR</v>
      </c>
      <c r="B332" s="1" t="b">
        <f>Raw_Data!T332</f>
        <v>0</v>
      </c>
      <c r="C332" s="1" t="str">
        <f t="shared" si="5"/>
        <v>Retained</v>
      </c>
      <c r="D332" s="1" t="str">
        <f>IF(Raw_Data!S332=0,"Low Contact",IF(Raw_Data!S332&lt;=2,"Normal Contact","High Contact"))</f>
        <v>Low Contact</v>
      </c>
      <c r="E332" s="1" t="str">
        <f>IF(AND(Raw_Data!G332&gt;200,Raw_Data!H332&gt;100),"High Usage","Normal Usage")</f>
        <v>Normal Usage</v>
      </c>
      <c r="F332" s="1" t="str" cm="1">
        <f t="array" ref="F332">_xlfn.IFS(B332=TRUE,"High Risk",AND(Raw_Data!S332&gt;=3,Raw_Data!G332&gt;200),"High Risk",Raw_Data!S332&gt;=2,"Medium Risk",TRUE,"Low Risk")</f>
        <v>Low Risk</v>
      </c>
      <c r="G332" s="1" t="str">
        <f>IF(OR(Raw_Data!D332="Yes",Raw_Data!E332="Yes"),"Has Plan","No Special Plan")</f>
        <v>Has Plan</v>
      </c>
      <c r="H332" s="1" t="str">
        <f>IF(NOT(Raw_Data!S332&gt;=3),"Normal Service Contact","Frequent Service Contact")</f>
        <v>Normal Service Contact</v>
      </c>
      <c r="I332" s="1" t="str" cm="1">
        <f t="array" ref="I332">_xlfn.SWITCH(Raw_Data!D332,"Yes","International Customer","No","Domestic Plan","Unknown")</f>
        <v>Domestic Plan</v>
      </c>
      <c r="J332" s="1" t="str">
        <f>IF(ISERROR(Raw_Data!G332/0),"Error","Valid")</f>
        <v>Error</v>
      </c>
      <c r="K332" s="1" t="str">
        <f>IF(ISBLANK(Raw_Data!A332),"Missing","Available")</f>
        <v>Available</v>
      </c>
      <c r="L332" s="5" t="str">
        <f>IF(ISNUMBER(Raw_Data!G332),"Numeric","Not Numeric")</f>
        <v>Numeric</v>
      </c>
    </row>
    <row r="333" spans="1:12" x14ac:dyDescent="0.25">
      <c r="A333" s="4" t="str">
        <f>Raw_Data!A333</f>
        <v>MS</v>
      </c>
      <c r="B333" s="1" t="b">
        <f>Raw_Data!T333</f>
        <v>0</v>
      </c>
      <c r="C333" s="1" t="str">
        <f t="shared" si="5"/>
        <v>Retained</v>
      </c>
      <c r="D333" s="1" t="str">
        <f>IF(Raw_Data!S333=0,"Low Contact",IF(Raw_Data!S333&lt;=2,"Normal Contact","High Contact"))</f>
        <v>Normal Contact</v>
      </c>
      <c r="E333" s="1" t="str">
        <f>IF(AND(Raw_Data!G333&gt;200,Raw_Data!H333&gt;100),"High Usage","Normal Usage")</f>
        <v>Normal Usage</v>
      </c>
      <c r="F333" s="1" t="str" cm="1">
        <f t="array" ref="F333">_xlfn.IFS(B333=TRUE,"High Risk",AND(Raw_Data!S333&gt;=3,Raw_Data!G333&gt;200),"High Risk",Raw_Data!S333&gt;=2,"Medium Risk",TRUE,"Low Risk")</f>
        <v>Medium Risk</v>
      </c>
      <c r="G333" s="1" t="str">
        <f>IF(OR(Raw_Data!D333="Yes",Raw_Data!E333="Yes"),"Has Plan","No Special Plan")</f>
        <v>No Special Plan</v>
      </c>
      <c r="H333" s="1" t="str">
        <f>IF(NOT(Raw_Data!S333&gt;=3),"Normal Service Contact","Frequent Service Contact")</f>
        <v>Normal Service Contact</v>
      </c>
      <c r="I333" s="1" t="str" cm="1">
        <f t="array" ref="I333">_xlfn.SWITCH(Raw_Data!D333,"Yes","International Customer","No","Domestic Plan","Unknown")</f>
        <v>Domestic Plan</v>
      </c>
      <c r="J333" s="1" t="str">
        <f>IF(ISERROR(Raw_Data!G333/0),"Error","Valid")</f>
        <v>Error</v>
      </c>
      <c r="K333" s="1" t="str">
        <f>IF(ISBLANK(Raw_Data!A333),"Missing","Available")</f>
        <v>Available</v>
      </c>
      <c r="L333" s="5" t="str">
        <f>IF(ISNUMBER(Raw_Data!G333),"Numeric","Not Numeric")</f>
        <v>Numeric</v>
      </c>
    </row>
    <row r="334" spans="1:12" x14ac:dyDescent="0.25">
      <c r="A334" s="4" t="str">
        <f>Raw_Data!A334</f>
        <v>ME</v>
      </c>
      <c r="B334" s="1" t="b">
        <f>Raw_Data!T334</f>
        <v>0</v>
      </c>
      <c r="C334" s="1" t="str">
        <f t="shared" si="5"/>
        <v>Retained</v>
      </c>
      <c r="D334" s="1" t="str">
        <f>IF(Raw_Data!S334=0,"Low Contact",IF(Raw_Data!S334&lt;=2,"Normal Contact","High Contact"))</f>
        <v>High Contact</v>
      </c>
      <c r="E334" s="1" t="str">
        <f>IF(AND(Raw_Data!G334&gt;200,Raw_Data!H334&gt;100),"High Usage","Normal Usage")</f>
        <v>Normal Usage</v>
      </c>
      <c r="F334" s="1" t="str" cm="1">
        <f t="array" ref="F334">_xlfn.IFS(B334=TRUE,"High Risk",AND(Raw_Data!S334&gt;=3,Raw_Data!G334&gt;200),"High Risk",Raw_Data!S334&gt;=2,"Medium Risk",TRUE,"Low Risk")</f>
        <v>Medium Risk</v>
      </c>
      <c r="G334" s="1" t="str">
        <f>IF(OR(Raw_Data!D334="Yes",Raw_Data!E334="Yes"),"Has Plan","No Special Plan")</f>
        <v>No Special Plan</v>
      </c>
      <c r="H334" s="1" t="str">
        <f>IF(NOT(Raw_Data!S334&gt;=3),"Normal Service Contact","Frequent Service Contact")</f>
        <v>Frequent Service Contact</v>
      </c>
      <c r="I334" s="1" t="str" cm="1">
        <f t="array" ref="I334">_xlfn.SWITCH(Raw_Data!D334,"Yes","International Customer","No","Domestic Plan","Unknown")</f>
        <v>Domestic Plan</v>
      </c>
      <c r="J334" s="1" t="str">
        <f>IF(ISERROR(Raw_Data!G334/0),"Error","Valid")</f>
        <v>Error</v>
      </c>
      <c r="K334" s="1" t="str">
        <f>IF(ISBLANK(Raw_Data!A334),"Missing","Available")</f>
        <v>Available</v>
      </c>
      <c r="L334" s="5" t="str">
        <f>IF(ISNUMBER(Raw_Data!G334),"Numeric","Not Numeric")</f>
        <v>Numeric</v>
      </c>
    </row>
    <row r="335" spans="1:12" x14ac:dyDescent="0.25">
      <c r="A335" s="4" t="str">
        <f>Raw_Data!A335</f>
        <v>IA</v>
      </c>
      <c r="B335" s="1" t="b">
        <f>Raw_Data!T335</f>
        <v>0</v>
      </c>
      <c r="C335" s="1" t="str">
        <f t="shared" si="5"/>
        <v>Retained</v>
      </c>
      <c r="D335" s="1" t="str">
        <f>IF(Raw_Data!S335=0,"Low Contact",IF(Raw_Data!S335&lt;=2,"Normal Contact","High Contact"))</f>
        <v>Normal Contact</v>
      </c>
      <c r="E335" s="1" t="str">
        <f>IF(AND(Raw_Data!G335&gt;200,Raw_Data!H335&gt;100),"High Usage","Normal Usage")</f>
        <v>Normal Usage</v>
      </c>
      <c r="F335" s="1" t="str" cm="1">
        <f t="array" ref="F335">_xlfn.IFS(B335=TRUE,"High Risk",AND(Raw_Data!S335&gt;=3,Raw_Data!G335&gt;200),"High Risk",Raw_Data!S335&gt;=2,"Medium Risk",TRUE,"Low Risk")</f>
        <v>Low Risk</v>
      </c>
      <c r="G335" s="1" t="str">
        <f>IF(OR(Raw_Data!D335="Yes",Raw_Data!E335="Yes"),"Has Plan","No Special Plan")</f>
        <v>No Special Plan</v>
      </c>
      <c r="H335" s="1" t="str">
        <f>IF(NOT(Raw_Data!S335&gt;=3),"Normal Service Contact","Frequent Service Contact")</f>
        <v>Normal Service Contact</v>
      </c>
      <c r="I335" s="1" t="str" cm="1">
        <f t="array" ref="I335">_xlfn.SWITCH(Raw_Data!D335,"Yes","International Customer","No","Domestic Plan","Unknown")</f>
        <v>Domestic Plan</v>
      </c>
      <c r="J335" s="1" t="str">
        <f>IF(ISERROR(Raw_Data!G335/0),"Error","Valid")</f>
        <v>Error</v>
      </c>
      <c r="K335" s="1" t="str">
        <f>IF(ISBLANK(Raw_Data!A335),"Missing","Available")</f>
        <v>Available</v>
      </c>
      <c r="L335" s="5" t="str">
        <f>IF(ISNUMBER(Raw_Data!G335),"Numeric","Not Numeric")</f>
        <v>Numeric</v>
      </c>
    </row>
    <row r="336" spans="1:12" x14ac:dyDescent="0.25">
      <c r="A336" s="4" t="str">
        <f>Raw_Data!A336</f>
        <v>NM</v>
      </c>
      <c r="B336" s="1" t="b">
        <f>Raw_Data!T336</f>
        <v>0</v>
      </c>
      <c r="C336" s="1" t="str">
        <f t="shared" si="5"/>
        <v>Retained</v>
      </c>
      <c r="D336" s="1" t="str">
        <f>IF(Raw_Data!S336=0,"Low Contact",IF(Raw_Data!S336&lt;=2,"Normal Contact","High Contact"))</f>
        <v>High Contact</v>
      </c>
      <c r="E336" s="1" t="str">
        <f>IF(AND(Raw_Data!G336&gt;200,Raw_Data!H336&gt;100),"High Usage","Normal Usage")</f>
        <v>Normal Usage</v>
      </c>
      <c r="F336" s="1" t="str" cm="1">
        <f t="array" ref="F336">_xlfn.IFS(B336=TRUE,"High Risk",AND(Raw_Data!S336&gt;=3,Raw_Data!G336&gt;200),"High Risk",Raw_Data!S336&gt;=2,"Medium Risk",TRUE,"Low Risk")</f>
        <v>Medium Risk</v>
      </c>
      <c r="G336" s="1" t="str">
        <f>IF(OR(Raw_Data!D336="Yes",Raw_Data!E336="Yes"),"Has Plan","No Special Plan")</f>
        <v>Has Plan</v>
      </c>
      <c r="H336" s="1" t="str">
        <f>IF(NOT(Raw_Data!S336&gt;=3),"Normal Service Contact","Frequent Service Contact")</f>
        <v>Frequent Service Contact</v>
      </c>
      <c r="I336" s="1" t="str" cm="1">
        <f t="array" ref="I336">_xlfn.SWITCH(Raw_Data!D336,"Yes","International Customer","No","Domestic Plan","Unknown")</f>
        <v>Domestic Plan</v>
      </c>
      <c r="J336" s="1" t="str">
        <f>IF(ISERROR(Raw_Data!G336/0),"Error","Valid")</f>
        <v>Error</v>
      </c>
      <c r="K336" s="1" t="str">
        <f>IF(ISBLANK(Raw_Data!A336),"Missing","Available")</f>
        <v>Available</v>
      </c>
      <c r="L336" s="5" t="str">
        <f>IF(ISNUMBER(Raw_Data!G336),"Numeric","Not Numeric")</f>
        <v>Numeric</v>
      </c>
    </row>
    <row r="337" spans="1:12" x14ac:dyDescent="0.25">
      <c r="A337" s="4" t="str">
        <f>Raw_Data!A337</f>
        <v>TX</v>
      </c>
      <c r="B337" s="1" t="b">
        <f>Raw_Data!T337</f>
        <v>0</v>
      </c>
      <c r="C337" s="1" t="str">
        <f t="shared" si="5"/>
        <v>Retained</v>
      </c>
      <c r="D337" s="1" t="str">
        <f>IF(Raw_Data!S337=0,"Low Contact",IF(Raw_Data!S337&lt;=2,"Normal Contact","High Contact"))</f>
        <v>Normal Contact</v>
      </c>
      <c r="E337" s="1" t="str">
        <f>IF(AND(Raw_Data!G337&gt;200,Raw_Data!H337&gt;100),"High Usage","Normal Usage")</f>
        <v>Normal Usage</v>
      </c>
      <c r="F337" s="1" t="str" cm="1">
        <f t="array" ref="F337">_xlfn.IFS(B337=TRUE,"High Risk",AND(Raw_Data!S337&gt;=3,Raw_Data!G337&gt;200),"High Risk",Raw_Data!S337&gt;=2,"Medium Risk",TRUE,"Low Risk")</f>
        <v>Low Risk</v>
      </c>
      <c r="G337" s="1" t="str">
        <f>IF(OR(Raw_Data!D337="Yes",Raw_Data!E337="Yes"),"Has Plan","No Special Plan")</f>
        <v>Has Plan</v>
      </c>
      <c r="H337" s="1" t="str">
        <f>IF(NOT(Raw_Data!S337&gt;=3),"Normal Service Contact","Frequent Service Contact")</f>
        <v>Normal Service Contact</v>
      </c>
      <c r="I337" s="1" t="str" cm="1">
        <f t="array" ref="I337">_xlfn.SWITCH(Raw_Data!D337,"Yes","International Customer","No","Domestic Plan","Unknown")</f>
        <v>Domestic Plan</v>
      </c>
      <c r="J337" s="1" t="str">
        <f>IF(ISERROR(Raw_Data!G337/0),"Error","Valid")</f>
        <v>Error</v>
      </c>
      <c r="K337" s="1" t="str">
        <f>IF(ISBLANK(Raw_Data!A337),"Missing","Available")</f>
        <v>Available</v>
      </c>
      <c r="L337" s="5" t="str">
        <f>IF(ISNUMBER(Raw_Data!G337),"Numeric","Not Numeric")</f>
        <v>Numeric</v>
      </c>
    </row>
    <row r="338" spans="1:12" x14ac:dyDescent="0.25">
      <c r="A338" s="4" t="str">
        <f>Raw_Data!A338</f>
        <v>KY</v>
      </c>
      <c r="B338" s="1" t="b">
        <f>Raw_Data!T338</f>
        <v>0</v>
      </c>
      <c r="C338" s="1" t="str">
        <f t="shared" si="5"/>
        <v>Retained</v>
      </c>
      <c r="D338" s="1" t="str">
        <f>IF(Raw_Data!S338=0,"Low Contact",IF(Raw_Data!S338&lt;=2,"Normal Contact","High Contact"))</f>
        <v>Low Contact</v>
      </c>
      <c r="E338" s="1" t="str">
        <f>IF(AND(Raw_Data!G338&gt;200,Raw_Data!H338&gt;100),"High Usage","Normal Usage")</f>
        <v>Normal Usage</v>
      </c>
      <c r="F338" s="1" t="str" cm="1">
        <f t="array" ref="F338">_xlfn.IFS(B338=TRUE,"High Risk",AND(Raw_Data!S338&gt;=3,Raw_Data!G338&gt;200),"High Risk",Raw_Data!S338&gt;=2,"Medium Risk",TRUE,"Low Risk")</f>
        <v>Low Risk</v>
      </c>
      <c r="G338" s="1" t="str">
        <f>IF(OR(Raw_Data!D338="Yes",Raw_Data!E338="Yes"),"Has Plan","No Special Plan")</f>
        <v>No Special Plan</v>
      </c>
      <c r="H338" s="1" t="str">
        <f>IF(NOT(Raw_Data!S338&gt;=3),"Normal Service Contact","Frequent Service Contact")</f>
        <v>Normal Service Contact</v>
      </c>
      <c r="I338" s="1" t="str" cm="1">
        <f t="array" ref="I338">_xlfn.SWITCH(Raw_Data!D338,"Yes","International Customer","No","Domestic Plan","Unknown")</f>
        <v>Domestic Plan</v>
      </c>
      <c r="J338" s="1" t="str">
        <f>IF(ISERROR(Raw_Data!G338/0),"Error","Valid")</f>
        <v>Error</v>
      </c>
      <c r="K338" s="1" t="str">
        <f>IF(ISBLANK(Raw_Data!A338),"Missing","Available")</f>
        <v>Available</v>
      </c>
      <c r="L338" s="5" t="str">
        <f>IF(ISNUMBER(Raw_Data!G338),"Numeric","Not Numeric")</f>
        <v>Numeric</v>
      </c>
    </row>
    <row r="339" spans="1:12" x14ac:dyDescent="0.25">
      <c r="A339" s="4" t="str">
        <f>Raw_Data!A339</f>
        <v>AZ</v>
      </c>
      <c r="B339" s="1" t="b">
        <f>Raw_Data!T339</f>
        <v>1</v>
      </c>
      <c r="C339" s="1" t="str">
        <f t="shared" si="5"/>
        <v>Churned</v>
      </c>
      <c r="D339" s="1" t="str">
        <f>IF(Raw_Data!S339=0,"Low Contact",IF(Raw_Data!S339&lt;=2,"Normal Contact","High Contact"))</f>
        <v>High Contact</v>
      </c>
      <c r="E339" s="1" t="str">
        <f>IF(AND(Raw_Data!G339&gt;200,Raw_Data!H339&gt;100),"High Usage","Normal Usage")</f>
        <v>Normal Usage</v>
      </c>
      <c r="F339" s="1" t="str" cm="1">
        <f t="array" ref="F339">_xlfn.IFS(B339=TRUE,"High Risk",AND(Raw_Data!S339&gt;=3,Raw_Data!G339&gt;200),"High Risk",Raw_Data!S339&gt;=2,"Medium Risk",TRUE,"Low Risk")</f>
        <v>High Risk</v>
      </c>
      <c r="G339" s="1" t="str">
        <f>IF(OR(Raw_Data!D339="Yes",Raw_Data!E339="Yes"),"Has Plan","No Special Plan")</f>
        <v>No Special Plan</v>
      </c>
      <c r="H339" s="1" t="str">
        <f>IF(NOT(Raw_Data!S339&gt;=3),"Normal Service Contact","Frequent Service Contact")</f>
        <v>Frequent Service Contact</v>
      </c>
      <c r="I339" s="1" t="str" cm="1">
        <f t="array" ref="I339">_xlfn.SWITCH(Raw_Data!D339,"Yes","International Customer","No","Domestic Plan","Unknown")</f>
        <v>Domestic Plan</v>
      </c>
      <c r="J339" s="1" t="str">
        <f>IF(ISERROR(Raw_Data!G339/0),"Error","Valid")</f>
        <v>Error</v>
      </c>
      <c r="K339" s="1" t="str">
        <f>IF(ISBLANK(Raw_Data!A339),"Missing","Available")</f>
        <v>Available</v>
      </c>
      <c r="L339" s="5" t="str">
        <f>IF(ISNUMBER(Raw_Data!G339),"Numeric","Not Numeric")</f>
        <v>Numeric</v>
      </c>
    </row>
    <row r="340" spans="1:12" x14ac:dyDescent="0.25">
      <c r="A340" s="4" t="str">
        <f>Raw_Data!A340</f>
        <v>TN</v>
      </c>
      <c r="B340" s="1" t="b">
        <f>Raw_Data!T340</f>
        <v>0</v>
      </c>
      <c r="C340" s="1" t="str">
        <f t="shared" si="5"/>
        <v>Retained</v>
      </c>
      <c r="D340" s="1" t="str">
        <f>IF(Raw_Data!S340=0,"Low Contact",IF(Raw_Data!S340&lt;=2,"Normal Contact","High Contact"))</f>
        <v>Normal Contact</v>
      </c>
      <c r="E340" s="1" t="str">
        <f>IF(AND(Raw_Data!G340&gt;200,Raw_Data!H340&gt;100),"High Usage","Normal Usage")</f>
        <v>Normal Usage</v>
      </c>
      <c r="F340" s="1" t="str" cm="1">
        <f t="array" ref="F340">_xlfn.IFS(B340=TRUE,"High Risk",AND(Raw_Data!S340&gt;=3,Raw_Data!G340&gt;200),"High Risk",Raw_Data!S340&gt;=2,"Medium Risk",TRUE,"Low Risk")</f>
        <v>Low Risk</v>
      </c>
      <c r="G340" s="1" t="str">
        <f>IF(OR(Raw_Data!D340="Yes",Raw_Data!E340="Yes"),"Has Plan","No Special Plan")</f>
        <v>No Special Plan</v>
      </c>
      <c r="H340" s="1" t="str">
        <f>IF(NOT(Raw_Data!S340&gt;=3),"Normal Service Contact","Frequent Service Contact")</f>
        <v>Normal Service Contact</v>
      </c>
      <c r="I340" s="1" t="str" cm="1">
        <f t="array" ref="I340">_xlfn.SWITCH(Raw_Data!D340,"Yes","International Customer","No","Domestic Plan","Unknown")</f>
        <v>Domestic Plan</v>
      </c>
      <c r="J340" s="1" t="str">
        <f>IF(ISERROR(Raw_Data!G340/0),"Error","Valid")</f>
        <v>Error</v>
      </c>
      <c r="K340" s="1" t="str">
        <f>IF(ISBLANK(Raw_Data!A340),"Missing","Available")</f>
        <v>Available</v>
      </c>
      <c r="L340" s="5" t="str">
        <f>IF(ISNUMBER(Raw_Data!G340),"Numeric","Not Numeric")</f>
        <v>Numeric</v>
      </c>
    </row>
    <row r="341" spans="1:12" x14ac:dyDescent="0.25">
      <c r="A341" s="4" t="str">
        <f>Raw_Data!A341</f>
        <v>WV</v>
      </c>
      <c r="B341" s="1" t="b">
        <f>Raw_Data!T341</f>
        <v>0</v>
      </c>
      <c r="C341" s="1" t="str">
        <f t="shared" si="5"/>
        <v>Retained</v>
      </c>
      <c r="D341" s="1" t="str">
        <f>IF(Raw_Data!S341=0,"Low Contact",IF(Raw_Data!S341&lt;=2,"Normal Contact","High Contact"))</f>
        <v>Normal Contact</v>
      </c>
      <c r="E341" s="1" t="str">
        <f>IF(AND(Raw_Data!G341&gt;200,Raw_Data!H341&gt;100),"High Usage","Normal Usage")</f>
        <v>Normal Usage</v>
      </c>
      <c r="F341" s="1" t="str" cm="1">
        <f t="array" ref="F341">_xlfn.IFS(B341=TRUE,"High Risk",AND(Raw_Data!S341&gt;=3,Raw_Data!G341&gt;200),"High Risk",Raw_Data!S341&gt;=2,"Medium Risk",TRUE,"Low Risk")</f>
        <v>Low Risk</v>
      </c>
      <c r="G341" s="1" t="str">
        <f>IF(OR(Raw_Data!D341="Yes",Raw_Data!E341="Yes"),"Has Plan","No Special Plan")</f>
        <v>No Special Plan</v>
      </c>
      <c r="H341" s="1" t="str">
        <f>IF(NOT(Raw_Data!S341&gt;=3),"Normal Service Contact","Frequent Service Contact")</f>
        <v>Normal Service Contact</v>
      </c>
      <c r="I341" s="1" t="str" cm="1">
        <f t="array" ref="I341">_xlfn.SWITCH(Raw_Data!D341,"Yes","International Customer","No","Domestic Plan","Unknown")</f>
        <v>Domestic Plan</v>
      </c>
      <c r="J341" s="1" t="str">
        <f>IF(ISERROR(Raw_Data!G341/0),"Error","Valid")</f>
        <v>Error</v>
      </c>
      <c r="K341" s="1" t="str">
        <f>IF(ISBLANK(Raw_Data!A341),"Missing","Available")</f>
        <v>Available</v>
      </c>
      <c r="L341" s="5" t="str">
        <f>IF(ISNUMBER(Raw_Data!G341),"Numeric","Not Numeric")</f>
        <v>Numeric</v>
      </c>
    </row>
    <row r="342" spans="1:12" x14ac:dyDescent="0.25">
      <c r="A342" s="4" t="str">
        <f>Raw_Data!A342</f>
        <v>CT</v>
      </c>
      <c r="B342" s="1" t="b">
        <f>Raw_Data!T342</f>
        <v>0</v>
      </c>
      <c r="C342" s="1" t="str">
        <f t="shared" si="5"/>
        <v>Retained</v>
      </c>
      <c r="D342" s="1" t="str">
        <f>IF(Raw_Data!S342=0,"Low Contact",IF(Raw_Data!S342&lt;=2,"Normal Contact","High Contact"))</f>
        <v>High Contact</v>
      </c>
      <c r="E342" s="1" t="str">
        <f>IF(AND(Raw_Data!G342&gt;200,Raw_Data!H342&gt;100),"High Usage","Normal Usage")</f>
        <v>High Usage</v>
      </c>
      <c r="F342" s="1" t="str" cm="1">
        <f t="array" ref="F342">_xlfn.IFS(B342=TRUE,"High Risk",AND(Raw_Data!S342&gt;=3,Raw_Data!G342&gt;200),"High Risk",Raw_Data!S342&gt;=2,"Medium Risk",TRUE,"Low Risk")</f>
        <v>High Risk</v>
      </c>
      <c r="G342" s="1" t="str">
        <f>IF(OR(Raw_Data!D342="Yes",Raw_Data!E342="Yes"),"Has Plan","No Special Plan")</f>
        <v>Has Plan</v>
      </c>
      <c r="H342" s="1" t="str">
        <f>IF(NOT(Raw_Data!S342&gt;=3),"Normal Service Contact","Frequent Service Contact")</f>
        <v>Frequent Service Contact</v>
      </c>
      <c r="I342" s="1" t="str" cm="1">
        <f t="array" ref="I342">_xlfn.SWITCH(Raw_Data!D342,"Yes","International Customer","No","Domestic Plan","Unknown")</f>
        <v>Domestic Plan</v>
      </c>
      <c r="J342" s="1" t="str">
        <f>IF(ISERROR(Raw_Data!G342/0),"Error","Valid")</f>
        <v>Error</v>
      </c>
      <c r="K342" s="1" t="str">
        <f>IF(ISBLANK(Raw_Data!A342),"Missing","Available")</f>
        <v>Available</v>
      </c>
      <c r="L342" s="5" t="str">
        <f>IF(ISNUMBER(Raw_Data!G342),"Numeric","Not Numeric")</f>
        <v>Numeric</v>
      </c>
    </row>
    <row r="343" spans="1:12" x14ac:dyDescent="0.25">
      <c r="A343" s="4" t="str">
        <f>Raw_Data!A343</f>
        <v>NH</v>
      </c>
      <c r="B343" s="1" t="b">
        <f>Raw_Data!T343</f>
        <v>0</v>
      </c>
      <c r="C343" s="1" t="str">
        <f t="shared" si="5"/>
        <v>Retained</v>
      </c>
      <c r="D343" s="1" t="str">
        <f>IF(Raw_Data!S343=0,"Low Contact",IF(Raw_Data!S343&lt;=2,"Normal Contact","High Contact"))</f>
        <v>Low Contact</v>
      </c>
      <c r="E343" s="1" t="str">
        <f>IF(AND(Raw_Data!G343&gt;200,Raw_Data!H343&gt;100),"High Usage","Normal Usage")</f>
        <v>Normal Usage</v>
      </c>
      <c r="F343" s="1" t="str" cm="1">
        <f t="array" ref="F343">_xlfn.IFS(B343=TRUE,"High Risk",AND(Raw_Data!S343&gt;=3,Raw_Data!G343&gt;200),"High Risk",Raw_Data!S343&gt;=2,"Medium Risk",TRUE,"Low Risk")</f>
        <v>Low Risk</v>
      </c>
      <c r="G343" s="1" t="str">
        <f>IF(OR(Raw_Data!D343="Yes",Raw_Data!E343="Yes"),"Has Plan","No Special Plan")</f>
        <v>No Special Plan</v>
      </c>
      <c r="H343" s="1" t="str">
        <f>IF(NOT(Raw_Data!S343&gt;=3),"Normal Service Contact","Frequent Service Contact")</f>
        <v>Normal Service Contact</v>
      </c>
      <c r="I343" s="1" t="str" cm="1">
        <f t="array" ref="I343">_xlfn.SWITCH(Raw_Data!D343,"Yes","International Customer","No","Domestic Plan","Unknown")</f>
        <v>Domestic Plan</v>
      </c>
      <c r="J343" s="1" t="str">
        <f>IF(ISERROR(Raw_Data!G343/0),"Error","Valid")</f>
        <v>Error</v>
      </c>
      <c r="K343" s="1" t="str">
        <f>IF(ISBLANK(Raw_Data!A343),"Missing","Available")</f>
        <v>Available</v>
      </c>
      <c r="L343" s="5" t="str">
        <f>IF(ISNUMBER(Raw_Data!G343),"Numeric","Not Numeric")</f>
        <v>Numeric</v>
      </c>
    </row>
    <row r="344" spans="1:12" x14ac:dyDescent="0.25">
      <c r="A344" s="4" t="str">
        <f>Raw_Data!A344</f>
        <v>MD</v>
      </c>
      <c r="B344" s="1" t="b">
        <f>Raw_Data!T344</f>
        <v>1</v>
      </c>
      <c r="C344" s="1" t="str">
        <f t="shared" si="5"/>
        <v>Churned</v>
      </c>
      <c r="D344" s="1" t="str">
        <f>IF(Raw_Data!S344=0,"Low Contact",IF(Raw_Data!S344&lt;=2,"Normal Contact","High Contact"))</f>
        <v>Normal Contact</v>
      </c>
      <c r="E344" s="1" t="str">
        <f>IF(AND(Raw_Data!G344&gt;200,Raw_Data!H344&gt;100),"High Usage","Normal Usage")</f>
        <v>Normal Usage</v>
      </c>
      <c r="F344" s="1" t="str" cm="1">
        <f t="array" ref="F344">_xlfn.IFS(B344=TRUE,"High Risk",AND(Raw_Data!S344&gt;=3,Raw_Data!G344&gt;200),"High Risk",Raw_Data!S344&gt;=2,"Medium Risk",TRUE,"Low Risk")</f>
        <v>High Risk</v>
      </c>
      <c r="G344" s="1" t="str">
        <f>IF(OR(Raw_Data!D344="Yes",Raw_Data!E344="Yes"),"Has Plan","No Special Plan")</f>
        <v>Has Plan</v>
      </c>
      <c r="H344" s="1" t="str">
        <f>IF(NOT(Raw_Data!S344&gt;=3),"Normal Service Contact","Frequent Service Contact")</f>
        <v>Normal Service Contact</v>
      </c>
      <c r="I344" s="1" t="str" cm="1">
        <f t="array" ref="I344">_xlfn.SWITCH(Raw_Data!D344,"Yes","International Customer","No","Domestic Plan","Unknown")</f>
        <v>International Customer</v>
      </c>
      <c r="J344" s="1" t="str">
        <f>IF(ISERROR(Raw_Data!G344/0),"Error","Valid")</f>
        <v>Error</v>
      </c>
      <c r="K344" s="1" t="str">
        <f>IF(ISBLANK(Raw_Data!A344),"Missing","Available")</f>
        <v>Available</v>
      </c>
      <c r="L344" s="5" t="str">
        <f>IF(ISNUMBER(Raw_Data!G344),"Numeric","Not Numeric")</f>
        <v>Numeric</v>
      </c>
    </row>
    <row r="345" spans="1:12" x14ac:dyDescent="0.25">
      <c r="A345" s="4" t="str">
        <f>Raw_Data!A345</f>
        <v>WV</v>
      </c>
      <c r="B345" s="1" t="b">
        <f>Raw_Data!T345</f>
        <v>0</v>
      </c>
      <c r="C345" s="1" t="str">
        <f t="shared" si="5"/>
        <v>Retained</v>
      </c>
      <c r="D345" s="1" t="str">
        <f>IF(Raw_Data!S345=0,"Low Contact",IF(Raw_Data!S345&lt;=2,"Normal Contact","High Contact"))</f>
        <v>Normal Contact</v>
      </c>
      <c r="E345" s="1" t="str">
        <f>IF(AND(Raw_Data!G345&gt;200,Raw_Data!H345&gt;100),"High Usage","Normal Usage")</f>
        <v>Normal Usage</v>
      </c>
      <c r="F345" s="1" t="str" cm="1">
        <f t="array" ref="F345">_xlfn.IFS(B345=TRUE,"High Risk",AND(Raw_Data!S345&gt;=3,Raw_Data!G345&gt;200),"High Risk",Raw_Data!S345&gt;=2,"Medium Risk",TRUE,"Low Risk")</f>
        <v>Low Risk</v>
      </c>
      <c r="G345" s="1" t="str">
        <f>IF(OR(Raw_Data!D345="Yes",Raw_Data!E345="Yes"),"Has Plan","No Special Plan")</f>
        <v>No Special Plan</v>
      </c>
      <c r="H345" s="1" t="str">
        <f>IF(NOT(Raw_Data!S345&gt;=3),"Normal Service Contact","Frequent Service Contact")</f>
        <v>Normal Service Contact</v>
      </c>
      <c r="I345" s="1" t="str" cm="1">
        <f t="array" ref="I345">_xlfn.SWITCH(Raw_Data!D345,"Yes","International Customer","No","Domestic Plan","Unknown")</f>
        <v>Domestic Plan</v>
      </c>
      <c r="J345" s="1" t="str">
        <f>IF(ISERROR(Raw_Data!G345/0),"Error","Valid")</f>
        <v>Error</v>
      </c>
      <c r="K345" s="1" t="str">
        <f>IF(ISBLANK(Raw_Data!A345),"Missing","Available")</f>
        <v>Available</v>
      </c>
      <c r="L345" s="5" t="str">
        <f>IF(ISNUMBER(Raw_Data!G345),"Numeric","Not Numeric")</f>
        <v>Numeric</v>
      </c>
    </row>
    <row r="346" spans="1:12" x14ac:dyDescent="0.25">
      <c r="A346" s="4" t="str">
        <f>Raw_Data!A346</f>
        <v>KY</v>
      </c>
      <c r="B346" s="1" t="b">
        <f>Raw_Data!T346</f>
        <v>0</v>
      </c>
      <c r="C346" s="1" t="str">
        <f t="shared" si="5"/>
        <v>Retained</v>
      </c>
      <c r="D346" s="1" t="str">
        <f>IF(Raw_Data!S346=0,"Low Contact",IF(Raw_Data!S346&lt;=2,"Normal Contact","High Contact"))</f>
        <v>Normal Contact</v>
      </c>
      <c r="E346" s="1" t="str">
        <f>IF(AND(Raw_Data!G346&gt;200,Raw_Data!H346&gt;100),"High Usage","Normal Usage")</f>
        <v>Normal Usage</v>
      </c>
      <c r="F346" s="1" t="str" cm="1">
        <f t="array" ref="F346">_xlfn.IFS(B346=TRUE,"High Risk",AND(Raw_Data!S346&gt;=3,Raw_Data!G346&gt;200),"High Risk",Raw_Data!S346&gt;=2,"Medium Risk",TRUE,"Low Risk")</f>
        <v>Medium Risk</v>
      </c>
      <c r="G346" s="1" t="str">
        <f>IF(OR(Raw_Data!D346="Yes",Raw_Data!E346="Yes"),"Has Plan","No Special Plan")</f>
        <v>No Special Plan</v>
      </c>
      <c r="H346" s="1" t="str">
        <f>IF(NOT(Raw_Data!S346&gt;=3),"Normal Service Contact","Frequent Service Contact")</f>
        <v>Normal Service Contact</v>
      </c>
      <c r="I346" s="1" t="str" cm="1">
        <f t="array" ref="I346">_xlfn.SWITCH(Raw_Data!D346,"Yes","International Customer","No","Domestic Plan","Unknown")</f>
        <v>Domestic Plan</v>
      </c>
      <c r="J346" s="1" t="str">
        <f>IF(ISERROR(Raw_Data!G346/0),"Error","Valid")</f>
        <v>Error</v>
      </c>
      <c r="K346" s="1" t="str">
        <f>IF(ISBLANK(Raw_Data!A346),"Missing","Available")</f>
        <v>Available</v>
      </c>
      <c r="L346" s="5" t="str">
        <f>IF(ISNUMBER(Raw_Data!G346),"Numeric","Not Numeric")</f>
        <v>Numeric</v>
      </c>
    </row>
    <row r="347" spans="1:12" x14ac:dyDescent="0.25">
      <c r="A347" s="4" t="str">
        <f>Raw_Data!A347</f>
        <v>WY</v>
      </c>
      <c r="B347" s="1" t="b">
        <f>Raw_Data!T347</f>
        <v>0</v>
      </c>
      <c r="C347" s="1" t="str">
        <f t="shared" si="5"/>
        <v>Retained</v>
      </c>
      <c r="D347" s="1" t="str">
        <f>IF(Raw_Data!S347=0,"Low Contact",IF(Raw_Data!S347&lt;=2,"Normal Contact","High Contact"))</f>
        <v>High Contact</v>
      </c>
      <c r="E347" s="1" t="str">
        <f>IF(AND(Raw_Data!G347&gt;200,Raw_Data!H347&gt;100),"High Usage","Normal Usage")</f>
        <v>Normal Usage</v>
      </c>
      <c r="F347" s="1" t="str" cm="1">
        <f t="array" ref="F347">_xlfn.IFS(B347=TRUE,"High Risk",AND(Raw_Data!S347&gt;=3,Raw_Data!G347&gt;200),"High Risk",Raw_Data!S347&gt;=2,"Medium Risk",TRUE,"Low Risk")</f>
        <v>Medium Risk</v>
      </c>
      <c r="G347" s="1" t="str">
        <f>IF(OR(Raw_Data!D347="Yes",Raw_Data!E347="Yes"),"Has Plan","No Special Plan")</f>
        <v>No Special Plan</v>
      </c>
      <c r="H347" s="1" t="str">
        <f>IF(NOT(Raw_Data!S347&gt;=3),"Normal Service Contact","Frequent Service Contact")</f>
        <v>Frequent Service Contact</v>
      </c>
      <c r="I347" s="1" t="str" cm="1">
        <f t="array" ref="I347">_xlfn.SWITCH(Raw_Data!D347,"Yes","International Customer","No","Domestic Plan","Unknown")</f>
        <v>Domestic Plan</v>
      </c>
      <c r="J347" s="1" t="str">
        <f>IF(ISERROR(Raw_Data!G347/0),"Error","Valid")</f>
        <v>Error</v>
      </c>
      <c r="K347" s="1" t="str">
        <f>IF(ISBLANK(Raw_Data!A347),"Missing","Available")</f>
        <v>Available</v>
      </c>
      <c r="L347" s="5" t="str">
        <f>IF(ISNUMBER(Raw_Data!G347),"Numeric","Not Numeric")</f>
        <v>Numeric</v>
      </c>
    </row>
    <row r="348" spans="1:12" x14ac:dyDescent="0.25">
      <c r="A348" s="4" t="str">
        <f>Raw_Data!A348</f>
        <v>GA</v>
      </c>
      <c r="B348" s="1" t="b">
        <f>Raw_Data!T348</f>
        <v>0</v>
      </c>
      <c r="C348" s="1" t="str">
        <f t="shared" si="5"/>
        <v>Retained</v>
      </c>
      <c r="D348" s="1" t="str">
        <f>IF(Raw_Data!S348=0,"Low Contact",IF(Raw_Data!S348&lt;=2,"Normal Contact","High Contact"))</f>
        <v>Normal Contact</v>
      </c>
      <c r="E348" s="1" t="str">
        <f>IF(AND(Raw_Data!G348&gt;200,Raw_Data!H348&gt;100),"High Usage","Normal Usage")</f>
        <v>Normal Usage</v>
      </c>
      <c r="F348" s="1" t="str" cm="1">
        <f t="array" ref="F348">_xlfn.IFS(B348=TRUE,"High Risk",AND(Raw_Data!S348&gt;=3,Raw_Data!G348&gt;200),"High Risk",Raw_Data!S348&gt;=2,"Medium Risk",TRUE,"Low Risk")</f>
        <v>Medium Risk</v>
      </c>
      <c r="G348" s="1" t="str">
        <f>IF(OR(Raw_Data!D348="Yes",Raw_Data!E348="Yes"),"Has Plan","No Special Plan")</f>
        <v>No Special Plan</v>
      </c>
      <c r="H348" s="1" t="str">
        <f>IF(NOT(Raw_Data!S348&gt;=3),"Normal Service Contact","Frequent Service Contact")</f>
        <v>Normal Service Contact</v>
      </c>
      <c r="I348" s="1" t="str" cm="1">
        <f t="array" ref="I348">_xlfn.SWITCH(Raw_Data!D348,"Yes","International Customer","No","Domestic Plan","Unknown")</f>
        <v>Domestic Plan</v>
      </c>
      <c r="J348" s="1" t="str">
        <f>IF(ISERROR(Raw_Data!G348/0),"Error","Valid")</f>
        <v>Error</v>
      </c>
      <c r="K348" s="1" t="str">
        <f>IF(ISBLANK(Raw_Data!A348),"Missing","Available")</f>
        <v>Available</v>
      </c>
      <c r="L348" s="5" t="str">
        <f>IF(ISNUMBER(Raw_Data!G348),"Numeric","Not Numeric")</f>
        <v>Numeric</v>
      </c>
    </row>
    <row r="349" spans="1:12" x14ac:dyDescent="0.25">
      <c r="A349" s="4" t="str">
        <f>Raw_Data!A349</f>
        <v>AK</v>
      </c>
      <c r="B349" s="1" t="b">
        <f>Raw_Data!T349</f>
        <v>0</v>
      </c>
      <c r="C349" s="1" t="str">
        <f t="shared" si="5"/>
        <v>Retained</v>
      </c>
      <c r="D349" s="1" t="str">
        <f>IF(Raw_Data!S349=0,"Low Contact",IF(Raw_Data!S349&lt;=2,"Normal Contact","High Contact"))</f>
        <v>Normal Contact</v>
      </c>
      <c r="E349" s="1" t="str">
        <f>IF(AND(Raw_Data!G349&gt;200,Raw_Data!H349&gt;100),"High Usage","Normal Usage")</f>
        <v>Normal Usage</v>
      </c>
      <c r="F349" s="1" t="str" cm="1">
        <f t="array" ref="F349">_xlfn.IFS(B349=TRUE,"High Risk",AND(Raw_Data!S349&gt;=3,Raw_Data!G349&gt;200),"High Risk",Raw_Data!S349&gt;=2,"Medium Risk",TRUE,"Low Risk")</f>
        <v>Low Risk</v>
      </c>
      <c r="G349" s="1" t="str">
        <f>IF(OR(Raw_Data!D349="Yes",Raw_Data!E349="Yes"),"Has Plan","No Special Plan")</f>
        <v>Has Plan</v>
      </c>
      <c r="H349" s="1" t="str">
        <f>IF(NOT(Raw_Data!S349&gt;=3),"Normal Service Contact","Frequent Service Contact")</f>
        <v>Normal Service Contact</v>
      </c>
      <c r="I349" s="1" t="str" cm="1">
        <f t="array" ref="I349">_xlfn.SWITCH(Raw_Data!D349,"Yes","International Customer","No","Domestic Plan","Unknown")</f>
        <v>Domestic Plan</v>
      </c>
      <c r="J349" s="1" t="str">
        <f>IF(ISERROR(Raw_Data!G349/0),"Error","Valid")</f>
        <v>Error</v>
      </c>
      <c r="K349" s="1" t="str">
        <f>IF(ISBLANK(Raw_Data!A349),"Missing","Available")</f>
        <v>Available</v>
      </c>
      <c r="L349" s="5" t="str">
        <f>IF(ISNUMBER(Raw_Data!G349),"Numeric","Not Numeric")</f>
        <v>Numeric</v>
      </c>
    </row>
    <row r="350" spans="1:12" x14ac:dyDescent="0.25">
      <c r="A350" s="4" t="str">
        <f>Raw_Data!A350</f>
        <v>CT</v>
      </c>
      <c r="B350" s="1" t="b">
        <f>Raw_Data!T350</f>
        <v>0</v>
      </c>
      <c r="C350" s="1" t="str">
        <f t="shared" si="5"/>
        <v>Retained</v>
      </c>
      <c r="D350" s="1" t="str">
        <f>IF(Raw_Data!S350=0,"Low Contact",IF(Raw_Data!S350&lt;=2,"Normal Contact","High Contact"))</f>
        <v>Normal Contact</v>
      </c>
      <c r="E350" s="1" t="str">
        <f>IF(AND(Raw_Data!G350&gt;200,Raw_Data!H350&gt;100),"High Usage","Normal Usage")</f>
        <v>Normal Usage</v>
      </c>
      <c r="F350" s="1" t="str" cm="1">
        <f t="array" ref="F350">_xlfn.IFS(B350=TRUE,"High Risk",AND(Raw_Data!S350&gt;=3,Raw_Data!G350&gt;200),"High Risk",Raw_Data!S350&gt;=2,"Medium Risk",TRUE,"Low Risk")</f>
        <v>Medium Risk</v>
      </c>
      <c r="G350" s="1" t="str">
        <f>IF(OR(Raw_Data!D350="Yes",Raw_Data!E350="Yes"),"Has Plan","No Special Plan")</f>
        <v>Has Plan</v>
      </c>
      <c r="H350" s="1" t="str">
        <f>IF(NOT(Raw_Data!S350&gt;=3),"Normal Service Contact","Frequent Service Contact")</f>
        <v>Normal Service Contact</v>
      </c>
      <c r="I350" s="1" t="str" cm="1">
        <f t="array" ref="I350">_xlfn.SWITCH(Raw_Data!D350,"Yes","International Customer","No","Domestic Plan","Unknown")</f>
        <v>Domestic Plan</v>
      </c>
      <c r="J350" s="1" t="str">
        <f>IF(ISERROR(Raw_Data!G350/0),"Error","Valid")</f>
        <v>Error</v>
      </c>
      <c r="K350" s="1" t="str">
        <f>IF(ISBLANK(Raw_Data!A350),"Missing","Available")</f>
        <v>Available</v>
      </c>
      <c r="L350" s="5" t="str">
        <f>IF(ISNUMBER(Raw_Data!G350),"Numeric","Not Numeric")</f>
        <v>Numeric</v>
      </c>
    </row>
    <row r="351" spans="1:12" x14ac:dyDescent="0.25">
      <c r="A351" s="4" t="str">
        <f>Raw_Data!A351</f>
        <v>OR</v>
      </c>
      <c r="B351" s="1" t="b">
        <f>Raw_Data!T351</f>
        <v>1</v>
      </c>
      <c r="C351" s="1" t="str">
        <f t="shared" si="5"/>
        <v>Churned</v>
      </c>
      <c r="D351" s="1" t="str">
        <f>IF(Raw_Data!S351=0,"Low Contact",IF(Raw_Data!S351&lt;=2,"Normal Contact","High Contact"))</f>
        <v>Normal Contact</v>
      </c>
      <c r="E351" s="1" t="str">
        <f>IF(AND(Raw_Data!G351&gt;200,Raw_Data!H351&gt;100),"High Usage","Normal Usage")</f>
        <v>High Usage</v>
      </c>
      <c r="F351" s="1" t="str" cm="1">
        <f t="array" ref="F351">_xlfn.IFS(B351=TRUE,"High Risk",AND(Raw_Data!S351&gt;=3,Raw_Data!G351&gt;200),"High Risk",Raw_Data!S351&gt;=2,"Medium Risk",TRUE,"Low Risk")</f>
        <v>High Risk</v>
      </c>
      <c r="G351" s="1" t="str">
        <f>IF(OR(Raw_Data!D351="Yes",Raw_Data!E351="Yes"),"Has Plan","No Special Plan")</f>
        <v>No Special Plan</v>
      </c>
      <c r="H351" s="1" t="str">
        <f>IF(NOT(Raw_Data!S351&gt;=3),"Normal Service Contact","Frequent Service Contact")</f>
        <v>Normal Service Contact</v>
      </c>
      <c r="I351" s="1" t="str" cm="1">
        <f t="array" ref="I351">_xlfn.SWITCH(Raw_Data!D351,"Yes","International Customer","No","Domestic Plan","Unknown")</f>
        <v>Domestic Plan</v>
      </c>
      <c r="J351" s="1" t="str">
        <f>IF(ISERROR(Raw_Data!G351/0),"Error","Valid")</f>
        <v>Error</v>
      </c>
      <c r="K351" s="1" t="str">
        <f>IF(ISBLANK(Raw_Data!A351),"Missing","Available")</f>
        <v>Available</v>
      </c>
      <c r="L351" s="5" t="str">
        <f>IF(ISNUMBER(Raw_Data!G351),"Numeric","Not Numeric")</f>
        <v>Numeric</v>
      </c>
    </row>
    <row r="352" spans="1:12" x14ac:dyDescent="0.25">
      <c r="A352" s="4" t="str">
        <f>Raw_Data!A352</f>
        <v>OK</v>
      </c>
      <c r="B352" s="1" t="b">
        <f>Raw_Data!T352</f>
        <v>0</v>
      </c>
      <c r="C352" s="1" t="str">
        <f t="shared" si="5"/>
        <v>Retained</v>
      </c>
      <c r="D352" s="1" t="str">
        <f>IF(Raw_Data!S352=0,"Low Contact",IF(Raw_Data!S352&lt;=2,"Normal Contact","High Contact"))</f>
        <v>Normal Contact</v>
      </c>
      <c r="E352" s="1" t="str">
        <f>IF(AND(Raw_Data!G352&gt;200,Raw_Data!H352&gt;100),"High Usage","Normal Usage")</f>
        <v>Normal Usage</v>
      </c>
      <c r="F352" s="1" t="str" cm="1">
        <f t="array" ref="F352">_xlfn.IFS(B352=TRUE,"High Risk",AND(Raw_Data!S352&gt;=3,Raw_Data!G352&gt;200),"High Risk",Raw_Data!S352&gt;=2,"Medium Risk",TRUE,"Low Risk")</f>
        <v>Low Risk</v>
      </c>
      <c r="G352" s="1" t="str">
        <f>IF(OR(Raw_Data!D352="Yes",Raw_Data!E352="Yes"),"Has Plan","No Special Plan")</f>
        <v>Has Plan</v>
      </c>
      <c r="H352" s="1" t="str">
        <f>IF(NOT(Raw_Data!S352&gt;=3),"Normal Service Contact","Frequent Service Contact")</f>
        <v>Normal Service Contact</v>
      </c>
      <c r="I352" s="1" t="str" cm="1">
        <f t="array" ref="I352">_xlfn.SWITCH(Raw_Data!D352,"Yes","International Customer","No","Domestic Plan","Unknown")</f>
        <v>Domestic Plan</v>
      </c>
      <c r="J352" s="1" t="str">
        <f>IF(ISERROR(Raw_Data!G352/0),"Error","Valid")</f>
        <v>Error</v>
      </c>
      <c r="K352" s="1" t="str">
        <f>IF(ISBLANK(Raw_Data!A352),"Missing","Available")</f>
        <v>Available</v>
      </c>
      <c r="L352" s="5" t="str">
        <f>IF(ISNUMBER(Raw_Data!G352),"Numeric","Not Numeric")</f>
        <v>Numeric</v>
      </c>
    </row>
    <row r="353" spans="1:12" x14ac:dyDescent="0.25">
      <c r="A353" s="4" t="str">
        <f>Raw_Data!A353</f>
        <v>MA</v>
      </c>
      <c r="B353" s="1" t="b">
        <f>Raw_Data!T353</f>
        <v>1</v>
      </c>
      <c r="C353" s="1" t="str">
        <f t="shared" si="5"/>
        <v>Churned</v>
      </c>
      <c r="D353" s="1" t="str">
        <f>IF(Raw_Data!S353=0,"Low Contact",IF(Raw_Data!S353&lt;=2,"Normal Contact","High Contact"))</f>
        <v>Normal Contact</v>
      </c>
      <c r="E353" s="1" t="str">
        <f>IF(AND(Raw_Data!G353&gt;200,Raw_Data!H353&gt;100),"High Usage","Normal Usage")</f>
        <v>Normal Usage</v>
      </c>
      <c r="F353" s="1" t="str" cm="1">
        <f t="array" ref="F353">_xlfn.IFS(B353=TRUE,"High Risk",AND(Raw_Data!S353&gt;=3,Raw_Data!G353&gt;200),"High Risk",Raw_Data!S353&gt;=2,"Medium Risk",TRUE,"Low Risk")</f>
        <v>High Risk</v>
      </c>
      <c r="G353" s="1" t="str">
        <f>IF(OR(Raw_Data!D353="Yes",Raw_Data!E353="Yes"),"Has Plan","No Special Plan")</f>
        <v>No Special Plan</v>
      </c>
      <c r="H353" s="1" t="str">
        <f>IF(NOT(Raw_Data!S353&gt;=3),"Normal Service Contact","Frequent Service Contact")</f>
        <v>Normal Service Contact</v>
      </c>
      <c r="I353" s="1" t="str" cm="1">
        <f t="array" ref="I353">_xlfn.SWITCH(Raw_Data!D353,"Yes","International Customer","No","Domestic Plan","Unknown")</f>
        <v>Domestic Plan</v>
      </c>
      <c r="J353" s="1" t="str">
        <f>IF(ISERROR(Raw_Data!G353/0),"Error","Valid")</f>
        <v>Error</v>
      </c>
      <c r="K353" s="1" t="str">
        <f>IF(ISBLANK(Raw_Data!A353),"Missing","Available")</f>
        <v>Available</v>
      </c>
      <c r="L353" s="5" t="str">
        <f>IF(ISNUMBER(Raw_Data!G353),"Numeric","Not Numeric")</f>
        <v>Numeric</v>
      </c>
    </row>
    <row r="354" spans="1:12" x14ac:dyDescent="0.25">
      <c r="A354" s="4" t="str">
        <f>Raw_Data!A354</f>
        <v>DE</v>
      </c>
      <c r="B354" s="1" t="b">
        <f>Raw_Data!T354</f>
        <v>0</v>
      </c>
      <c r="C354" s="1" t="str">
        <f t="shared" si="5"/>
        <v>Retained</v>
      </c>
      <c r="D354" s="1" t="str">
        <f>IF(Raw_Data!S354=0,"Low Contact",IF(Raw_Data!S354&lt;=2,"Normal Contact","High Contact"))</f>
        <v>Normal Contact</v>
      </c>
      <c r="E354" s="1" t="str">
        <f>IF(AND(Raw_Data!G354&gt;200,Raw_Data!H354&gt;100),"High Usage","Normal Usage")</f>
        <v>Normal Usage</v>
      </c>
      <c r="F354" s="1" t="str" cm="1">
        <f t="array" ref="F354">_xlfn.IFS(B354=TRUE,"High Risk",AND(Raw_Data!S354&gt;=3,Raw_Data!G354&gt;200),"High Risk",Raw_Data!S354&gt;=2,"Medium Risk",TRUE,"Low Risk")</f>
        <v>Medium Risk</v>
      </c>
      <c r="G354" s="1" t="str">
        <f>IF(OR(Raw_Data!D354="Yes",Raw_Data!E354="Yes"),"Has Plan","No Special Plan")</f>
        <v>Has Plan</v>
      </c>
      <c r="H354" s="1" t="str">
        <f>IF(NOT(Raw_Data!S354&gt;=3),"Normal Service Contact","Frequent Service Contact")</f>
        <v>Normal Service Contact</v>
      </c>
      <c r="I354" s="1" t="str" cm="1">
        <f t="array" ref="I354">_xlfn.SWITCH(Raw_Data!D354,"Yes","International Customer","No","Domestic Plan","Unknown")</f>
        <v>Domestic Plan</v>
      </c>
      <c r="J354" s="1" t="str">
        <f>IF(ISERROR(Raw_Data!G354/0),"Error","Valid")</f>
        <v>Error</v>
      </c>
      <c r="K354" s="1" t="str">
        <f>IF(ISBLANK(Raw_Data!A354),"Missing","Available")</f>
        <v>Available</v>
      </c>
      <c r="L354" s="5" t="str">
        <f>IF(ISNUMBER(Raw_Data!G354),"Numeric","Not Numeric")</f>
        <v>Numeric</v>
      </c>
    </row>
    <row r="355" spans="1:12" x14ac:dyDescent="0.25">
      <c r="A355" s="4" t="str">
        <f>Raw_Data!A355</f>
        <v>OH</v>
      </c>
      <c r="B355" s="1" t="b">
        <f>Raw_Data!T355</f>
        <v>0</v>
      </c>
      <c r="C355" s="1" t="str">
        <f t="shared" si="5"/>
        <v>Retained</v>
      </c>
      <c r="D355" s="1" t="str">
        <f>IF(Raw_Data!S355=0,"Low Contact",IF(Raw_Data!S355&lt;=2,"Normal Contact","High Contact"))</f>
        <v>Normal Contact</v>
      </c>
      <c r="E355" s="1" t="str">
        <f>IF(AND(Raw_Data!G355&gt;200,Raw_Data!H355&gt;100),"High Usage","Normal Usage")</f>
        <v>Normal Usage</v>
      </c>
      <c r="F355" s="1" t="str" cm="1">
        <f t="array" ref="F355">_xlfn.IFS(B355=TRUE,"High Risk",AND(Raw_Data!S355&gt;=3,Raw_Data!G355&gt;200),"High Risk",Raw_Data!S355&gt;=2,"Medium Risk",TRUE,"Low Risk")</f>
        <v>Medium Risk</v>
      </c>
      <c r="G355" s="1" t="str">
        <f>IF(OR(Raw_Data!D355="Yes",Raw_Data!E355="Yes"),"Has Plan","No Special Plan")</f>
        <v>No Special Plan</v>
      </c>
      <c r="H355" s="1" t="str">
        <f>IF(NOT(Raw_Data!S355&gt;=3),"Normal Service Contact","Frequent Service Contact")</f>
        <v>Normal Service Contact</v>
      </c>
      <c r="I355" s="1" t="str" cm="1">
        <f t="array" ref="I355">_xlfn.SWITCH(Raw_Data!D355,"Yes","International Customer","No","Domestic Plan","Unknown")</f>
        <v>Domestic Plan</v>
      </c>
      <c r="J355" s="1" t="str">
        <f>IF(ISERROR(Raw_Data!G355/0),"Error","Valid")</f>
        <v>Error</v>
      </c>
      <c r="K355" s="1" t="str">
        <f>IF(ISBLANK(Raw_Data!A355),"Missing","Available")</f>
        <v>Available</v>
      </c>
      <c r="L355" s="5" t="str">
        <f>IF(ISNUMBER(Raw_Data!G355),"Numeric","Not Numeric")</f>
        <v>Numeric</v>
      </c>
    </row>
    <row r="356" spans="1:12" x14ac:dyDescent="0.25">
      <c r="A356" s="4" t="str">
        <f>Raw_Data!A356</f>
        <v>ID</v>
      </c>
      <c r="B356" s="1" t="b">
        <f>Raw_Data!T356</f>
        <v>0</v>
      </c>
      <c r="C356" s="1" t="str">
        <f t="shared" si="5"/>
        <v>Retained</v>
      </c>
      <c r="D356" s="1" t="str">
        <f>IF(Raw_Data!S356=0,"Low Contact",IF(Raw_Data!S356&lt;=2,"Normal Contact","High Contact"))</f>
        <v>Low Contact</v>
      </c>
      <c r="E356" s="1" t="str">
        <f>IF(AND(Raw_Data!G356&gt;200,Raw_Data!H356&gt;100),"High Usage","Normal Usage")</f>
        <v>High Usage</v>
      </c>
      <c r="F356" s="1" t="str" cm="1">
        <f t="array" ref="F356">_xlfn.IFS(B356=TRUE,"High Risk",AND(Raw_Data!S356&gt;=3,Raw_Data!G356&gt;200),"High Risk",Raw_Data!S356&gt;=2,"Medium Risk",TRUE,"Low Risk")</f>
        <v>Low Risk</v>
      </c>
      <c r="G356" s="1" t="str">
        <f>IF(OR(Raw_Data!D356="Yes",Raw_Data!E356="Yes"),"Has Plan","No Special Plan")</f>
        <v>Has Plan</v>
      </c>
      <c r="H356" s="1" t="str">
        <f>IF(NOT(Raw_Data!S356&gt;=3),"Normal Service Contact","Frequent Service Contact")</f>
        <v>Normal Service Contact</v>
      </c>
      <c r="I356" s="1" t="str" cm="1">
        <f t="array" ref="I356">_xlfn.SWITCH(Raw_Data!D356,"Yes","International Customer","No","Domestic Plan","Unknown")</f>
        <v>International Customer</v>
      </c>
      <c r="J356" s="1" t="str">
        <f>IF(ISERROR(Raw_Data!G356/0),"Error","Valid")</f>
        <v>Error</v>
      </c>
      <c r="K356" s="1" t="str">
        <f>IF(ISBLANK(Raw_Data!A356),"Missing","Available")</f>
        <v>Available</v>
      </c>
      <c r="L356" s="5" t="str">
        <f>IF(ISNUMBER(Raw_Data!G356),"Numeric","Not Numeric")</f>
        <v>Numeric</v>
      </c>
    </row>
    <row r="357" spans="1:12" x14ac:dyDescent="0.25">
      <c r="A357" s="4" t="str">
        <f>Raw_Data!A357</f>
        <v>MO</v>
      </c>
      <c r="B357" s="1" t="b">
        <f>Raw_Data!T357</f>
        <v>1</v>
      </c>
      <c r="C357" s="1" t="str">
        <f t="shared" si="5"/>
        <v>Churned</v>
      </c>
      <c r="D357" s="1" t="str">
        <f>IF(Raw_Data!S357=0,"Low Contact",IF(Raw_Data!S357&lt;=2,"Normal Contact","High Contact"))</f>
        <v>High Contact</v>
      </c>
      <c r="E357" s="1" t="str">
        <f>IF(AND(Raw_Data!G357&gt;200,Raw_Data!H357&gt;100),"High Usage","Normal Usage")</f>
        <v>Normal Usage</v>
      </c>
      <c r="F357" s="1" t="str" cm="1">
        <f t="array" ref="F357">_xlfn.IFS(B357=TRUE,"High Risk",AND(Raw_Data!S357&gt;=3,Raw_Data!G357&gt;200),"High Risk",Raw_Data!S357&gt;=2,"Medium Risk",TRUE,"Low Risk")</f>
        <v>High Risk</v>
      </c>
      <c r="G357" s="1" t="str">
        <f>IF(OR(Raw_Data!D357="Yes",Raw_Data!E357="Yes"),"Has Plan","No Special Plan")</f>
        <v>No Special Plan</v>
      </c>
      <c r="H357" s="1" t="str">
        <f>IF(NOT(Raw_Data!S357&gt;=3),"Normal Service Contact","Frequent Service Contact")</f>
        <v>Frequent Service Contact</v>
      </c>
      <c r="I357" s="1" t="str" cm="1">
        <f t="array" ref="I357">_xlfn.SWITCH(Raw_Data!D357,"Yes","International Customer","No","Domestic Plan","Unknown")</f>
        <v>Domestic Plan</v>
      </c>
      <c r="J357" s="1" t="str">
        <f>IF(ISERROR(Raw_Data!G357/0),"Error","Valid")</f>
        <v>Error</v>
      </c>
      <c r="K357" s="1" t="str">
        <f>IF(ISBLANK(Raw_Data!A357),"Missing","Available")</f>
        <v>Available</v>
      </c>
      <c r="L357" s="5" t="str">
        <f>IF(ISNUMBER(Raw_Data!G357),"Numeric","Not Numeric")</f>
        <v>Numeric</v>
      </c>
    </row>
    <row r="358" spans="1:12" x14ac:dyDescent="0.25">
      <c r="A358" s="4" t="str">
        <f>Raw_Data!A358</f>
        <v>NC</v>
      </c>
      <c r="B358" s="1" t="b">
        <f>Raw_Data!T358</f>
        <v>0</v>
      </c>
      <c r="C358" s="1" t="str">
        <f t="shared" si="5"/>
        <v>Retained</v>
      </c>
      <c r="D358" s="1" t="str">
        <f>IF(Raw_Data!S358=0,"Low Contact",IF(Raw_Data!S358&lt;=2,"Normal Contact","High Contact"))</f>
        <v>Low Contact</v>
      </c>
      <c r="E358" s="1" t="str">
        <f>IF(AND(Raw_Data!G358&gt;200,Raw_Data!H358&gt;100),"High Usage","Normal Usage")</f>
        <v>Normal Usage</v>
      </c>
      <c r="F358" s="1" t="str" cm="1">
        <f t="array" ref="F358">_xlfn.IFS(B358=TRUE,"High Risk",AND(Raw_Data!S358&gt;=3,Raw_Data!G358&gt;200),"High Risk",Raw_Data!S358&gt;=2,"Medium Risk",TRUE,"Low Risk")</f>
        <v>Low Risk</v>
      </c>
      <c r="G358" s="1" t="str">
        <f>IF(OR(Raw_Data!D358="Yes",Raw_Data!E358="Yes"),"Has Plan","No Special Plan")</f>
        <v>Has Plan</v>
      </c>
      <c r="H358" s="1" t="str">
        <f>IF(NOT(Raw_Data!S358&gt;=3),"Normal Service Contact","Frequent Service Contact")</f>
        <v>Normal Service Contact</v>
      </c>
      <c r="I358" s="1" t="str" cm="1">
        <f t="array" ref="I358">_xlfn.SWITCH(Raw_Data!D358,"Yes","International Customer","No","Domestic Plan","Unknown")</f>
        <v>Domestic Plan</v>
      </c>
      <c r="J358" s="1" t="str">
        <f>IF(ISERROR(Raw_Data!G358/0),"Error","Valid")</f>
        <v>Error</v>
      </c>
      <c r="K358" s="1" t="str">
        <f>IF(ISBLANK(Raw_Data!A358),"Missing","Available")</f>
        <v>Available</v>
      </c>
      <c r="L358" s="5" t="str">
        <f>IF(ISNUMBER(Raw_Data!G358),"Numeric","Not Numeric")</f>
        <v>Numeric</v>
      </c>
    </row>
    <row r="359" spans="1:12" x14ac:dyDescent="0.25">
      <c r="A359" s="4" t="str">
        <f>Raw_Data!A359</f>
        <v>HI</v>
      </c>
      <c r="B359" s="1" t="b">
        <f>Raw_Data!T359</f>
        <v>0</v>
      </c>
      <c r="C359" s="1" t="str">
        <f t="shared" si="5"/>
        <v>Retained</v>
      </c>
      <c r="D359" s="1" t="str">
        <f>IF(Raw_Data!S359=0,"Low Contact",IF(Raw_Data!S359&lt;=2,"Normal Contact","High Contact"))</f>
        <v>Normal Contact</v>
      </c>
      <c r="E359" s="1" t="str">
        <f>IF(AND(Raw_Data!G359&gt;200,Raw_Data!H359&gt;100),"High Usage","Normal Usage")</f>
        <v>Normal Usage</v>
      </c>
      <c r="F359" s="1" t="str" cm="1">
        <f t="array" ref="F359">_xlfn.IFS(B359=TRUE,"High Risk",AND(Raw_Data!S359&gt;=3,Raw_Data!G359&gt;200),"High Risk",Raw_Data!S359&gt;=2,"Medium Risk",TRUE,"Low Risk")</f>
        <v>Low Risk</v>
      </c>
      <c r="G359" s="1" t="str">
        <f>IF(OR(Raw_Data!D359="Yes",Raw_Data!E359="Yes"),"Has Plan","No Special Plan")</f>
        <v>No Special Plan</v>
      </c>
      <c r="H359" s="1" t="str">
        <f>IF(NOT(Raw_Data!S359&gt;=3),"Normal Service Contact","Frequent Service Contact")</f>
        <v>Normal Service Contact</v>
      </c>
      <c r="I359" s="1" t="str" cm="1">
        <f t="array" ref="I359">_xlfn.SWITCH(Raw_Data!D359,"Yes","International Customer","No","Domestic Plan","Unknown")</f>
        <v>Domestic Plan</v>
      </c>
      <c r="J359" s="1" t="str">
        <f>IF(ISERROR(Raw_Data!G359/0),"Error","Valid")</f>
        <v>Error</v>
      </c>
      <c r="K359" s="1" t="str">
        <f>IF(ISBLANK(Raw_Data!A359),"Missing","Available")</f>
        <v>Available</v>
      </c>
      <c r="L359" s="5" t="str">
        <f>IF(ISNUMBER(Raw_Data!G359),"Numeric","Not Numeric")</f>
        <v>Numeric</v>
      </c>
    </row>
    <row r="360" spans="1:12" x14ac:dyDescent="0.25">
      <c r="A360" s="4" t="str">
        <f>Raw_Data!A360</f>
        <v>NJ</v>
      </c>
      <c r="B360" s="1" t="b">
        <f>Raw_Data!T360</f>
        <v>0</v>
      </c>
      <c r="C360" s="1" t="str">
        <f t="shared" si="5"/>
        <v>Retained</v>
      </c>
      <c r="D360" s="1" t="str">
        <f>IF(Raw_Data!S360=0,"Low Contact",IF(Raw_Data!S360&lt;=2,"Normal Contact","High Contact"))</f>
        <v>Normal Contact</v>
      </c>
      <c r="E360" s="1" t="str">
        <f>IF(AND(Raw_Data!G360&gt;200,Raw_Data!H360&gt;100),"High Usage","Normal Usage")</f>
        <v>Normal Usage</v>
      </c>
      <c r="F360" s="1" t="str" cm="1">
        <f t="array" ref="F360">_xlfn.IFS(B360=TRUE,"High Risk",AND(Raw_Data!S360&gt;=3,Raw_Data!G360&gt;200),"High Risk",Raw_Data!S360&gt;=2,"Medium Risk",TRUE,"Low Risk")</f>
        <v>Low Risk</v>
      </c>
      <c r="G360" s="1" t="str">
        <f>IF(OR(Raw_Data!D360="Yes",Raw_Data!E360="Yes"),"Has Plan","No Special Plan")</f>
        <v>No Special Plan</v>
      </c>
      <c r="H360" s="1" t="str">
        <f>IF(NOT(Raw_Data!S360&gt;=3),"Normal Service Contact","Frequent Service Contact")</f>
        <v>Normal Service Contact</v>
      </c>
      <c r="I360" s="1" t="str" cm="1">
        <f t="array" ref="I360">_xlfn.SWITCH(Raw_Data!D360,"Yes","International Customer","No","Domestic Plan","Unknown")</f>
        <v>Domestic Plan</v>
      </c>
      <c r="J360" s="1" t="str">
        <f>IF(ISERROR(Raw_Data!G360/0),"Error","Valid")</f>
        <v>Error</v>
      </c>
      <c r="K360" s="1" t="str">
        <f>IF(ISBLANK(Raw_Data!A360),"Missing","Available")</f>
        <v>Available</v>
      </c>
      <c r="L360" s="5" t="str">
        <f>IF(ISNUMBER(Raw_Data!G360),"Numeric","Not Numeric")</f>
        <v>Numeric</v>
      </c>
    </row>
    <row r="361" spans="1:12" x14ac:dyDescent="0.25">
      <c r="A361" s="4" t="str">
        <f>Raw_Data!A361</f>
        <v>MS</v>
      </c>
      <c r="B361" s="1" t="b">
        <f>Raw_Data!T361</f>
        <v>0</v>
      </c>
      <c r="C361" s="1" t="str">
        <f t="shared" si="5"/>
        <v>Retained</v>
      </c>
      <c r="D361" s="1" t="str">
        <f>IF(Raw_Data!S361=0,"Low Contact",IF(Raw_Data!S361&lt;=2,"Normal Contact","High Contact"))</f>
        <v>Normal Contact</v>
      </c>
      <c r="E361" s="1" t="str">
        <f>IF(AND(Raw_Data!G361&gt;200,Raw_Data!H361&gt;100),"High Usage","Normal Usage")</f>
        <v>Normal Usage</v>
      </c>
      <c r="F361" s="1" t="str" cm="1">
        <f t="array" ref="F361">_xlfn.IFS(B361=TRUE,"High Risk",AND(Raw_Data!S361&gt;=3,Raw_Data!G361&gt;200),"High Risk",Raw_Data!S361&gt;=2,"Medium Risk",TRUE,"Low Risk")</f>
        <v>Low Risk</v>
      </c>
      <c r="G361" s="1" t="str">
        <f>IF(OR(Raw_Data!D361="Yes",Raw_Data!E361="Yes"),"Has Plan","No Special Plan")</f>
        <v>No Special Plan</v>
      </c>
      <c r="H361" s="1" t="str">
        <f>IF(NOT(Raw_Data!S361&gt;=3),"Normal Service Contact","Frequent Service Contact")</f>
        <v>Normal Service Contact</v>
      </c>
      <c r="I361" s="1" t="str" cm="1">
        <f t="array" ref="I361">_xlfn.SWITCH(Raw_Data!D361,"Yes","International Customer","No","Domestic Plan","Unknown")</f>
        <v>Domestic Plan</v>
      </c>
      <c r="J361" s="1" t="str">
        <f>IF(ISERROR(Raw_Data!G361/0),"Error","Valid")</f>
        <v>Error</v>
      </c>
      <c r="K361" s="1" t="str">
        <f>IF(ISBLANK(Raw_Data!A361),"Missing","Available")</f>
        <v>Available</v>
      </c>
      <c r="L361" s="5" t="str">
        <f>IF(ISNUMBER(Raw_Data!G361),"Numeric","Not Numeric")</f>
        <v>Numeric</v>
      </c>
    </row>
    <row r="362" spans="1:12" x14ac:dyDescent="0.25">
      <c r="A362" s="4" t="str">
        <f>Raw_Data!A362</f>
        <v>MN</v>
      </c>
      <c r="B362" s="1" t="b">
        <f>Raw_Data!T362</f>
        <v>0</v>
      </c>
      <c r="C362" s="1" t="str">
        <f t="shared" si="5"/>
        <v>Retained</v>
      </c>
      <c r="D362" s="1" t="str">
        <f>IF(Raw_Data!S362=0,"Low Contact",IF(Raw_Data!S362&lt;=2,"Normal Contact","High Contact"))</f>
        <v>Normal Contact</v>
      </c>
      <c r="E362" s="1" t="str">
        <f>IF(AND(Raw_Data!G362&gt;200,Raw_Data!H362&gt;100),"High Usage","Normal Usage")</f>
        <v>Normal Usage</v>
      </c>
      <c r="F362" s="1" t="str" cm="1">
        <f t="array" ref="F362">_xlfn.IFS(B362=TRUE,"High Risk",AND(Raw_Data!S362&gt;=3,Raw_Data!G362&gt;200),"High Risk",Raw_Data!S362&gt;=2,"Medium Risk",TRUE,"Low Risk")</f>
        <v>Medium Risk</v>
      </c>
      <c r="G362" s="1" t="str">
        <f>IF(OR(Raw_Data!D362="Yes",Raw_Data!E362="Yes"),"Has Plan","No Special Plan")</f>
        <v>No Special Plan</v>
      </c>
      <c r="H362" s="1" t="str">
        <f>IF(NOT(Raw_Data!S362&gt;=3),"Normal Service Contact","Frequent Service Contact")</f>
        <v>Normal Service Contact</v>
      </c>
      <c r="I362" s="1" t="str" cm="1">
        <f t="array" ref="I362">_xlfn.SWITCH(Raw_Data!D362,"Yes","International Customer","No","Domestic Plan","Unknown")</f>
        <v>Domestic Plan</v>
      </c>
      <c r="J362" s="1" t="str">
        <f>IF(ISERROR(Raw_Data!G362/0),"Error","Valid")</f>
        <v>Error</v>
      </c>
      <c r="K362" s="1" t="str">
        <f>IF(ISBLANK(Raw_Data!A362),"Missing","Available")</f>
        <v>Available</v>
      </c>
      <c r="L362" s="5" t="str">
        <f>IF(ISNUMBER(Raw_Data!G362),"Numeric","Not Numeric")</f>
        <v>Numeric</v>
      </c>
    </row>
    <row r="363" spans="1:12" x14ac:dyDescent="0.25">
      <c r="A363" s="4" t="str">
        <f>Raw_Data!A363</f>
        <v>RI</v>
      </c>
      <c r="B363" s="1" t="b">
        <f>Raw_Data!T363</f>
        <v>0</v>
      </c>
      <c r="C363" s="1" t="str">
        <f t="shared" si="5"/>
        <v>Retained</v>
      </c>
      <c r="D363" s="1" t="str">
        <f>IF(Raw_Data!S363=0,"Low Contact",IF(Raw_Data!S363&lt;=2,"Normal Contact","High Contact"))</f>
        <v>Low Contact</v>
      </c>
      <c r="E363" s="1" t="str">
        <f>IF(AND(Raw_Data!G363&gt;200,Raw_Data!H363&gt;100),"High Usage","Normal Usage")</f>
        <v>Normal Usage</v>
      </c>
      <c r="F363" s="1" t="str" cm="1">
        <f t="array" ref="F363">_xlfn.IFS(B363=TRUE,"High Risk",AND(Raw_Data!S363&gt;=3,Raw_Data!G363&gt;200),"High Risk",Raw_Data!S363&gt;=2,"Medium Risk",TRUE,"Low Risk")</f>
        <v>Low Risk</v>
      </c>
      <c r="G363" s="1" t="str">
        <f>IF(OR(Raw_Data!D363="Yes",Raw_Data!E363="Yes"),"Has Plan","No Special Plan")</f>
        <v>No Special Plan</v>
      </c>
      <c r="H363" s="1" t="str">
        <f>IF(NOT(Raw_Data!S363&gt;=3),"Normal Service Contact","Frequent Service Contact")</f>
        <v>Normal Service Contact</v>
      </c>
      <c r="I363" s="1" t="str" cm="1">
        <f t="array" ref="I363">_xlfn.SWITCH(Raw_Data!D363,"Yes","International Customer","No","Domestic Plan","Unknown")</f>
        <v>Domestic Plan</v>
      </c>
      <c r="J363" s="1" t="str">
        <f>IF(ISERROR(Raw_Data!G363/0),"Error","Valid")</f>
        <v>Error</v>
      </c>
      <c r="K363" s="1" t="str">
        <f>IF(ISBLANK(Raw_Data!A363),"Missing","Available")</f>
        <v>Available</v>
      </c>
      <c r="L363" s="5" t="str">
        <f>IF(ISNUMBER(Raw_Data!G363),"Numeric","Not Numeric")</f>
        <v>Numeric</v>
      </c>
    </row>
    <row r="364" spans="1:12" x14ac:dyDescent="0.25">
      <c r="A364" s="4" t="str">
        <f>Raw_Data!A364</f>
        <v>NJ</v>
      </c>
      <c r="B364" s="1" t="b">
        <f>Raw_Data!T364</f>
        <v>1</v>
      </c>
      <c r="C364" s="1" t="str">
        <f t="shared" si="5"/>
        <v>Churned</v>
      </c>
      <c r="D364" s="1" t="str">
        <f>IF(Raw_Data!S364=0,"Low Contact",IF(Raw_Data!S364&lt;=2,"Normal Contact","High Contact"))</f>
        <v>Normal Contact</v>
      </c>
      <c r="E364" s="1" t="str">
        <f>IF(AND(Raw_Data!G364&gt;200,Raw_Data!H364&gt;100),"High Usage","Normal Usage")</f>
        <v>High Usage</v>
      </c>
      <c r="F364" s="1" t="str" cm="1">
        <f t="array" ref="F364">_xlfn.IFS(B364=TRUE,"High Risk",AND(Raw_Data!S364&gt;=3,Raw_Data!G364&gt;200),"High Risk",Raw_Data!S364&gt;=2,"Medium Risk",TRUE,"Low Risk")</f>
        <v>High Risk</v>
      </c>
      <c r="G364" s="1" t="str">
        <f>IF(OR(Raw_Data!D364="Yes",Raw_Data!E364="Yes"),"Has Plan","No Special Plan")</f>
        <v>No Special Plan</v>
      </c>
      <c r="H364" s="1" t="str">
        <f>IF(NOT(Raw_Data!S364&gt;=3),"Normal Service Contact","Frequent Service Contact")</f>
        <v>Normal Service Contact</v>
      </c>
      <c r="I364" s="1" t="str" cm="1">
        <f t="array" ref="I364">_xlfn.SWITCH(Raw_Data!D364,"Yes","International Customer","No","Domestic Plan","Unknown")</f>
        <v>Domestic Plan</v>
      </c>
      <c r="J364" s="1" t="str">
        <f>IF(ISERROR(Raw_Data!G364/0),"Error","Valid")</f>
        <v>Error</v>
      </c>
      <c r="K364" s="1" t="str">
        <f>IF(ISBLANK(Raw_Data!A364),"Missing","Available")</f>
        <v>Available</v>
      </c>
      <c r="L364" s="5" t="str">
        <f>IF(ISNUMBER(Raw_Data!G364),"Numeric","Not Numeric")</f>
        <v>Numeric</v>
      </c>
    </row>
    <row r="365" spans="1:12" x14ac:dyDescent="0.25">
      <c r="A365" s="4" t="str">
        <f>Raw_Data!A365</f>
        <v>MN</v>
      </c>
      <c r="B365" s="1" t="b">
        <f>Raw_Data!T365</f>
        <v>0</v>
      </c>
      <c r="C365" s="1" t="str">
        <f t="shared" si="5"/>
        <v>Retained</v>
      </c>
      <c r="D365" s="1" t="str">
        <f>IF(Raw_Data!S365=0,"Low Contact",IF(Raw_Data!S365&lt;=2,"Normal Contact","High Contact"))</f>
        <v>High Contact</v>
      </c>
      <c r="E365" s="1" t="str">
        <f>IF(AND(Raw_Data!G365&gt;200,Raw_Data!H365&gt;100),"High Usage","Normal Usage")</f>
        <v>High Usage</v>
      </c>
      <c r="F365" s="1" t="str" cm="1">
        <f t="array" ref="F365">_xlfn.IFS(B365=TRUE,"High Risk",AND(Raw_Data!S365&gt;=3,Raw_Data!G365&gt;200),"High Risk",Raw_Data!S365&gt;=2,"Medium Risk",TRUE,"Low Risk")</f>
        <v>High Risk</v>
      </c>
      <c r="G365" s="1" t="str">
        <f>IF(OR(Raw_Data!D365="Yes",Raw_Data!E365="Yes"),"Has Plan","No Special Plan")</f>
        <v>No Special Plan</v>
      </c>
      <c r="H365" s="1" t="str">
        <f>IF(NOT(Raw_Data!S365&gt;=3),"Normal Service Contact","Frequent Service Contact")</f>
        <v>Frequent Service Contact</v>
      </c>
      <c r="I365" s="1" t="str" cm="1">
        <f t="array" ref="I365">_xlfn.SWITCH(Raw_Data!D365,"Yes","International Customer","No","Domestic Plan","Unknown")</f>
        <v>Domestic Plan</v>
      </c>
      <c r="J365" s="1" t="str">
        <f>IF(ISERROR(Raw_Data!G365/0),"Error","Valid")</f>
        <v>Error</v>
      </c>
      <c r="K365" s="1" t="str">
        <f>IF(ISBLANK(Raw_Data!A365),"Missing","Available")</f>
        <v>Available</v>
      </c>
      <c r="L365" s="5" t="str">
        <f>IF(ISNUMBER(Raw_Data!G365),"Numeric","Not Numeric")</f>
        <v>Numeric</v>
      </c>
    </row>
    <row r="366" spans="1:12" x14ac:dyDescent="0.25">
      <c r="A366" s="4" t="str">
        <f>Raw_Data!A366</f>
        <v>WI</v>
      </c>
      <c r="B366" s="1" t="b">
        <f>Raw_Data!T366</f>
        <v>0</v>
      </c>
      <c r="C366" s="1" t="str">
        <f t="shared" si="5"/>
        <v>Retained</v>
      </c>
      <c r="D366" s="1" t="str">
        <f>IF(Raw_Data!S366=0,"Low Contact",IF(Raw_Data!S366&lt;=2,"Normal Contact","High Contact"))</f>
        <v>Low Contact</v>
      </c>
      <c r="E366" s="1" t="str">
        <f>IF(AND(Raw_Data!G366&gt;200,Raw_Data!H366&gt;100),"High Usage","Normal Usage")</f>
        <v>Normal Usage</v>
      </c>
      <c r="F366" s="1" t="str" cm="1">
        <f t="array" ref="F366">_xlfn.IFS(B366=TRUE,"High Risk",AND(Raw_Data!S366&gt;=3,Raw_Data!G366&gt;200),"High Risk",Raw_Data!S366&gt;=2,"Medium Risk",TRUE,"Low Risk")</f>
        <v>Low Risk</v>
      </c>
      <c r="G366" s="1" t="str">
        <f>IF(OR(Raw_Data!D366="Yes",Raw_Data!E366="Yes"),"Has Plan","No Special Plan")</f>
        <v>Has Plan</v>
      </c>
      <c r="H366" s="1" t="str">
        <f>IF(NOT(Raw_Data!S366&gt;=3),"Normal Service Contact","Frequent Service Contact")</f>
        <v>Normal Service Contact</v>
      </c>
      <c r="I366" s="1" t="str" cm="1">
        <f t="array" ref="I366">_xlfn.SWITCH(Raw_Data!D366,"Yes","International Customer","No","Domestic Plan","Unknown")</f>
        <v>Domestic Plan</v>
      </c>
      <c r="J366" s="1" t="str">
        <f>IF(ISERROR(Raw_Data!G366/0),"Error","Valid")</f>
        <v>Error</v>
      </c>
      <c r="K366" s="1" t="str">
        <f>IF(ISBLANK(Raw_Data!A366),"Missing","Available")</f>
        <v>Available</v>
      </c>
      <c r="L366" s="5" t="str">
        <f>IF(ISNUMBER(Raw_Data!G366),"Numeric","Not Numeric")</f>
        <v>Numeric</v>
      </c>
    </row>
    <row r="367" spans="1:12" x14ac:dyDescent="0.25">
      <c r="A367" s="4" t="str">
        <f>Raw_Data!A367</f>
        <v>KS</v>
      </c>
      <c r="B367" s="1" t="b">
        <f>Raw_Data!T367</f>
        <v>0</v>
      </c>
      <c r="C367" s="1" t="str">
        <f t="shared" si="5"/>
        <v>Retained</v>
      </c>
      <c r="D367" s="1" t="str">
        <f>IF(Raw_Data!S367=0,"Low Contact",IF(Raw_Data!S367&lt;=2,"Normal Contact","High Contact"))</f>
        <v>Normal Contact</v>
      </c>
      <c r="E367" s="1" t="str">
        <f>IF(AND(Raw_Data!G367&gt;200,Raw_Data!H367&gt;100),"High Usage","Normal Usage")</f>
        <v>Normal Usage</v>
      </c>
      <c r="F367" s="1" t="str" cm="1">
        <f t="array" ref="F367">_xlfn.IFS(B367=TRUE,"High Risk",AND(Raw_Data!S367&gt;=3,Raw_Data!G367&gt;200),"High Risk",Raw_Data!S367&gt;=2,"Medium Risk",TRUE,"Low Risk")</f>
        <v>Low Risk</v>
      </c>
      <c r="G367" s="1" t="str">
        <f>IF(OR(Raw_Data!D367="Yes",Raw_Data!E367="Yes"),"Has Plan","No Special Plan")</f>
        <v>No Special Plan</v>
      </c>
      <c r="H367" s="1" t="str">
        <f>IF(NOT(Raw_Data!S367&gt;=3),"Normal Service Contact","Frequent Service Contact")</f>
        <v>Normal Service Contact</v>
      </c>
      <c r="I367" s="1" t="str" cm="1">
        <f t="array" ref="I367">_xlfn.SWITCH(Raw_Data!D367,"Yes","International Customer","No","Domestic Plan","Unknown")</f>
        <v>Domestic Plan</v>
      </c>
      <c r="J367" s="1" t="str">
        <f>IF(ISERROR(Raw_Data!G367/0),"Error","Valid")</f>
        <v>Error</v>
      </c>
      <c r="K367" s="1" t="str">
        <f>IF(ISBLANK(Raw_Data!A367),"Missing","Available")</f>
        <v>Available</v>
      </c>
      <c r="L367" s="5" t="str">
        <f>IF(ISNUMBER(Raw_Data!G367),"Numeric","Not Numeric")</f>
        <v>Numeric</v>
      </c>
    </row>
    <row r="368" spans="1:12" x14ac:dyDescent="0.25">
      <c r="A368" s="4" t="str">
        <f>Raw_Data!A368</f>
        <v>NJ</v>
      </c>
      <c r="B368" s="1" t="b">
        <f>Raw_Data!T368</f>
        <v>0</v>
      </c>
      <c r="C368" s="1" t="str">
        <f t="shared" si="5"/>
        <v>Retained</v>
      </c>
      <c r="D368" s="1" t="str">
        <f>IF(Raw_Data!S368=0,"Low Contact",IF(Raw_Data!S368&lt;=2,"Normal Contact","High Contact"))</f>
        <v>Normal Contact</v>
      </c>
      <c r="E368" s="1" t="str">
        <f>IF(AND(Raw_Data!G368&gt;200,Raw_Data!H368&gt;100),"High Usage","Normal Usage")</f>
        <v>Normal Usage</v>
      </c>
      <c r="F368" s="1" t="str" cm="1">
        <f t="array" ref="F368">_xlfn.IFS(B368=TRUE,"High Risk",AND(Raw_Data!S368&gt;=3,Raw_Data!G368&gt;200),"High Risk",Raw_Data!S368&gt;=2,"Medium Risk",TRUE,"Low Risk")</f>
        <v>Medium Risk</v>
      </c>
      <c r="G368" s="1" t="str">
        <f>IF(OR(Raw_Data!D368="Yes",Raw_Data!E368="Yes"),"Has Plan","No Special Plan")</f>
        <v>No Special Plan</v>
      </c>
      <c r="H368" s="1" t="str">
        <f>IF(NOT(Raw_Data!S368&gt;=3),"Normal Service Contact","Frequent Service Contact")</f>
        <v>Normal Service Contact</v>
      </c>
      <c r="I368" s="1" t="str" cm="1">
        <f t="array" ref="I368">_xlfn.SWITCH(Raw_Data!D368,"Yes","International Customer","No","Domestic Plan","Unknown")</f>
        <v>Domestic Plan</v>
      </c>
      <c r="J368" s="1" t="str">
        <f>IF(ISERROR(Raw_Data!G368/0),"Error","Valid")</f>
        <v>Error</v>
      </c>
      <c r="K368" s="1" t="str">
        <f>IF(ISBLANK(Raw_Data!A368),"Missing","Available")</f>
        <v>Available</v>
      </c>
      <c r="L368" s="5" t="str">
        <f>IF(ISNUMBER(Raw_Data!G368),"Numeric","Not Numeric")</f>
        <v>Numeric</v>
      </c>
    </row>
    <row r="369" spans="1:12" x14ac:dyDescent="0.25">
      <c r="A369" s="4" t="str">
        <f>Raw_Data!A369</f>
        <v>ND</v>
      </c>
      <c r="B369" s="1" t="b">
        <f>Raw_Data!T369</f>
        <v>0</v>
      </c>
      <c r="C369" s="1" t="str">
        <f t="shared" si="5"/>
        <v>Retained</v>
      </c>
      <c r="D369" s="1" t="str">
        <f>IF(Raw_Data!S369=0,"Low Contact",IF(Raw_Data!S369&lt;=2,"Normal Contact","High Contact"))</f>
        <v>Normal Contact</v>
      </c>
      <c r="E369" s="1" t="str">
        <f>IF(AND(Raw_Data!G369&gt;200,Raw_Data!H369&gt;100),"High Usage","Normal Usage")</f>
        <v>Normal Usage</v>
      </c>
      <c r="F369" s="1" t="str" cm="1">
        <f t="array" ref="F369">_xlfn.IFS(B369=TRUE,"High Risk",AND(Raw_Data!S369&gt;=3,Raw_Data!G369&gt;200),"High Risk",Raw_Data!S369&gt;=2,"Medium Risk",TRUE,"Low Risk")</f>
        <v>Medium Risk</v>
      </c>
      <c r="G369" s="1" t="str">
        <f>IF(OR(Raw_Data!D369="Yes",Raw_Data!E369="Yes"),"Has Plan","No Special Plan")</f>
        <v>Has Plan</v>
      </c>
      <c r="H369" s="1" t="str">
        <f>IF(NOT(Raw_Data!S369&gt;=3),"Normal Service Contact","Frequent Service Contact")</f>
        <v>Normal Service Contact</v>
      </c>
      <c r="I369" s="1" t="str" cm="1">
        <f t="array" ref="I369">_xlfn.SWITCH(Raw_Data!D369,"Yes","International Customer","No","Domestic Plan","Unknown")</f>
        <v>Domestic Plan</v>
      </c>
      <c r="J369" s="1" t="str">
        <f>IF(ISERROR(Raw_Data!G369/0),"Error","Valid")</f>
        <v>Error</v>
      </c>
      <c r="K369" s="1" t="str">
        <f>IF(ISBLANK(Raw_Data!A369),"Missing","Available")</f>
        <v>Available</v>
      </c>
      <c r="L369" s="5" t="str">
        <f>IF(ISNUMBER(Raw_Data!G369),"Numeric","Not Numeric")</f>
        <v>Numeric</v>
      </c>
    </row>
    <row r="370" spans="1:12" x14ac:dyDescent="0.25">
      <c r="A370" s="4" t="str">
        <f>Raw_Data!A370</f>
        <v>WY</v>
      </c>
      <c r="B370" s="1" t="b">
        <f>Raw_Data!T370</f>
        <v>0</v>
      </c>
      <c r="C370" s="1" t="str">
        <f t="shared" si="5"/>
        <v>Retained</v>
      </c>
      <c r="D370" s="1" t="str">
        <f>IF(Raw_Data!S370=0,"Low Contact",IF(Raw_Data!S370&lt;=2,"Normal Contact","High Contact"))</f>
        <v>Low Contact</v>
      </c>
      <c r="E370" s="1" t="str">
        <f>IF(AND(Raw_Data!G370&gt;200,Raw_Data!H370&gt;100),"High Usage","Normal Usage")</f>
        <v>Normal Usage</v>
      </c>
      <c r="F370" s="1" t="str" cm="1">
        <f t="array" ref="F370">_xlfn.IFS(B370=TRUE,"High Risk",AND(Raw_Data!S370&gt;=3,Raw_Data!G370&gt;200),"High Risk",Raw_Data!S370&gt;=2,"Medium Risk",TRUE,"Low Risk")</f>
        <v>Low Risk</v>
      </c>
      <c r="G370" s="1" t="str">
        <f>IF(OR(Raw_Data!D370="Yes",Raw_Data!E370="Yes"),"Has Plan","No Special Plan")</f>
        <v>No Special Plan</v>
      </c>
      <c r="H370" s="1" t="str">
        <f>IF(NOT(Raw_Data!S370&gt;=3),"Normal Service Contact","Frequent Service Contact")</f>
        <v>Normal Service Contact</v>
      </c>
      <c r="I370" s="1" t="str" cm="1">
        <f t="array" ref="I370">_xlfn.SWITCH(Raw_Data!D370,"Yes","International Customer","No","Domestic Plan","Unknown")</f>
        <v>Domestic Plan</v>
      </c>
      <c r="J370" s="1" t="str">
        <f>IF(ISERROR(Raw_Data!G370/0),"Error","Valid")</f>
        <v>Error</v>
      </c>
      <c r="K370" s="1" t="str">
        <f>IF(ISBLANK(Raw_Data!A370),"Missing","Available")</f>
        <v>Available</v>
      </c>
      <c r="L370" s="5" t="str">
        <f>IF(ISNUMBER(Raw_Data!G370),"Numeric","Not Numeric")</f>
        <v>Numeric</v>
      </c>
    </row>
    <row r="371" spans="1:12" x14ac:dyDescent="0.25">
      <c r="A371" s="4" t="str">
        <f>Raw_Data!A371</f>
        <v>LA</v>
      </c>
      <c r="B371" s="1" t="b">
        <f>Raw_Data!T371</f>
        <v>0</v>
      </c>
      <c r="C371" s="1" t="str">
        <f t="shared" si="5"/>
        <v>Retained</v>
      </c>
      <c r="D371" s="1" t="str">
        <f>IF(Raw_Data!S371=0,"Low Contact",IF(Raw_Data!S371&lt;=2,"Normal Contact","High Contact"))</f>
        <v>Normal Contact</v>
      </c>
      <c r="E371" s="1" t="str">
        <f>IF(AND(Raw_Data!G371&gt;200,Raw_Data!H371&gt;100),"High Usage","Normal Usage")</f>
        <v>Normal Usage</v>
      </c>
      <c r="F371" s="1" t="str" cm="1">
        <f t="array" ref="F371">_xlfn.IFS(B371=TRUE,"High Risk",AND(Raw_Data!S371&gt;=3,Raw_Data!G371&gt;200),"High Risk",Raw_Data!S371&gt;=2,"Medium Risk",TRUE,"Low Risk")</f>
        <v>Low Risk</v>
      </c>
      <c r="G371" s="1" t="str">
        <f>IF(OR(Raw_Data!D371="Yes",Raw_Data!E371="Yes"),"Has Plan","No Special Plan")</f>
        <v>No Special Plan</v>
      </c>
      <c r="H371" s="1" t="str">
        <f>IF(NOT(Raw_Data!S371&gt;=3),"Normal Service Contact","Frequent Service Contact")</f>
        <v>Normal Service Contact</v>
      </c>
      <c r="I371" s="1" t="str" cm="1">
        <f t="array" ref="I371">_xlfn.SWITCH(Raw_Data!D371,"Yes","International Customer","No","Domestic Plan","Unknown")</f>
        <v>Domestic Plan</v>
      </c>
      <c r="J371" s="1" t="str">
        <f>IF(ISERROR(Raw_Data!G371/0),"Error","Valid")</f>
        <v>Error</v>
      </c>
      <c r="K371" s="1" t="str">
        <f>IF(ISBLANK(Raw_Data!A371),"Missing","Available")</f>
        <v>Available</v>
      </c>
      <c r="L371" s="5" t="str">
        <f>IF(ISNUMBER(Raw_Data!G371),"Numeric","Not Numeric")</f>
        <v>Numeric</v>
      </c>
    </row>
    <row r="372" spans="1:12" x14ac:dyDescent="0.25">
      <c r="A372" s="4" t="str">
        <f>Raw_Data!A372</f>
        <v>AL</v>
      </c>
      <c r="B372" s="1" t="b">
        <f>Raw_Data!T372</f>
        <v>0</v>
      </c>
      <c r="C372" s="1" t="str">
        <f t="shared" si="5"/>
        <v>Retained</v>
      </c>
      <c r="D372" s="1" t="str">
        <f>IF(Raw_Data!S372=0,"Low Contact",IF(Raw_Data!S372&lt;=2,"Normal Contact","High Contact"))</f>
        <v>Normal Contact</v>
      </c>
      <c r="E372" s="1" t="str">
        <f>IF(AND(Raw_Data!G372&gt;200,Raw_Data!H372&gt;100),"High Usage","Normal Usage")</f>
        <v>Normal Usage</v>
      </c>
      <c r="F372" s="1" t="str" cm="1">
        <f t="array" ref="F372">_xlfn.IFS(B372=TRUE,"High Risk",AND(Raw_Data!S372&gt;=3,Raw_Data!G372&gt;200),"High Risk",Raw_Data!S372&gt;=2,"Medium Risk",TRUE,"Low Risk")</f>
        <v>Low Risk</v>
      </c>
      <c r="G372" s="1" t="str">
        <f>IF(OR(Raw_Data!D372="Yes",Raw_Data!E372="Yes"),"Has Plan","No Special Plan")</f>
        <v>No Special Plan</v>
      </c>
      <c r="H372" s="1" t="str">
        <f>IF(NOT(Raw_Data!S372&gt;=3),"Normal Service Contact","Frequent Service Contact")</f>
        <v>Normal Service Contact</v>
      </c>
      <c r="I372" s="1" t="str" cm="1">
        <f t="array" ref="I372">_xlfn.SWITCH(Raw_Data!D372,"Yes","International Customer","No","Domestic Plan","Unknown")</f>
        <v>Domestic Plan</v>
      </c>
      <c r="J372" s="1" t="str">
        <f>IF(ISERROR(Raw_Data!G372/0),"Error","Valid")</f>
        <v>Error</v>
      </c>
      <c r="K372" s="1" t="str">
        <f>IF(ISBLANK(Raw_Data!A372),"Missing","Available")</f>
        <v>Available</v>
      </c>
      <c r="L372" s="5" t="str">
        <f>IF(ISNUMBER(Raw_Data!G372),"Numeric","Not Numeric")</f>
        <v>Numeric</v>
      </c>
    </row>
    <row r="373" spans="1:12" x14ac:dyDescent="0.25">
      <c r="A373" s="4" t="str">
        <f>Raw_Data!A373</f>
        <v>TX</v>
      </c>
      <c r="B373" s="1" t="b">
        <f>Raw_Data!T373</f>
        <v>0</v>
      </c>
      <c r="C373" s="1" t="str">
        <f t="shared" si="5"/>
        <v>Retained</v>
      </c>
      <c r="D373" s="1" t="str">
        <f>IF(Raw_Data!S373=0,"Low Contact",IF(Raw_Data!S373&lt;=2,"Normal Contact","High Contact"))</f>
        <v>Normal Contact</v>
      </c>
      <c r="E373" s="1" t="str">
        <f>IF(AND(Raw_Data!G373&gt;200,Raw_Data!H373&gt;100),"High Usage","Normal Usage")</f>
        <v>Normal Usage</v>
      </c>
      <c r="F373" s="1" t="str" cm="1">
        <f t="array" ref="F373">_xlfn.IFS(B373=TRUE,"High Risk",AND(Raw_Data!S373&gt;=3,Raw_Data!G373&gt;200),"High Risk",Raw_Data!S373&gt;=2,"Medium Risk",TRUE,"Low Risk")</f>
        <v>Low Risk</v>
      </c>
      <c r="G373" s="1" t="str">
        <f>IF(OR(Raw_Data!D373="Yes",Raw_Data!E373="Yes"),"Has Plan","No Special Plan")</f>
        <v>Has Plan</v>
      </c>
      <c r="H373" s="1" t="str">
        <f>IF(NOT(Raw_Data!S373&gt;=3),"Normal Service Contact","Frequent Service Contact")</f>
        <v>Normal Service Contact</v>
      </c>
      <c r="I373" s="1" t="str" cm="1">
        <f t="array" ref="I373">_xlfn.SWITCH(Raw_Data!D373,"Yes","International Customer","No","Domestic Plan","Unknown")</f>
        <v>Domestic Plan</v>
      </c>
      <c r="J373" s="1" t="str">
        <f>IF(ISERROR(Raw_Data!G373/0),"Error","Valid")</f>
        <v>Error</v>
      </c>
      <c r="K373" s="1" t="str">
        <f>IF(ISBLANK(Raw_Data!A373),"Missing","Available")</f>
        <v>Available</v>
      </c>
      <c r="L373" s="5" t="str">
        <f>IF(ISNUMBER(Raw_Data!G373),"Numeric","Not Numeric")</f>
        <v>Numeric</v>
      </c>
    </row>
    <row r="374" spans="1:12" x14ac:dyDescent="0.25">
      <c r="A374" s="4" t="str">
        <f>Raw_Data!A374</f>
        <v>AR</v>
      </c>
      <c r="B374" s="1" t="b">
        <f>Raw_Data!T374</f>
        <v>0</v>
      </c>
      <c r="C374" s="1" t="str">
        <f t="shared" si="5"/>
        <v>Retained</v>
      </c>
      <c r="D374" s="1" t="str">
        <f>IF(Raw_Data!S374=0,"Low Contact",IF(Raw_Data!S374&lt;=2,"Normal Contact","High Contact"))</f>
        <v>Low Contact</v>
      </c>
      <c r="E374" s="1" t="str">
        <f>IF(AND(Raw_Data!G374&gt;200,Raw_Data!H374&gt;100),"High Usage","Normal Usage")</f>
        <v>Normal Usage</v>
      </c>
      <c r="F374" s="1" t="str" cm="1">
        <f t="array" ref="F374">_xlfn.IFS(B374=TRUE,"High Risk",AND(Raw_Data!S374&gt;=3,Raw_Data!G374&gt;200),"High Risk",Raw_Data!S374&gt;=2,"Medium Risk",TRUE,"Low Risk")</f>
        <v>Low Risk</v>
      </c>
      <c r="G374" s="1" t="str">
        <f>IF(OR(Raw_Data!D374="Yes",Raw_Data!E374="Yes"),"Has Plan","No Special Plan")</f>
        <v>No Special Plan</v>
      </c>
      <c r="H374" s="1" t="str">
        <f>IF(NOT(Raw_Data!S374&gt;=3),"Normal Service Contact","Frequent Service Contact")</f>
        <v>Normal Service Contact</v>
      </c>
      <c r="I374" s="1" t="str" cm="1">
        <f t="array" ref="I374">_xlfn.SWITCH(Raw_Data!D374,"Yes","International Customer","No","Domestic Plan","Unknown")</f>
        <v>Domestic Plan</v>
      </c>
      <c r="J374" s="1" t="str">
        <f>IF(ISERROR(Raw_Data!G374/0),"Error","Valid")</f>
        <v>Error</v>
      </c>
      <c r="K374" s="1" t="str">
        <f>IF(ISBLANK(Raw_Data!A374),"Missing","Available")</f>
        <v>Available</v>
      </c>
      <c r="L374" s="5" t="str">
        <f>IF(ISNUMBER(Raw_Data!G374),"Numeric","Not Numeric")</f>
        <v>Numeric</v>
      </c>
    </row>
    <row r="375" spans="1:12" x14ac:dyDescent="0.25">
      <c r="A375" s="4" t="str">
        <f>Raw_Data!A375</f>
        <v>GA</v>
      </c>
      <c r="B375" s="1" t="b">
        <f>Raw_Data!T375</f>
        <v>0</v>
      </c>
      <c r="C375" s="1" t="str">
        <f t="shared" si="5"/>
        <v>Retained</v>
      </c>
      <c r="D375" s="1" t="str">
        <f>IF(Raw_Data!S375=0,"Low Contact",IF(Raw_Data!S375&lt;=2,"Normal Contact","High Contact"))</f>
        <v>Low Contact</v>
      </c>
      <c r="E375" s="1" t="str">
        <f>IF(AND(Raw_Data!G375&gt;200,Raw_Data!H375&gt;100),"High Usage","Normal Usage")</f>
        <v>Normal Usage</v>
      </c>
      <c r="F375" s="1" t="str" cm="1">
        <f t="array" ref="F375">_xlfn.IFS(B375=TRUE,"High Risk",AND(Raw_Data!S375&gt;=3,Raw_Data!G375&gt;200),"High Risk",Raw_Data!S375&gt;=2,"Medium Risk",TRUE,"Low Risk")</f>
        <v>Low Risk</v>
      </c>
      <c r="G375" s="1" t="str">
        <f>IF(OR(Raw_Data!D375="Yes",Raw_Data!E375="Yes"),"Has Plan","No Special Plan")</f>
        <v>No Special Plan</v>
      </c>
      <c r="H375" s="1" t="str">
        <f>IF(NOT(Raw_Data!S375&gt;=3),"Normal Service Contact","Frequent Service Contact")</f>
        <v>Normal Service Contact</v>
      </c>
      <c r="I375" s="1" t="str" cm="1">
        <f t="array" ref="I375">_xlfn.SWITCH(Raw_Data!D375,"Yes","International Customer","No","Domestic Plan","Unknown")</f>
        <v>Domestic Plan</v>
      </c>
      <c r="J375" s="1" t="str">
        <f>IF(ISERROR(Raw_Data!G375/0),"Error","Valid")</f>
        <v>Error</v>
      </c>
      <c r="K375" s="1" t="str">
        <f>IF(ISBLANK(Raw_Data!A375),"Missing","Available")</f>
        <v>Available</v>
      </c>
      <c r="L375" s="5" t="str">
        <f>IF(ISNUMBER(Raw_Data!G375),"Numeric","Not Numeric")</f>
        <v>Numeric</v>
      </c>
    </row>
    <row r="376" spans="1:12" x14ac:dyDescent="0.25">
      <c r="A376" s="4" t="str">
        <f>Raw_Data!A376</f>
        <v>KY</v>
      </c>
      <c r="B376" s="1" t="b">
        <f>Raw_Data!T376</f>
        <v>0</v>
      </c>
      <c r="C376" s="1" t="str">
        <f t="shared" si="5"/>
        <v>Retained</v>
      </c>
      <c r="D376" s="1" t="str">
        <f>IF(Raw_Data!S376=0,"Low Contact",IF(Raw_Data!S376&lt;=2,"Normal Contact","High Contact"))</f>
        <v>Normal Contact</v>
      </c>
      <c r="E376" s="1" t="str">
        <f>IF(AND(Raw_Data!G376&gt;200,Raw_Data!H376&gt;100),"High Usage","Normal Usage")</f>
        <v>Normal Usage</v>
      </c>
      <c r="F376" s="1" t="str" cm="1">
        <f t="array" ref="F376">_xlfn.IFS(B376=TRUE,"High Risk",AND(Raw_Data!S376&gt;=3,Raw_Data!G376&gt;200),"High Risk",Raw_Data!S376&gt;=2,"Medium Risk",TRUE,"Low Risk")</f>
        <v>Medium Risk</v>
      </c>
      <c r="G376" s="1" t="str">
        <f>IF(OR(Raw_Data!D376="Yes",Raw_Data!E376="Yes"),"Has Plan","No Special Plan")</f>
        <v>No Special Plan</v>
      </c>
      <c r="H376" s="1" t="str">
        <f>IF(NOT(Raw_Data!S376&gt;=3),"Normal Service Contact","Frequent Service Contact")</f>
        <v>Normal Service Contact</v>
      </c>
      <c r="I376" s="1" t="str" cm="1">
        <f t="array" ref="I376">_xlfn.SWITCH(Raw_Data!D376,"Yes","International Customer","No","Domestic Plan","Unknown")</f>
        <v>Domestic Plan</v>
      </c>
      <c r="J376" s="1" t="str">
        <f>IF(ISERROR(Raw_Data!G376/0),"Error","Valid")</f>
        <v>Error</v>
      </c>
      <c r="K376" s="1" t="str">
        <f>IF(ISBLANK(Raw_Data!A376),"Missing","Available")</f>
        <v>Available</v>
      </c>
      <c r="L376" s="5" t="str">
        <f>IF(ISNUMBER(Raw_Data!G376),"Numeric","Not Numeric")</f>
        <v>Numeric</v>
      </c>
    </row>
    <row r="377" spans="1:12" x14ac:dyDescent="0.25">
      <c r="A377" s="4" t="str">
        <f>Raw_Data!A377</f>
        <v>NE</v>
      </c>
      <c r="B377" s="1" t="b">
        <f>Raw_Data!T377</f>
        <v>0</v>
      </c>
      <c r="C377" s="1" t="str">
        <f t="shared" si="5"/>
        <v>Retained</v>
      </c>
      <c r="D377" s="1" t="str">
        <f>IF(Raw_Data!S377=0,"Low Contact",IF(Raw_Data!S377&lt;=2,"Normal Contact","High Contact"))</f>
        <v>Low Contact</v>
      </c>
      <c r="E377" s="1" t="str">
        <f>IF(AND(Raw_Data!G377&gt;200,Raw_Data!H377&gt;100),"High Usage","Normal Usage")</f>
        <v>High Usage</v>
      </c>
      <c r="F377" s="1" t="str" cm="1">
        <f t="array" ref="F377">_xlfn.IFS(B377=TRUE,"High Risk",AND(Raw_Data!S377&gt;=3,Raw_Data!G377&gt;200),"High Risk",Raw_Data!S377&gt;=2,"Medium Risk",TRUE,"Low Risk")</f>
        <v>Low Risk</v>
      </c>
      <c r="G377" s="1" t="str">
        <f>IF(OR(Raw_Data!D377="Yes",Raw_Data!E377="Yes"),"Has Plan","No Special Plan")</f>
        <v>No Special Plan</v>
      </c>
      <c r="H377" s="1" t="str">
        <f>IF(NOT(Raw_Data!S377&gt;=3),"Normal Service Contact","Frequent Service Contact")</f>
        <v>Normal Service Contact</v>
      </c>
      <c r="I377" s="1" t="str" cm="1">
        <f t="array" ref="I377">_xlfn.SWITCH(Raw_Data!D377,"Yes","International Customer","No","Domestic Plan","Unknown")</f>
        <v>Domestic Plan</v>
      </c>
      <c r="J377" s="1" t="str">
        <f>IF(ISERROR(Raw_Data!G377/0),"Error","Valid")</f>
        <v>Error</v>
      </c>
      <c r="K377" s="1" t="str">
        <f>IF(ISBLANK(Raw_Data!A377),"Missing","Available")</f>
        <v>Available</v>
      </c>
      <c r="L377" s="5" t="str">
        <f>IF(ISNUMBER(Raw_Data!G377),"Numeric","Not Numeric")</f>
        <v>Numeric</v>
      </c>
    </row>
    <row r="378" spans="1:12" x14ac:dyDescent="0.25">
      <c r="A378" s="4" t="str">
        <f>Raw_Data!A378</f>
        <v>ND</v>
      </c>
      <c r="B378" s="1" t="b">
        <f>Raw_Data!T378</f>
        <v>0</v>
      </c>
      <c r="C378" s="1" t="str">
        <f t="shared" si="5"/>
        <v>Retained</v>
      </c>
      <c r="D378" s="1" t="str">
        <f>IF(Raw_Data!S378=0,"Low Contact",IF(Raw_Data!S378&lt;=2,"Normal Contact","High Contact"))</f>
        <v>High Contact</v>
      </c>
      <c r="E378" s="1" t="str">
        <f>IF(AND(Raw_Data!G378&gt;200,Raw_Data!H378&gt;100),"High Usage","Normal Usage")</f>
        <v>Normal Usage</v>
      </c>
      <c r="F378" s="1" t="str" cm="1">
        <f t="array" ref="F378">_xlfn.IFS(B378=TRUE,"High Risk",AND(Raw_Data!S378&gt;=3,Raw_Data!G378&gt;200),"High Risk",Raw_Data!S378&gt;=2,"Medium Risk",TRUE,"Low Risk")</f>
        <v>Medium Risk</v>
      </c>
      <c r="G378" s="1" t="str">
        <f>IF(OR(Raw_Data!D378="Yes",Raw_Data!E378="Yes"),"Has Plan","No Special Plan")</f>
        <v>No Special Plan</v>
      </c>
      <c r="H378" s="1" t="str">
        <f>IF(NOT(Raw_Data!S378&gt;=3),"Normal Service Contact","Frequent Service Contact")</f>
        <v>Frequent Service Contact</v>
      </c>
      <c r="I378" s="1" t="str" cm="1">
        <f t="array" ref="I378">_xlfn.SWITCH(Raw_Data!D378,"Yes","International Customer","No","Domestic Plan","Unknown")</f>
        <v>Domestic Plan</v>
      </c>
      <c r="J378" s="1" t="str">
        <f>IF(ISERROR(Raw_Data!G378/0),"Error","Valid")</f>
        <v>Error</v>
      </c>
      <c r="K378" s="1" t="str">
        <f>IF(ISBLANK(Raw_Data!A378),"Missing","Available")</f>
        <v>Available</v>
      </c>
      <c r="L378" s="5" t="str">
        <f>IF(ISNUMBER(Raw_Data!G378),"Numeric","Not Numeric")</f>
        <v>Numeric</v>
      </c>
    </row>
    <row r="379" spans="1:12" x14ac:dyDescent="0.25">
      <c r="A379" s="4" t="str">
        <f>Raw_Data!A379</f>
        <v>NH</v>
      </c>
      <c r="B379" s="1" t="b">
        <f>Raw_Data!T379</f>
        <v>0</v>
      </c>
      <c r="C379" s="1" t="str">
        <f t="shared" si="5"/>
        <v>Retained</v>
      </c>
      <c r="D379" s="1" t="str">
        <f>IF(Raw_Data!S379=0,"Low Contact",IF(Raw_Data!S379&lt;=2,"Normal Contact","High Contact"))</f>
        <v>High Contact</v>
      </c>
      <c r="E379" s="1" t="str">
        <f>IF(AND(Raw_Data!G379&gt;200,Raw_Data!H379&gt;100),"High Usage","Normal Usage")</f>
        <v>Normal Usage</v>
      </c>
      <c r="F379" s="1" t="str" cm="1">
        <f t="array" ref="F379">_xlfn.IFS(B379=TRUE,"High Risk",AND(Raw_Data!S379&gt;=3,Raw_Data!G379&gt;200),"High Risk",Raw_Data!S379&gt;=2,"Medium Risk",TRUE,"Low Risk")</f>
        <v>High Risk</v>
      </c>
      <c r="G379" s="1" t="str">
        <f>IF(OR(Raw_Data!D379="Yes",Raw_Data!E379="Yes"),"Has Plan","No Special Plan")</f>
        <v>No Special Plan</v>
      </c>
      <c r="H379" s="1" t="str">
        <f>IF(NOT(Raw_Data!S379&gt;=3),"Normal Service Contact","Frequent Service Contact")</f>
        <v>Frequent Service Contact</v>
      </c>
      <c r="I379" s="1" t="str" cm="1">
        <f t="array" ref="I379">_xlfn.SWITCH(Raw_Data!D379,"Yes","International Customer","No","Domestic Plan","Unknown")</f>
        <v>Domestic Plan</v>
      </c>
      <c r="J379" s="1" t="str">
        <f>IF(ISERROR(Raw_Data!G379/0),"Error","Valid")</f>
        <v>Error</v>
      </c>
      <c r="K379" s="1" t="str">
        <f>IF(ISBLANK(Raw_Data!A379),"Missing","Available")</f>
        <v>Available</v>
      </c>
      <c r="L379" s="5" t="str">
        <f>IF(ISNUMBER(Raw_Data!G379),"Numeric","Not Numeric")</f>
        <v>Numeric</v>
      </c>
    </row>
    <row r="380" spans="1:12" x14ac:dyDescent="0.25">
      <c r="A380" s="4" t="str">
        <f>Raw_Data!A380</f>
        <v>IN</v>
      </c>
      <c r="B380" s="1" t="b">
        <f>Raw_Data!T380</f>
        <v>0</v>
      </c>
      <c r="C380" s="1" t="str">
        <f t="shared" si="5"/>
        <v>Retained</v>
      </c>
      <c r="D380" s="1" t="str">
        <f>IF(Raw_Data!S380=0,"Low Contact",IF(Raw_Data!S380&lt;=2,"Normal Contact","High Contact"))</f>
        <v>Low Contact</v>
      </c>
      <c r="E380" s="1" t="str">
        <f>IF(AND(Raw_Data!G380&gt;200,Raw_Data!H380&gt;100),"High Usage","Normal Usage")</f>
        <v>Normal Usage</v>
      </c>
      <c r="F380" s="1" t="str" cm="1">
        <f t="array" ref="F380">_xlfn.IFS(B380=TRUE,"High Risk",AND(Raw_Data!S380&gt;=3,Raw_Data!G380&gt;200),"High Risk",Raw_Data!S380&gt;=2,"Medium Risk",TRUE,"Low Risk")</f>
        <v>Low Risk</v>
      </c>
      <c r="G380" s="1" t="str">
        <f>IF(OR(Raw_Data!D380="Yes",Raw_Data!E380="Yes"),"Has Plan","No Special Plan")</f>
        <v>Has Plan</v>
      </c>
      <c r="H380" s="1" t="str">
        <f>IF(NOT(Raw_Data!S380&gt;=3),"Normal Service Contact","Frequent Service Contact")</f>
        <v>Normal Service Contact</v>
      </c>
      <c r="I380" s="1" t="str" cm="1">
        <f t="array" ref="I380">_xlfn.SWITCH(Raw_Data!D380,"Yes","International Customer","No","Domestic Plan","Unknown")</f>
        <v>Domestic Plan</v>
      </c>
      <c r="J380" s="1" t="str">
        <f>IF(ISERROR(Raw_Data!G380/0),"Error","Valid")</f>
        <v>Error</v>
      </c>
      <c r="K380" s="1" t="str">
        <f>IF(ISBLANK(Raw_Data!A380),"Missing","Available")</f>
        <v>Available</v>
      </c>
      <c r="L380" s="5" t="str">
        <f>IF(ISNUMBER(Raw_Data!G380),"Numeric","Not Numeric")</f>
        <v>Numeric</v>
      </c>
    </row>
    <row r="381" spans="1:12" x14ac:dyDescent="0.25">
      <c r="A381" s="4" t="str">
        <f>Raw_Data!A381</f>
        <v>OR</v>
      </c>
      <c r="B381" s="1" t="b">
        <f>Raw_Data!T381</f>
        <v>0</v>
      </c>
      <c r="C381" s="1" t="str">
        <f t="shared" si="5"/>
        <v>Retained</v>
      </c>
      <c r="D381" s="1" t="str">
        <f>IF(Raw_Data!S381=0,"Low Contact",IF(Raw_Data!S381&lt;=2,"Normal Contact","High Contact"))</f>
        <v>Low Contact</v>
      </c>
      <c r="E381" s="1" t="str">
        <f>IF(AND(Raw_Data!G381&gt;200,Raw_Data!H381&gt;100),"High Usage","Normal Usage")</f>
        <v>Normal Usage</v>
      </c>
      <c r="F381" s="1" t="str" cm="1">
        <f t="array" ref="F381">_xlfn.IFS(B381=TRUE,"High Risk",AND(Raw_Data!S381&gt;=3,Raw_Data!G381&gt;200),"High Risk",Raw_Data!S381&gt;=2,"Medium Risk",TRUE,"Low Risk")</f>
        <v>Low Risk</v>
      </c>
      <c r="G381" s="1" t="str">
        <f>IF(OR(Raw_Data!D381="Yes",Raw_Data!E381="Yes"),"Has Plan","No Special Plan")</f>
        <v>Has Plan</v>
      </c>
      <c r="H381" s="1" t="str">
        <f>IF(NOT(Raw_Data!S381&gt;=3),"Normal Service Contact","Frequent Service Contact")</f>
        <v>Normal Service Contact</v>
      </c>
      <c r="I381" s="1" t="str" cm="1">
        <f t="array" ref="I381">_xlfn.SWITCH(Raw_Data!D381,"Yes","International Customer","No","Domestic Plan","Unknown")</f>
        <v>Domestic Plan</v>
      </c>
      <c r="J381" s="1" t="str">
        <f>IF(ISERROR(Raw_Data!G381/0),"Error","Valid")</f>
        <v>Error</v>
      </c>
      <c r="K381" s="1" t="str">
        <f>IF(ISBLANK(Raw_Data!A381),"Missing","Available")</f>
        <v>Available</v>
      </c>
      <c r="L381" s="5" t="str">
        <f>IF(ISNUMBER(Raw_Data!G381),"Numeric","Not Numeric")</f>
        <v>Numeric</v>
      </c>
    </row>
    <row r="382" spans="1:12" x14ac:dyDescent="0.25">
      <c r="A382" s="4" t="str">
        <f>Raw_Data!A382</f>
        <v>OH</v>
      </c>
      <c r="B382" s="1" t="b">
        <f>Raw_Data!T382</f>
        <v>0</v>
      </c>
      <c r="C382" s="1" t="str">
        <f t="shared" si="5"/>
        <v>Retained</v>
      </c>
      <c r="D382" s="1" t="str">
        <f>IF(Raw_Data!S382=0,"Low Contact",IF(Raw_Data!S382&lt;=2,"Normal Contact","High Contact"))</f>
        <v>Normal Contact</v>
      </c>
      <c r="E382" s="1" t="str">
        <f>IF(AND(Raw_Data!G382&gt;200,Raw_Data!H382&gt;100),"High Usage","Normal Usage")</f>
        <v>Normal Usage</v>
      </c>
      <c r="F382" s="1" t="str" cm="1">
        <f t="array" ref="F382">_xlfn.IFS(B382=TRUE,"High Risk",AND(Raw_Data!S382&gt;=3,Raw_Data!G382&gt;200),"High Risk",Raw_Data!S382&gt;=2,"Medium Risk",TRUE,"Low Risk")</f>
        <v>Medium Risk</v>
      </c>
      <c r="G382" s="1" t="str">
        <f>IF(OR(Raw_Data!D382="Yes",Raw_Data!E382="Yes"),"Has Plan","No Special Plan")</f>
        <v>No Special Plan</v>
      </c>
      <c r="H382" s="1" t="str">
        <f>IF(NOT(Raw_Data!S382&gt;=3),"Normal Service Contact","Frequent Service Contact")</f>
        <v>Normal Service Contact</v>
      </c>
      <c r="I382" s="1" t="str" cm="1">
        <f t="array" ref="I382">_xlfn.SWITCH(Raw_Data!D382,"Yes","International Customer","No","Domestic Plan","Unknown")</f>
        <v>Domestic Plan</v>
      </c>
      <c r="J382" s="1" t="str">
        <f>IF(ISERROR(Raw_Data!G382/0),"Error","Valid")</f>
        <v>Error</v>
      </c>
      <c r="K382" s="1" t="str">
        <f>IF(ISBLANK(Raw_Data!A382),"Missing","Available")</f>
        <v>Available</v>
      </c>
      <c r="L382" s="5" t="str">
        <f>IF(ISNUMBER(Raw_Data!G382),"Numeric","Not Numeric")</f>
        <v>Numeric</v>
      </c>
    </row>
    <row r="383" spans="1:12" x14ac:dyDescent="0.25">
      <c r="A383" s="4" t="str">
        <f>Raw_Data!A383</f>
        <v>KS</v>
      </c>
      <c r="B383" s="1" t="b">
        <f>Raw_Data!T383</f>
        <v>0</v>
      </c>
      <c r="C383" s="1" t="str">
        <f t="shared" si="5"/>
        <v>Retained</v>
      </c>
      <c r="D383" s="1" t="str">
        <f>IF(Raw_Data!S383=0,"Low Contact",IF(Raw_Data!S383&lt;=2,"Normal Contact","High Contact"))</f>
        <v>Normal Contact</v>
      </c>
      <c r="E383" s="1" t="str">
        <f>IF(AND(Raw_Data!G383&gt;200,Raw_Data!H383&gt;100),"High Usage","Normal Usage")</f>
        <v>Normal Usage</v>
      </c>
      <c r="F383" s="1" t="str" cm="1">
        <f t="array" ref="F383">_xlfn.IFS(B383=TRUE,"High Risk",AND(Raw_Data!S383&gt;=3,Raw_Data!G383&gt;200),"High Risk",Raw_Data!S383&gt;=2,"Medium Risk",TRUE,"Low Risk")</f>
        <v>Low Risk</v>
      </c>
      <c r="G383" s="1" t="str">
        <f>IF(OR(Raw_Data!D383="Yes",Raw_Data!E383="Yes"),"Has Plan","No Special Plan")</f>
        <v>Has Plan</v>
      </c>
      <c r="H383" s="1" t="str">
        <f>IF(NOT(Raw_Data!S383&gt;=3),"Normal Service Contact","Frequent Service Contact")</f>
        <v>Normal Service Contact</v>
      </c>
      <c r="I383" s="1" t="str" cm="1">
        <f t="array" ref="I383">_xlfn.SWITCH(Raw_Data!D383,"Yes","International Customer","No","Domestic Plan","Unknown")</f>
        <v>Domestic Plan</v>
      </c>
      <c r="J383" s="1" t="str">
        <f>IF(ISERROR(Raw_Data!G383/0),"Error","Valid")</f>
        <v>Error</v>
      </c>
      <c r="K383" s="1" t="str">
        <f>IF(ISBLANK(Raw_Data!A383),"Missing","Available")</f>
        <v>Available</v>
      </c>
      <c r="L383" s="5" t="str">
        <f>IF(ISNUMBER(Raw_Data!G383),"Numeric","Not Numeric")</f>
        <v>Numeric</v>
      </c>
    </row>
    <row r="384" spans="1:12" x14ac:dyDescent="0.25">
      <c r="A384" s="4" t="str">
        <f>Raw_Data!A384</f>
        <v>TX</v>
      </c>
      <c r="B384" s="1" t="b">
        <f>Raw_Data!T384</f>
        <v>0</v>
      </c>
      <c r="C384" s="1" t="str">
        <f t="shared" si="5"/>
        <v>Retained</v>
      </c>
      <c r="D384" s="1" t="str">
        <f>IF(Raw_Data!S384=0,"Low Contact",IF(Raw_Data!S384&lt;=2,"Normal Contact","High Contact"))</f>
        <v>High Contact</v>
      </c>
      <c r="E384" s="1" t="str">
        <f>IF(AND(Raw_Data!G384&gt;200,Raw_Data!H384&gt;100),"High Usage","Normal Usage")</f>
        <v>High Usage</v>
      </c>
      <c r="F384" s="1" t="str" cm="1">
        <f t="array" ref="F384">_xlfn.IFS(B384=TRUE,"High Risk",AND(Raw_Data!S384&gt;=3,Raw_Data!G384&gt;200),"High Risk",Raw_Data!S384&gt;=2,"Medium Risk",TRUE,"Low Risk")</f>
        <v>High Risk</v>
      </c>
      <c r="G384" s="1" t="str">
        <f>IF(OR(Raw_Data!D384="Yes",Raw_Data!E384="Yes"),"Has Plan","No Special Plan")</f>
        <v>No Special Plan</v>
      </c>
      <c r="H384" s="1" t="str">
        <f>IF(NOT(Raw_Data!S384&gt;=3),"Normal Service Contact","Frequent Service Contact")</f>
        <v>Frequent Service Contact</v>
      </c>
      <c r="I384" s="1" t="str" cm="1">
        <f t="array" ref="I384">_xlfn.SWITCH(Raw_Data!D384,"Yes","International Customer","No","Domestic Plan","Unknown")</f>
        <v>Domestic Plan</v>
      </c>
      <c r="J384" s="1" t="str">
        <f>IF(ISERROR(Raw_Data!G384/0),"Error","Valid")</f>
        <v>Error</v>
      </c>
      <c r="K384" s="1" t="str">
        <f>IF(ISBLANK(Raw_Data!A384),"Missing","Available")</f>
        <v>Available</v>
      </c>
      <c r="L384" s="5" t="str">
        <f>IF(ISNUMBER(Raw_Data!G384),"Numeric","Not Numeric")</f>
        <v>Numeric</v>
      </c>
    </row>
    <row r="385" spans="1:12" x14ac:dyDescent="0.25">
      <c r="A385" s="4" t="str">
        <f>Raw_Data!A385</f>
        <v>DC</v>
      </c>
      <c r="B385" s="1" t="b">
        <f>Raw_Data!T385</f>
        <v>0</v>
      </c>
      <c r="C385" s="1" t="str">
        <f t="shared" si="5"/>
        <v>Retained</v>
      </c>
      <c r="D385" s="1" t="str">
        <f>IF(Raw_Data!S385=0,"Low Contact",IF(Raw_Data!S385&lt;=2,"Normal Contact","High Contact"))</f>
        <v>High Contact</v>
      </c>
      <c r="E385" s="1" t="str">
        <f>IF(AND(Raw_Data!G385&gt;200,Raw_Data!H385&gt;100),"High Usage","Normal Usage")</f>
        <v>Normal Usage</v>
      </c>
      <c r="F385" s="1" t="str" cm="1">
        <f t="array" ref="F385">_xlfn.IFS(B385=TRUE,"High Risk",AND(Raw_Data!S385&gt;=3,Raw_Data!G385&gt;200),"High Risk",Raw_Data!S385&gt;=2,"Medium Risk",TRUE,"Low Risk")</f>
        <v>Medium Risk</v>
      </c>
      <c r="G385" s="1" t="str">
        <f>IF(OR(Raw_Data!D385="Yes",Raw_Data!E385="Yes"),"Has Plan","No Special Plan")</f>
        <v>Has Plan</v>
      </c>
      <c r="H385" s="1" t="str">
        <f>IF(NOT(Raw_Data!S385&gt;=3),"Normal Service Contact","Frequent Service Contact")</f>
        <v>Frequent Service Contact</v>
      </c>
      <c r="I385" s="1" t="str" cm="1">
        <f t="array" ref="I385">_xlfn.SWITCH(Raw_Data!D385,"Yes","International Customer","No","Domestic Plan","Unknown")</f>
        <v>Domestic Plan</v>
      </c>
      <c r="J385" s="1" t="str">
        <f>IF(ISERROR(Raw_Data!G385/0),"Error","Valid")</f>
        <v>Error</v>
      </c>
      <c r="K385" s="1" t="str">
        <f>IF(ISBLANK(Raw_Data!A385),"Missing","Available")</f>
        <v>Available</v>
      </c>
      <c r="L385" s="5" t="str">
        <f>IF(ISNUMBER(Raw_Data!G385),"Numeric","Not Numeric")</f>
        <v>Numeric</v>
      </c>
    </row>
    <row r="386" spans="1:12" x14ac:dyDescent="0.25">
      <c r="A386" s="4" t="str">
        <f>Raw_Data!A386</f>
        <v>OR</v>
      </c>
      <c r="B386" s="1" t="b">
        <f>Raw_Data!T386</f>
        <v>0</v>
      </c>
      <c r="C386" s="1" t="str">
        <f t="shared" si="5"/>
        <v>Retained</v>
      </c>
      <c r="D386" s="1" t="str">
        <f>IF(Raw_Data!S386=0,"Low Contact",IF(Raw_Data!S386&lt;=2,"Normal Contact","High Contact"))</f>
        <v>Normal Contact</v>
      </c>
      <c r="E386" s="1" t="str">
        <f>IF(AND(Raw_Data!G386&gt;200,Raw_Data!H386&gt;100),"High Usage","Normal Usage")</f>
        <v>High Usage</v>
      </c>
      <c r="F386" s="1" t="str" cm="1">
        <f t="array" ref="F386">_xlfn.IFS(B386=TRUE,"High Risk",AND(Raw_Data!S386&gt;=3,Raw_Data!G386&gt;200),"High Risk",Raw_Data!S386&gt;=2,"Medium Risk",TRUE,"Low Risk")</f>
        <v>Medium Risk</v>
      </c>
      <c r="G386" s="1" t="str">
        <f>IF(OR(Raw_Data!D386="Yes",Raw_Data!E386="Yes"),"Has Plan","No Special Plan")</f>
        <v>Has Plan</v>
      </c>
      <c r="H386" s="1" t="str">
        <f>IF(NOT(Raw_Data!S386&gt;=3),"Normal Service Contact","Frequent Service Contact")</f>
        <v>Normal Service Contact</v>
      </c>
      <c r="I386" s="1" t="str" cm="1">
        <f t="array" ref="I386">_xlfn.SWITCH(Raw_Data!D386,"Yes","International Customer","No","Domestic Plan","Unknown")</f>
        <v>Domestic Plan</v>
      </c>
      <c r="J386" s="1" t="str">
        <f>IF(ISERROR(Raw_Data!G386/0),"Error","Valid")</f>
        <v>Error</v>
      </c>
      <c r="K386" s="1" t="str">
        <f>IF(ISBLANK(Raw_Data!A386),"Missing","Available")</f>
        <v>Available</v>
      </c>
      <c r="L386" s="5" t="str">
        <f>IF(ISNUMBER(Raw_Data!G386),"Numeric","Not Numeric")</f>
        <v>Numeric</v>
      </c>
    </row>
    <row r="387" spans="1:12" x14ac:dyDescent="0.25">
      <c r="A387" s="4" t="str">
        <f>Raw_Data!A387</f>
        <v>WA</v>
      </c>
      <c r="B387" s="1" t="b">
        <f>Raw_Data!T387</f>
        <v>1</v>
      </c>
      <c r="C387" s="1" t="str">
        <f t="shared" ref="C387:C450" si="6">IF(B387=TRUE,"Churned","Retained")</f>
        <v>Churned</v>
      </c>
      <c r="D387" s="1" t="str">
        <f>IF(Raw_Data!S387=0,"Low Contact",IF(Raw_Data!S387&lt;=2,"Normal Contact","High Contact"))</f>
        <v>Low Contact</v>
      </c>
      <c r="E387" s="1" t="str">
        <f>IF(AND(Raw_Data!G387&gt;200,Raw_Data!H387&gt;100),"High Usage","Normal Usage")</f>
        <v>Normal Usage</v>
      </c>
      <c r="F387" s="1" t="str" cm="1">
        <f t="array" ref="F387">_xlfn.IFS(B387=TRUE,"High Risk",AND(Raw_Data!S387&gt;=3,Raw_Data!G387&gt;200),"High Risk",Raw_Data!S387&gt;=2,"Medium Risk",TRUE,"Low Risk")</f>
        <v>High Risk</v>
      </c>
      <c r="G387" s="1" t="str">
        <f>IF(OR(Raw_Data!D387="Yes",Raw_Data!E387="Yes"),"Has Plan","No Special Plan")</f>
        <v>No Special Plan</v>
      </c>
      <c r="H387" s="1" t="str">
        <f>IF(NOT(Raw_Data!S387&gt;=3),"Normal Service Contact","Frequent Service Contact")</f>
        <v>Normal Service Contact</v>
      </c>
      <c r="I387" s="1" t="str" cm="1">
        <f t="array" ref="I387">_xlfn.SWITCH(Raw_Data!D387,"Yes","International Customer","No","Domestic Plan","Unknown")</f>
        <v>Domestic Plan</v>
      </c>
      <c r="J387" s="1" t="str">
        <f>IF(ISERROR(Raw_Data!G387/0),"Error","Valid")</f>
        <v>Error</v>
      </c>
      <c r="K387" s="1" t="str">
        <f>IF(ISBLANK(Raw_Data!A387),"Missing","Available")</f>
        <v>Available</v>
      </c>
      <c r="L387" s="5" t="str">
        <f>IF(ISNUMBER(Raw_Data!G387),"Numeric","Not Numeric")</f>
        <v>Numeric</v>
      </c>
    </row>
    <row r="388" spans="1:12" x14ac:dyDescent="0.25">
      <c r="A388" s="4" t="str">
        <f>Raw_Data!A388</f>
        <v>NC</v>
      </c>
      <c r="B388" s="1" t="b">
        <f>Raw_Data!T388</f>
        <v>1</v>
      </c>
      <c r="C388" s="1" t="str">
        <f t="shared" si="6"/>
        <v>Churned</v>
      </c>
      <c r="D388" s="1" t="str">
        <f>IF(Raw_Data!S388=0,"Low Contact",IF(Raw_Data!S388&lt;=2,"Normal Contact","High Contact"))</f>
        <v>Normal Contact</v>
      </c>
      <c r="E388" s="1" t="str">
        <f>IF(AND(Raw_Data!G388&gt;200,Raw_Data!H388&gt;100),"High Usage","Normal Usage")</f>
        <v>Normal Usage</v>
      </c>
      <c r="F388" s="1" t="str" cm="1">
        <f t="array" ref="F388">_xlfn.IFS(B388=TRUE,"High Risk",AND(Raw_Data!S388&gt;=3,Raw_Data!G388&gt;200),"High Risk",Raw_Data!S388&gt;=2,"Medium Risk",TRUE,"Low Risk")</f>
        <v>High Risk</v>
      </c>
      <c r="G388" s="1" t="str">
        <f>IF(OR(Raw_Data!D388="Yes",Raw_Data!E388="Yes"),"Has Plan","No Special Plan")</f>
        <v>Has Plan</v>
      </c>
      <c r="H388" s="1" t="str">
        <f>IF(NOT(Raw_Data!S388&gt;=3),"Normal Service Contact","Frequent Service Contact")</f>
        <v>Normal Service Contact</v>
      </c>
      <c r="I388" s="1" t="str" cm="1">
        <f t="array" ref="I388">_xlfn.SWITCH(Raw_Data!D388,"Yes","International Customer","No","Domestic Plan","Unknown")</f>
        <v>Domestic Plan</v>
      </c>
      <c r="J388" s="1" t="str">
        <f>IF(ISERROR(Raw_Data!G388/0),"Error","Valid")</f>
        <v>Error</v>
      </c>
      <c r="K388" s="1" t="str">
        <f>IF(ISBLANK(Raw_Data!A388),"Missing","Available")</f>
        <v>Available</v>
      </c>
      <c r="L388" s="5" t="str">
        <f>IF(ISNUMBER(Raw_Data!G388),"Numeric","Not Numeric")</f>
        <v>Numeric</v>
      </c>
    </row>
    <row r="389" spans="1:12" x14ac:dyDescent="0.25">
      <c r="A389" s="4" t="str">
        <f>Raw_Data!A389</f>
        <v>TX</v>
      </c>
      <c r="B389" s="1" t="b">
        <f>Raw_Data!T389</f>
        <v>1</v>
      </c>
      <c r="C389" s="1" t="str">
        <f t="shared" si="6"/>
        <v>Churned</v>
      </c>
      <c r="D389" s="1" t="str">
        <f>IF(Raw_Data!S389=0,"Low Contact",IF(Raw_Data!S389&lt;=2,"Normal Contact","High Contact"))</f>
        <v>Normal Contact</v>
      </c>
      <c r="E389" s="1" t="str">
        <f>IF(AND(Raw_Data!G389&gt;200,Raw_Data!H389&gt;100),"High Usage","Normal Usage")</f>
        <v>Normal Usage</v>
      </c>
      <c r="F389" s="1" t="str" cm="1">
        <f t="array" ref="F389">_xlfn.IFS(B389=TRUE,"High Risk",AND(Raw_Data!S389&gt;=3,Raw_Data!G389&gt;200),"High Risk",Raw_Data!S389&gt;=2,"Medium Risk",TRUE,"Low Risk")</f>
        <v>High Risk</v>
      </c>
      <c r="G389" s="1" t="str">
        <f>IF(OR(Raw_Data!D389="Yes",Raw_Data!E389="Yes"),"Has Plan","No Special Plan")</f>
        <v>No Special Plan</v>
      </c>
      <c r="H389" s="1" t="str">
        <f>IF(NOT(Raw_Data!S389&gt;=3),"Normal Service Contact","Frequent Service Contact")</f>
        <v>Normal Service Contact</v>
      </c>
      <c r="I389" s="1" t="str" cm="1">
        <f t="array" ref="I389">_xlfn.SWITCH(Raw_Data!D389,"Yes","International Customer","No","Domestic Plan","Unknown")</f>
        <v>Domestic Plan</v>
      </c>
      <c r="J389" s="1" t="str">
        <f>IF(ISERROR(Raw_Data!G389/0),"Error","Valid")</f>
        <v>Error</v>
      </c>
      <c r="K389" s="1" t="str">
        <f>IF(ISBLANK(Raw_Data!A389),"Missing","Available")</f>
        <v>Available</v>
      </c>
      <c r="L389" s="5" t="str">
        <f>IF(ISNUMBER(Raw_Data!G389),"Numeric","Not Numeric")</f>
        <v>Numeric</v>
      </c>
    </row>
    <row r="390" spans="1:12" x14ac:dyDescent="0.25">
      <c r="A390" s="4" t="str">
        <f>Raw_Data!A390</f>
        <v>WI</v>
      </c>
      <c r="B390" s="1" t="b">
        <f>Raw_Data!T390</f>
        <v>0</v>
      </c>
      <c r="C390" s="1" t="str">
        <f t="shared" si="6"/>
        <v>Retained</v>
      </c>
      <c r="D390" s="1" t="str">
        <f>IF(Raw_Data!S390=0,"Low Contact",IF(Raw_Data!S390&lt;=2,"Normal Contact","High Contact"))</f>
        <v>Normal Contact</v>
      </c>
      <c r="E390" s="1" t="str">
        <f>IF(AND(Raw_Data!G390&gt;200,Raw_Data!H390&gt;100),"High Usage","Normal Usage")</f>
        <v>Normal Usage</v>
      </c>
      <c r="F390" s="1" t="str" cm="1">
        <f t="array" ref="F390">_xlfn.IFS(B390=TRUE,"High Risk",AND(Raw_Data!S390&gt;=3,Raw_Data!G390&gt;200),"High Risk",Raw_Data!S390&gt;=2,"Medium Risk",TRUE,"Low Risk")</f>
        <v>Low Risk</v>
      </c>
      <c r="G390" s="1" t="str">
        <f>IF(OR(Raw_Data!D390="Yes",Raw_Data!E390="Yes"),"Has Plan","No Special Plan")</f>
        <v>Has Plan</v>
      </c>
      <c r="H390" s="1" t="str">
        <f>IF(NOT(Raw_Data!S390&gt;=3),"Normal Service Contact","Frequent Service Contact")</f>
        <v>Normal Service Contact</v>
      </c>
      <c r="I390" s="1" t="str" cm="1">
        <f t="array" ref="I390">_xlfn.SWITCH(Raw_Data!D390,"Yes","International Customer","No","Domestic Plan","Unknown")</f>
        <v>Domestic Plan</v>
      </c>
      <c r="J390" s="1" t="str">
        <f>IF(ISERROR(Raw_Data!G390/0),"Error","Valid")</f>
        <v>Error</v>
      </c>
      <c r="K390" s="1" t="str">
        <f>IF(ISBLANK(Raw_Data!A390),"Missing","Available")</f>
        <v>Available</v>
      </c>
      <c r="L390" s="5" t="str">
        <f>IF(ISNUMBER(Raw_Data!G390),"Numeric","Not Numeric")</f>
        <v>Numeric</v>
      </c>
    </row>
    <row r="391" spans="1:12" x14ac:dyDescent="0.25">
      <c r="A391" s="4" t="str">
        <f>Raw_Data!A391</f>
        <v>SC</v>
      </c>
      <c r="B391" s="1" t="b">
        <f>Raw_Data!T391</f>
        <v>0</v>
      </c>
      <c r="C391" s="1" t="str">
        <f t="shared" si="6"/>
        <v>Retained</v>
      </c>
      <c r="D391" s="1" t="str">
        <f>IF(Raw_Data!S391=0,"Low Contact",IF(Raw_Data!S391&lt;=2,"Normal Contact","High Contact"))</f>
        <v>Normal Contact</v>
      </c>
      <c r="E391" s="1" t="str">
        <f>IF(AND(Raw_Data!G391&gt;200,Raw_Data!H391&gt;100),"High Usage","Normal Usage")</f>
        <v>Normal Usage</v>
      </c>
      <c r="F391" s="1" t="str" cm="1">
        <f t="array" ref="F391">_xlfn.IFS(B391=TRUE,"High Risk",AND(Raw_Data!S391&gt;=3,Raw_Data!G391&gt;200),"High Risk",Raw_Data!S391&gt;=2,"Medium Risk",TRUE,"Low Risk")</f>
        <v>Low Risk</v>
      </c>
      <c r="G391" s="1" t="str">
        <f>IF(OR(Raw_Data!D391="Yes",Raw_Data!E391="Yes"),"Has Plan","No Special Plan")</f>
        <v>Has Plan</v>
      </c>
      <c r="H391" s="1" t="str">
        <f>IF(NOT(Raw_Data!S391&gt;=3),"Normal Service Contact","Frequent Service Contact")</f>
        <v>Normal Service Contact</v>
      </c>
      <c r="I391" s="1" t="str" cm="1">
        <f t="array" ref="I391">_xlfn.SWITCH(Raw_Data!D391,"Yes","International Customer","No","Domestic Plan","Unknown")</f>
        <v>Domestic Plan</v>
      </c>
      <c r="J391" s="1" t="str">
        <f>IF(ISERROR(Raw_Data!G391/0),"Error","Valid")</f>
        <v>Error</v>
      </c>
      <c r="K391" s="1" t="str">
        <f>IF(ISBLANK(Raw_Data!A391),"Missing","Available")</f>
        <v>Available</v>
      </c>
      <c r="L391" s="5" t="str">
        <f>IF(ISNUMBER(Raw_Data!G391),"Numeric","Not Numeric")</f>
        <v>Numeric</v>
      </c>
    </row>
    <row r="392" spans="1:12" x14ac:dyDescent="0.25">
      <c r="A392" s="4" t="str">
        <f>Raw_Data!A392</f>
        <v>SD</v>
      </c>
      <c r="B392" s="1" t="b">
        <f>Raw_Data!T392</f>
        <v>1</v>
      </c>
      <c r="C392" s="1" t="str">
        <f t="shared" si="6"/>
        <v>Churned</v>
      </c>
      <c r="D392" s="1" t="str">
        <f>IF(Raw_Data!S392=0,"Low Contact",IF(Raw_Data!S392&lt;=2,"Normal Contact","High Contact"))</f>
        <v>Normal Contact</v>
      </c>
      <c r="E392" s="1" t="str">
        <f>IF(AND(Raw_Data!G392&gt;200,Raw_Data!H392&gt;100),"High Usage","Normal Usage")</f>
        <v>Normal Usage</v>
      </c>
      <c r="F392" s="1" t="str" cm="1">
        <f t="array" ref="F392">_xlfn.IFS(B392=TRUE,"High Risk",AND(Raw_Data!S392&gt;=3,Raw_Data!G392&gt;200),"High Risk",Raw_Data!S392&gt;=2,"Medium Risk",TRUE,"Low Risk")</f>
        <v>High Risk</v>
      </c>
      <c r="G392" s="1" t="str">
        <f>IF(OR(Raw_Data!D392="Yes",Raw_Data!E392="Yes"),"Has Plan","No Special Plan")</f>
        <v>No Special Plan</v>
      </c>
      <c r="H392" s="1" t="str">
        <f>IF(NOT(Raw_Data!S392&gt;=3),"Normal Service Contact","Frequent Service Contact")</f>
        <v>Normal Service Contact</v>
      </c>
      <c r="I392" s="1" t="str" cm="1">
        <f t="array" ref="I392">_xlfn.SWITCH(Raw_Data!D392,"Yes","International Customer","No","Domestic Plan","Unknown")</f>
        <v>Domestic Plan</v>
      </c>
      <c r="J392" s="1" t="str">
        <f>IF(ISERROR(Raw_Data!G392/0),"Error","Valid")</f>
        <v>Error</v>
      </c>
      <c r="K392" s="1" t="str">
        <f>IF(ISBLANK(Raw_Data!A392),"Missing","Available")</f>
        <v>Available</v>
      </c>
      <c r="L392" s="5" t="str">
        <f>IF(ISNUMBER(Raw_Data!G392),"Numeric","Not Numeric")</f>
        <v>Numeric</v>
      </c>
    </row>
    <row r="393" spans="1:12" x14ac:dyDescent="0.25">
      <c r="A393" s="4" t="str">
        <f>Raw_Data!A393</f>
        <v>OH</v>
      </c>
      <c r="B393" s="1" t="b">
        <f>Raw_Data!T393</f>
        <v>0</v>
      </c>
      <c r="C393" s="1" t="str">
        <f t="shared" si="6"/>
        <v>Retained</v>
      </c>
      <c r="D393" s="1" t="str">
        <f>IF(Raw_Data!S393=0,"Low Contact",IF(Raw_Data!S393&lt;=2,"Normal Contact","High Contact"))</f>
        <v>High Contact</v>
      </c>
      <c r="E393" s="1" t="str">
        <f>IF(AND(Raw_Data!G393&gt;200,Raw_Data!H393&gt;100),"High Usage","Normal Usage")</f>
        <v>High Usage</v>
      </c>
      <c r="F393" s="1" t="str" cm="1">
        <f t="array" ref="F393">_xlfn.IFS(B393=TRUE,"High Risk",AND(Raw_Data!S393&gt;=3,Raw_Data!G393&gt;200),"High Risk",Raw_Data!S393&gt;=2,"Medium Risk",TRUE,"Low Risk")</f>
        <v>High Risk</v>
      </c>
      <c r="G393" s="1" t="str">
        <f>IF(OR(Raw_Data!D393="Yes",Raw_Data!E393="Yes"),"Has Plan","No Special Plan")</f>
        <v>No Special Plan</v>
      </c>
      <c r="H393" s="1" t="str">
        <f>IF(NOT(Raw_Data!S393&gt;=3),"Normal Service Contact","Frequent Service Contact")</f>
        <v>Frequent Service Contact</v>
      </c>
      <c r="I393" s="1" t="str" cm="1">
        <f t="array" ref="I393">_xlfn.SWITCH(Raw_Data!D393,"Yes","International Customer","No","Domestic Plan","Unknown")</f>
        <v>Domestic Plan</v>
      </c>
      <c r="J393" s="1" t="str">
        <f>IF(ISERROR(Raw_Data!G393/0),"Error","Valid")</f>
        <v>Error</v>
      </c>
      <c r="K393" s="1" t="str">
        <f>IF(ISBLANK(Raw_Data!A393),"Missing","Available")</f>
        <v>Available</v>
      </c>
      <c r="L393" s="5" t="str">
        <f>IF(ISNUMBER(Raw_Data!G393),"Numeric","Not Numeric")</f>
        <v>Numeric</v>
      </c>
    </row>
    <row r="394" spans="1:12" x14ac:dyDescent="0.25">
      <c r="A394" s="4" t="str">
        <f>Raw_Data!A394</f>
        <v>HI</v>
      </c>
      <c r="B394" s="1" t="b">
        <f>Raw_Data!T394</f>
        <v>0</v>
      </c>
      <c r="C394" s="1" t="str">
        <f t="shared" si="6"/>
        <v>Retained</v>
      </c>
      <c r="D394" s="1" t="str">
        <f>IF(Raw_Data!S394=0,"Low Contact",IF(Raw_Data!S394&lt;=2,"Normal Contact","High Contact"))</f>
        <v>Low Contact</v>
      </c>
      <c r="E394" s="1" t="str">
        <f>IF(AND(Raw_Data!G394&gt;200,Raw_Data!H394&gt;100),"High Usage","Normal Usage")</f>
        <v>Normal Usage</v>
      </c>
      <c r="F394" s="1" t="str" cm="1">
        <f t="array" ref="F394">_xlfn.IFS(B394=TRUE,"High Risk",AND(Raw_Data!S394&gt;=3,Raw_Data!G394&gt;200),"High Risk",Raw_Data!S394&gt;=2,"Medium Risk",TRUE,"Low Risk")</f>
        <v>Low Risk</v>
      </c>
      <c r="G394" s="1" t="str">
        <f>IF(OR(Raw_Data!D394="Yes",Raw_Data!E394="Yes"),"Has Plan","No Special Plan")</f>
        <v>Has Plan</v>
      </c>
      <c r="H394" s="1" t="str">
        <f>IF(NOT(Raw_Data!S394&gt;=3),"Normal Service Contact","Frequent Service Contact")</f>
        <v>Normal Service Contact</v>
      </c>
      <c r="I394" s="1" t="str" cm="1">
        <f t="array" ref="I394">_xlfn.SWITCH(Raw_Data!D394,"Yes","International Customer","No","Domestic Plan","Unknown")</f>
        <v>Domestic Plan</v>
      </c>
      <c r="J394" s="1" t="str">
        <f>IF(ISERROR(Raw_Data!G394/0),"Error","Valid")</f>
        <v>Error</v>
      </c>
      <c r="K394" s="1" t="str">
        <f>IF(ISBLANK(Raw_Data!A394),"Missing","Available")</f>
        <v>Available</v>
      </c>
      <c r="L394" s="5" t="str">
        <f>IF(ISNUMBER(Raw_Data!G394),"Numeric","Not Numeric")</f>
        <v>Numeric</v>
      </c>
    </row>
    <row r="395" spans="1:12" x14ac:dyDescent="0.25">
      <c r="A395" s="4" t="str">
        <f>Raw_Data!A395</f>
        <v>KY</v>
      </c>
      <c r="B395" s="1" t="b">
        <f>Raw_Data!T395</f>
        <v>0</v>
      </c>
      <c r="C395" s="1" t="str">
        <f t="shared" si="6"/>
        <v>Retained</v>
      </c>
      <c r="D395" s="1" t="str">
        <f>IF(Raw_Data!S395=0,"Low Contact",IF(Raw_Data!S395&lt;=2,"Normal Contact","High Contact"))</f>
        <v>Normal Contact</v>
      </c>
      <c r="E395" s="1" t="str">
        <f>IF(AND(Raw_Data!G395&gt;200,Raw_Data!H395&gt;100),"High Usage","Normal Usage")</f>
        <v>Normal Usage</v>
      </c>
      <c r="F395" s="1" t="str" cm="1">
        <f t="array" ref="F395">_xlfn.IFS(B395=TRUE,"High Risk",AND(Raw_Data!S395&gt;=3,Raw_Data!G395&gt;200),"High Risk",Raw_Data!S395&gt;=2,"Medium Risk",TRUE,"Low Risk")</f>
        <v>Low Risk</v>
      </c>
      <c r="G395" s="1" t="str">
        <f>IF(OR(Raw_Data!D395="Yes",Raw_Data!E395="Yes"),"Has Plan","No Special Plan")</f>
        <v>No Special Plan</v>
      </c>
      <c r="H395" s="1" t="str">
        <f>IF(NOT(Raw_Data!S395&gt;=3),"Normal Service Contact","Frequent Service Contact")</f>
        <v>Normal Service Contact</v>
      </c>
      <c r="I395" s="1" t="str" cm="1">
        <f t="array" ref="I395">_xlfn.SWITCH(Raw_Data!D395,"Yes","International Customer","No","Domestic Plan","Unknown")</f>
        <v>Domestic Plan</v>
      </c>
      <c r="J395" s="1" t="str">
        <f>IF(ISERROR(Raw_Data!G395/0),"Error","Valid")</f>
        <v>Error</v>
      </c>
      <c r="K395" s="1" t="str">
        <f>IF(ISBLANK(Raw_Data!A395),"Missing","Available")</f>
        <v>Available</v>
      </c>
      <c r="L395" s="5" t="str">
        <f>IF(ISNUMBER(Raw_Data!G395),"Numeric","Not Numeric")</f>
        <v>Numeric</v>
      </c>
    </row>
    <row r="396" spans="1:12" x14ac:dyDescent="0.25">
      <c r="A396" s="4" t="str">
        <f>Raw_Data!A396</f>
        <v>OH</v>
      </c>
      <c r="B396" s="1" t="b">
        <f>Raw_Data!T396</f>
        <v>0</v>
      </c>
      <c r="C396" s="1" t="str">
        <f t="shared" si="6"/>
        <v>Retained</v>
      </c>
      <c r="D396" s="1" t="str">
        <f>IF(Raw_Data!S396=0,"Low Contact",IF(Raw_Data!S396&lt;=2,"Normal Contact","High Contact"))</f>
        <v>Normal Contact</v>
      </c>
      <c r="E396" s="1" t="str">
        <f>IF(AND(Raw_Data!G396&gt;200,Raw_Data!H396&gt;100),"High Usage","Normal Usage")</f>
        <v>Normal Usage</v>
      </c>
      <c r="F396" s="1" t="str" cm="1">
        <f t="array" ref="F396">_xlfn.IFS(B396=TRUE,"High Risk",AND(Raw_Data!S396&gt;=3,Raw_Data!G396&gt;200),"High Risk",Raw_Data!S396&gt;=2,"Medium Risk",TRUE,"Low Risk")</f>
        <v>Low Risk</v>
      </c>
      <c r="G396" s="1" t="str">
        <f>IF(OR(Raw_Data!D396="Yes",Raw_Data!E396="Yes"),"Has Plan","No Special Plan")</f>
        <v>Has Plan</v>
      </c>
      <c r="H396" s="1" t="str">
        <f>IF(NOT(Raw_Data!S396&gt;=3),"Normal Service Contact","Frequent Service Contact")</f>
        <v>Normal Service Contact</v>
      </c>
      <c r="I396" s="1" t="str" cm="1">
        <f t="array" ref="I396">_xlfn.SWITCH(Raw_Data!D396,"Yes","International Customer","No","Domestic Plan","Unknown")</f>
        <v>Domestic Plan</v>
      </c>
      <c r="J396" s="1" t="str">
        <f>IF(ISERROR(Raw_Data!G396/0),"Error","Valid")</f>
        <v>Error</v>
      </c>
      <c r="K396" s="1" t="str">
        <f>IF(ISBLANK(Raw_Data!A396),"Missing","Available")</f>
        <v>Available</v>
      </c>
      <c r="L396" s="5" t="str">
        <f>IF(ISNUMBER(Raw_Data!G396),"Numeric","Not Numeric")</f>
        <v>Numeric</v>
      </c>
    </row>
    <row r="397" spans="1:12" x14ac:dyDescent="0.25">
      <c r="A397" s="4" t="str">
        <f>Raw_Data!A397</f>
        <v>AL</v>
      </c>
      <c r="B397" s="1" t="b">
        <f>Raw_Data!T397</f>
        <v>0</v>
      </c>
      <c r="C397" s="1" t="str">
        <f t="shared" si="6"/>
        <v>Retained</v>
      </c>
      <c r="D397" s="1" t="str">
        <f>IF(Raw_Data!S397=0,"Low Contact",IF(Raw_Data!S397&lt;=2,"Normal Contact","High Contact"))</f>
        <v>Normal Contact</v>
      </c>
      <c r="E397" s="1" t="str">
        <f>IF(AND(Raw_Data!G397&gt;200,Raw_Data!H397&gt;100),"High Usage","Normal Usage")</f>
        <v>Normal Usage</v>
      </c>
      <c r="F397" s="1" t="str" cm="1">
        <f t="array" ref="F397">_xlfn.IFS(B397=TRUE,"High Risk",AND(Raw_Data!S397&gt;=3,Raw_Data!G397&gt;200),"High Risk",Raw_Data!S397&gt;=2,"Medium Risk",TRUE,"Low Risk")</f>
        <v>Low Risk</v>
      </c>
      <c r="G397" s="1" t="str">
        <f>IF(OR(Raw_Data!D397="Yes",Raw_Data!E397="Yes"),"Has Plan","No Special Plan")</f>
        <v>No Special Plan</v>
      </c>
      <c r="H397" s="1" t="str">
        <f>IF(NOT(Raw_Data!S397&gt;=3),"Normal Service Contact","Frequent Service Contact")</f>
        <v>Normal Service Contact</v>
      </c>
      <c r="I397" s="1" t="str" cm="1">
        <f t="array" ref="I397">_xlfn.SWITCH(Raw_Data!D397,"Yes","International Customer","No","Domestic Plan","Unknown")</f>
        <v>Domestic Plan</v>
      </c>
      <c r="J397" s="1" t="str">
        <f>IF(ISERROR(Raw_Data!G397/0),"Error","Valid")</f>
        <v>Error</v>
      </c>
      <c r="K397" s="1" t="str">
        <f>IF(ISBLANK(Raw_Data!A397),"Missing","Available")</f>
        <v>Available</v>
      </c>
      <c r="L397" s="5" t="str">
        <f>IF(ISNUMBER(Raw_Data!G397),"Numeric","Not Numeric")</f>
        <v>Numeric</v>
      </c>
    </row>
    <row r="398" spans="1:12" x14ac:dyDescent="0.25">
      <c r="A398" s="4" t="str">
        <f>Raw_Data!A398</f>
        <v>VT</v>
      </c>
      <c r="B398" s="1" t="b">
        <f>Raw_Data!T398</f>
        <v>0</v>
      </c>
      <c r="C398" s="1" t="str">
        <f t="shared" si="6"/>
        <v>Retained</v>
      </c>
      <c r="D398" s="1" t="str">
        <f>IF(Raw_Data!S398=0,"Low Contact",IF(Raw_Data!S398&lt;=2,"Normal Contact","High Contact"))</f>
        <v>Low Contact</v>
      </c>
      <c r="E398" s="1" t="str">
        <f>IF(AND(Raw_Data!G398&gt;200,Raw_Data!H398&gt;100),"High Usage","Normal Usage")</f>
        <v>High Usage</v>
      </c>
      <c r="F398" s="1" t="str" cm="1">
        <f t="array" ref="F398">_xlfn.IFS(B398=TRUE,"High Risk",AND(Raw_Data!S398&gt;=3,Raw_Data!G398&gt;200),"High Risk",Raw_Data!S398&gt;=2,"Medium Risk",TRUE,"Low Risk")</f>
        <v>Low Risk</v>
      </c>
      <c r="G398" s="1" t="str">
        <f>IF(OR(Raw_Data!D398="Yes",Raw_Data!E398="Yes"),"Has Plan","No Special Plan")</f>
        <v>Has Plan</v>
      </c>
      <c r="H398" s="1" t="str">
        <f>IF(NOT(Raw_Data!S398&gt;=3),"Normal Service Contact","Frequent Service Contact")</f>
        <v>Normal Service Contact</v>
      </c>
      <c r="I398" s="1" t="str" cm="1">
        <f t="array" ref="I398">_xlfn.SWITCH(Raw_Data!D398,"Yes","International Customer","No","Domestic Plan","Unknown")</f>
        <v>Domestic Plan</v>
      </c>
      <c r="J398" s="1" t="str">
        <f>IF(ISERROR(Raw_Data!G398/0),"Error","Valid")</f>
        <v>Error</v>
      </c>
      <c r="K398" s="1" t="str">
        <f>IF(ISBLANK(Raw_Data!A398),"Missing","Available")</f>
        <v>Available</v>
      </c>
      <c r="L398" s="5" t="str">
        <f>IF(ISNUMBER(Raw_Data!G398),"Numeric","Not Numeric")</f>
        <v>Numeric</v>
      </c>
    </row>
    <row r="399" spans="1:12" x14ac:dyDescent="0.25">
      <c r="A399" s="4" t="str">
        <f>Raw_Data!A399</f>
        <v>ND</v>
      </c>
      <c r="B399" s="1" t="b">
        <f>Raw_Data!T399</f>
        <v>0</v>
      </c>
      <c r="C399" s="1" t="str">
        <f t="shared" si="6"/>
        <v>Retained</v>
      </c>
      <c r="D399" s="1" t="str">
        <f>IF(Raw_Data!S399=0,"Low Contact",IF(Raw_Data!S399&lt;=2,"Normal Contact","High Contact"))</f>
        <v>Normal Contact</v>
      </c>
      <c r="E399" s="1" t="str">
        <f>IF(AND(Raw_Data!G399&gt;200,Raw_Data!H399&gt;100),"High Usage","Normal Usage")</f>
        <v>Normal Usage</v>
      </c>
      <c r="F399" s="1" t="str" cm="1">
        <f t="array" ref="F399">_xlfn.IFS(B399=TRUE,"High Risk",AND(Raw_Data!S399&gt;=3,Raw_Data!G399&gt;200),"High Risk",Raw_Data!S399&gt;=2,"Medium Risk",TRUE,"Low Risk")</f>
        <v>Low Risk</v>
      </c>
      <c r="G399" s="1" t="str">
        <f>IF(OR(Raw_Data!D399="Yes",Raw_Data!E399="Yes"),"Has Plan","No Special Plan")</f>
        <v>No Special Plan</v>
      </c>
      <c r="H399" s="1" t="str">
        <f>IF(NOT(Raw_Data!S399&gt;=3),"Normal Service Contact","Frequent Service Contact")</f>
        <v>Normal Service Contact</v>
      </c>
      <c r="I399" s="1" t="str" cm="1">
        <f t="array" ref="I399">_xlfn.SWITCH(Raw_Data!D399,"Yes","International Customer","No","Domestic Plan","Unknown")</f>
        <v>Domestic Plan</v>
      </c>
      <c r="J399" s="1" t="str">
        <f>IF(ISERROR(Raw_Data!G399/0),"Error","Valid")</f>
        <v>Error</v>
      </c>
      <c r="K399" s="1" t="str">
        <f>IF(ISBLANK(Raw_Data!A399),"Missing","Available")</f>
        <v>Available</v>
      </c>
      <c r="L399" s="5" t="str">
        <f>IF(ISNUMBER(Raw_Data!G399),"Numeric","Not Numeric")</f>
        <v>Numeric</v>
      </c>
    </row>
    <row r="400" spans="1:12" x14ac:dyDescent="0.25">
      <c r="A400" s="4" t="str">
        <f>Raw_Data!A400</f>
        <v>WA</v>
      </c>
      <c r="B400" s="1" t="b">
        <f>Raw_Data!T400</f>
        <v>1</v>
      </c>
      <c r="C400" s="1" t="str">
        <f t="shared" si="6"/>
        <v>Churned</v>
      </c>
      <c r="D400" s="1" t="str">
        <f>IF(Raw_Data!S400=0,"Low Contact",IF(Raw_Data!S400&lt;=2,"Normal Contact","High Contact"))</f>
        <v>High Contact</v>
      </c>
      <c r="E400" s="1" t="str">
        <f>IF(AND(Raw_Data!G400&gt;200,Raw_Data!H400&gt;100),"High Usage","Normal Usage")</f>
        <v>Normal Usage</v>
      </c>
      <c r="F400" s="1" t="str" cm="1">
        <f t="array" ref="F400">_xlfn.IFS(B400=TRUE,"High Risk",AND(Raw_Data!S400&gt;=3,Raw_Data!G400&gt;200),"High Risk",Raw_Data!S400&gt;=2,"Medium Risk",TRUE,"Low Risk")</f>
        <v>High Risk</v>
      </c>
      <c r="G400" s="1" t="str">
        <f>IF(OR(Raw_Data!D400="Yes",Raw_Data!E400="Yes"),"Has Plan","No Special Plan")</f>
        <v>No Special Plan</v>
      </c>
      <c r="H400" s="1" t="str">
        <f>IF(NOT(Raw_Data!S400&gt;=3),"Normal Service Contact","Frequent Service Contact")</f>
        <v>Frequent Service Contact</v>
      </c>
      <c r="I400" s="1" t="str" cm="1">
        <f t="array" ref="I400">_xlfn.SWITCH(Raw_Data!D400,"Yes","International Customer","No","Domestic Plan","Unknown")</f>
        <v>Domestic Plan</v>
      </c>
      <c r="J400" s="1" t="str">
        <f>IF(ISERROR(Raw_Data!G400/0),"Error","Valid")</f>
        <v>Error</v>
      </c>
      <c r="K400" s="1" t="str">
        <f>IF(ISBLANK(Raw_Data!A400),"Missing","Available")</f>
        <v>Available</v>
      </c>
      <c r="L400" s="5" t="str">
        <f>IF(ISNUMBER(Raw_Data!G400),"Numeric","Not Numeric")</f>
        <v>Numeric</v>
      </c>
    </row>
    <row r="401" spans="1:12" x14ac:dyDescent="0.25">
      <c r="A401" s="4" t="str">
        <f>Raw_Data!A401</f>
        <v>CT</v>
      </c>
      <c r="B401" s="1" t="b">
        <f>Raw_Data!T401</f>
        <v>0</v>
      </c>
      <c r="C401" s="1" t="str">
        <f t="shared" si="6"/>
        <v>Retained</v>
      </c>
      <c r="D401" s="1" t="str">
        <f>IF(Raw_Data!S401=0,"Low Contact",IF(Raw_Data!S401&lt;=2,"Normal Contact","High Contact"))</f>
        <v>Normal Contact</v>
      </c>
      <c r="E401" s="1" t="str">
        <f>IF(AND(Raw_Data!G401&gt;200,Raw_Data!H401&gt;100),"High Usage","Normal Usage")</f>
        <v>Normal Usage</v>
      </c>
      <c r="F401" s="1" t="str" cm="1">
        <f t="array" ref="F401">_xlfn.IFS(B401=TRUE,"High Risk",AND(Raw_Data!S401&gt;=3,Raw_Data!G401&gt;200),"High Risk",Raw_Data!S401&gt;=2,"Medium Risk",TRUE,"Low Risk")</f>
        <v>Low Risk</v>
      </c>
      <c r="G401" s="1" t="str">
        <f>IF(OR(Raw_Data!D401="Yes",Raw_Data!E401="Yes"),"Has Plan","No Special Plan")</f>
        <v>No Special Plan</v>
      </c>
      <c r="H401" s="1" t="str">
        <f>IF(NOT(Raw_Data!S401&gt;=3),"Normal Service Contact","Frequent Service Contact")</f>
        <v>Normal Service Contact</v>
      </c>
      <c r="I401" s="1" t="str" cm="1">
        <f t="array" ref="I401">_xlfn.SWITCH(Raw_Data!D401,"Yes","International Customer","No","Domestic Plan","Unknown")</f>
        <v>Domestic Plan</v>
      </c>
      <c r="J401" s="1" t="str">
        <f>IF(ISERROR(Raw_Data!G401/0),"Error","Valid")</f>
        <v>Error</v>
      </c>
      <c r="K401" s="1" t="str">
        <f>IF(ISBLANK(Raw_Data!A401),"Missing","Available")</f>
        <v>Available</v>
      </c>
      <c r="L401" s="5" t="str">
        <f>IF(ISNUMBER(Raw_Data!G401),"Numeric","Not Numeric")</f>
        <v>Numeric</v>
      </c>
    </row>
    <row r="402" spans="1:12" x14ac:dyDescent="0.25">
      <c r="A402" s="4" t="str">
        <f>Raw_Data!A402</f>
        <v>DE</v>
      </c>
      <c r="B402" s="1" t="b">
        <f>Raw_Data!T402</f>
        <v>0</v>
      </c>
      <c r="C402" s="1" t="str">
        <f t="shared" si="6"/>
        <v>Retained</v>
      </c>
      <c r="D402" s="1" t="str">
        <f>IF(Raw_Data!S402=0,"Low Contact",IF(Raw_Data!S402&lt;=2,"Normal Contact","High Contact"))</f>
        <v>Normal Contact</v>
      </c>
      <c r="E402" s="1" t="str">
        <f>IF(AND(Raw_Data!G402&gt;200,Raw_Data!H402&gt;100),"High Usage","Normal Usage")</f>
        <v>Normal Usage</v>
      </c>
      <c r="F402" s="1" t="str" cm="1">
        <f t="array" ref="F402">_xlfn.IFS(B402=TRUE,"High Risk",AND(Raw_Data!S402&gt;=3,Raw_Data!G402&gt;200),"High Risk",Raw_Data!S402&gt;=2,"Medium Risk",TRUE,"Low Risk")</f>
        <v>Low Risk</v>
      </c>
      <c r="G402" s="1" t="str">
        <f>IF(OR(Raw_Data!D402="Yes",Raw_Data!E402="Yes"),"Has Plan","No Special Plan")</f>
        <v>Has Plan</v>
      </c>
      <c r="H402" s="1" t="str">
        <f>IF(NOT(Raw_Data!S402&gt;=3),"Normal Service Contact","Frequent Service Contact")</f>
        <v>Normal Service Contact</v>
      </c>
      <c r="I402" s="1" t="str" cm="1">
        <f t="array" ref="I402">_xlfn.SWITCH(Raw_Data!D402,"Yes","International Customer","No","Domestic Plan","Unknown")</f>
        <v>International Customer</v>
      </c>
      <c r="J402" s="1" t="str">
        <f>IF(ISERROR(Raw_Data!G402/0),"Error","Valid")</f>
        <v>Error</v>
      </c>
      <c r="K402" s="1" t="str">
        <f>IF(ISBLANK(Raw_Data!A402),"Missing","Available")</f>
        <v>Available</v>
      </c>
      <c r="L402" s="5" t="str">
        <f>IF(ISNUMBER(Raw_Data!G402),"Numeric","Not Numeric")</f>
        <v>Numeric</v>
      </c>
    </row>
    <row r="403" spans="1:12" x14ac:dyDescent="0.25">
      <c r="A403" s="4" t="str">
        <f>Raw_Data!A403</f>
        <v>HI</v>
      </c>
      <c r="B403" s="1" t="b">
        <f>Raw_Data!T403</f>
        <v>1</v>
      </c>
      <c r="C403" s="1" t="str">
        <f t="shared" si="6"/>
        <v>Churned</v>
      </c>
      <c r="D403" s="1" t="str">
        <f>IF(Raw_Data!S403=0,"Low Contact",IF(Raw_Data!S403&lt;=2,"Normal Contact","High Contact"))</f>
        <v>Low Contact</v>
      </c>
      <c r="E403" s="1" t="str">
        <f>IF(AND(Raw_Data!G403&gt;200,Raw_Data!H403&gt;100),"High Usage","Normal Usage")</f>
        <v>High Usage</v>
      </c>
      <c r="F403" s="1" t="str" cm="1">
        <f t="array" ref="F403">_xlfn.IFS(B403=TRUE,"High Risk",AND(Raw_Data!S403&gt;=3,Raw_Data!G403&gt;200),"High Risk",Raw_Data!S403&gt;=2,"Medium Risk",TRUE,"Low Risk")</f>
        <v>High Risk</v>
      </c>
      <c r="G403" s="1" t="str">
        <f>IF(OR(Raw_Data!D403="Yes",Raw_Data!E403="Yes"),"Has Plan","No Special Plan")</f>
        <v>No Special Plan</v>
      </c>
      <c r="H403" s="1" t="str">
        <f>IF(NOT(Raw_Data!S403&gt;=3),"Normal Service Contact","Frequent Service Contact")</f>
        <v>Normal Service Contact</v>
      </c>
      <c r="I403" s="1" t="str" cm="1">
        <f t="array" ref="I403">_xlfn.SWITCH(Raw_Data!D403,"Yes","International Customer","No","Domestic Plan","Unknown")</f>
        <v>Domestic Plan</v>
      </c>
      <c r="J403" s="1" t="str">
        <f>IF(ISERROR(Raw_Data!G403/0),"Error","Valid")</f>
        <v>Error</v>
      </c>
      <c r="K403" s="1" t="str">
        <f>IF(ISBLANK(Raw_Data!A403),"Missing","Available")</f>
        <v>Available</v>
      </c>
      <c r="L403" s="5" t="str">
        <f>IF(ISNUMBER(Raw_Data!G403),"Numeric","Not Numeric")</f>
        <v>Numeric</v>
      </c>
    </row>
    <row r="404" spans="1:12" x14ac:dyDescent="0.25">
      <c r="A404" s="4" t="str">
        <f>Raw_Data!A404</f>
        <v>MI</v>
      </c>
      <c r="B404" s="1" t="b">
        <f>Raw_Data!T404</f>
        <v>0</v>
      </c>
      <c r="C404" s="1" t="str">
        <f t="shared" si="6"/>
        <v>Retained</v>
      </c>
      <c r="D404" s="1" t="str">
        <f>IF(Raw_Data!S404=0,"Low Contact",IF(Raw_Data!S404&lt;=2,"Normal Contact","High Contact"))</f>
        <v>Normal Contact</v>
      </c>
      <c r="E404" s="1" t="str">
        <f>IF(AND(Raw_Data!G404&gt;200,Raw_Data!H404&gt;100),"High Usage","Normal Usage")</f>
        <v>Normal Usage</v>
      </c>
      <c r="F404" s="1" t="str" cm="1">
        <f t="array" ref="F404">_xlfn.IFS(B404=TRUE,"High Risk",AND(Raw_Data!S404&gt;=3,Raw_Data!G404&gt;200),"High Risk",Raw_Data!S404&gt;=2,"Medium Risk",TRUE,"Low Risk")</f>
        <v>Low Risk</v>
      </c>
      <c r="G404" s="1" t="str">
        <f>IF(OR(Raw_Data!D404="Yes",Raw_Data!E404="Yes"),"Has Plan","No Special Plan")</f>
        <v>Has Plan</v>
      </c>
      <c r="H404" s="1" t="str">
        <f>IF(NOT(Raw_Data!S404&gt;=3),"Normal Service Contact","Frequent Service Contact")</f>
        <v>Normal Service Contact</v>
      </c>
      <c r="I404" s="1" t="str" cm="1">
        <f t="array" ref="I404">_xlfn.SWITCH(Raw_Data!D404,"Yes","International Customer","No","Domestic Plan","Unknown")</f>
        <v>International Customer</v>
      </c>
      <c r="J404" s="1" t="str">
        <f>IF(ISERROR(Raw_Data!G404/0),"Error","Valid")</f>
        <v>Error</v>
      </c>
      <c r="K404" s="1" t="str">
        <f>IF(ISBLANK(Raw_Data!A404),"Missing","Available")</f>
        <v>Available</v>
      </c>
      <c r="L404" s="5" t="str">
        <f>IF(ISNUMBER(Raw_Data!G404),"Numeric","Not Numeric")</f>
        <v>Numeric</v>
      </c>
    </row>
    <row r="405" spans="1:12" x14ac:dyDescent="0.25">
      <c r="A405" s="4" t="str">
        <f>Raw_Data!A405</f>
        <v>ND</v>
      </c>
      <c r="B405" s="1" t="b">
        <f>Raw_Data!T405</f>
        <v>1</v>
      </c>
      <c r="C405" s="1" t="str">
        <f t="shared" si="6"/>
        <v>Churned</v>
      </c>
      <c r="D405" s="1" t="str">
        <f>IF(Raw_Data!S405=0,"Low Contact",IF(Raw_Data!S405&lt;=2,"Normal Contact","High Contact"))</f>
        <v>Low Contact</v>
      </c>
      <c r="E405" s="1" t="str">
        <f>IF(AND(Raw_Data!G405&gt;200,Raw_Data!H405&gt;100),"High Usage","Normal Usage")</f>
        <v>Normal Usage</v>
      </c>
      <c r="F405" s="1" t="str" cm="1">
        <f t="array" ref="F405">_xlfn.IFS(B405=TRUE,"High Risk",AND(Raw_Data!S405&gt;=3,Raw_Data!G405&gt;200),"High Risk",Raw_Data!S405&gt;=2,"Medium Risk",TRUE,"Low Risk")</f>
        <v>High Risk</v>
      </c>
      <c r="G405" s="1" t="str">
        <f>IF(OR(Raw_Data!D405="Yes",Raw_Data!E405="Yes"),"Has Plan","No Special Plan")</f>
        <v>No Special Plan</v>
      </c>
      <c r="H405" s="1" t="str">
        <f>IF(NOT(Raw_Data!S405&gt;=3),"Normal Service Contact","Frequent Service Contact")</f>
        <v>Normal Service Contact</v>
      </c>
      <c r="I405" s="1" t="str" cm="1">
        <f t="array" ref="I405">_xlfn.SWITCH(Raw_Data!D405,"Yes","International Customer","No","Domestic Plan","Unknown")</f>
        <v>Domestic Plan</v>
      </c>
      <c r="J405" s="1" t="str">
        <f>IF(ISERROR(Raw_Data!G405/0),"Error","Valid")</f>
        <v>Error</v>
      </c>
      <c r="K405" s="1" t="str">
        <f>IF(ISBLANK(Raw_Data!A405),"Missing","Available")</f>
        <v>Available</v>
      </c>
      <c r="L405" s="5" t="str">
        <f>IF(ISNUMBER(Raw_Data!G405),"Numeric","Not Numeric")</f>
        <v>Numeric</v>
      </c>
    </row>
    <row r="406" spans="1:12" x14ac:dyDescent="0.25">
      <c r="A406" s="4" t="str">
        <f>Raw_Data!A406</f>
        <v>NE</v>
      </c>
      <c r="B406" s="1" t="b">
        <f>Raw_Data!T406</f>
        <v>0</v>
      </c>
      <c r="C406" s="1" t="str">
        <f t="shared" si="6"/>
        <v>Retained</v>
      </c>
      <c r="D406" s="1" t="str">
        <f>IF(Raw_Data!S406=0,"Low Contact",IF(Raw_Data!S406&lt;=2,"Normal Contact","High Contact"))</f>
        <v>Low Contact</v>
      </c>
      <c r="E406" s="1" t="str">
        <f>IF(AND(Raw_Data!G406&gt;200,Raw_Data!H406&gt;100),"High Usage","Normal Usage")</f>
        <v>High Usage</v>
      </c>
      <c r="F406" s="1" t="str" cm="1">
        <f t="array" ref="F406">_xlfn.IFS(B406=TRUE,"High Risk",AND(Raw_Data!S406&gt;=3,Raw_Data!G406&gt;200),"High Risk",Raw_Data!S406&gt;=2,"Medium Risk",TRUE,"Low Risk")</f>
        <v>Low Risk</v>
      </c>
      <c r="G406" s="1" t="str">
        <f>IF(OR(Raw_Data!D406="Yes",Raw_Data!E406="Yes"),"Has Plan","No Special Plan")</f>
        <v>No Special Plan</v>
      </c>
      <c r="H406" s="1" t="str">
        <f>IF(NOT(Raw_Data!S406&gt;=3),"Normal Service Contact","Frequent Service Contact")</f>
        <v>Normal Service Contact</v>
      </c>
      <c r="I406" s="1" t="str" cm="1">
        <f t="array" ref="I406">_xlfn.SWITCH(Raw_Data!D406,"Yes","International Customer","No","Domestic Plan","Unknown")</f>
        <v>Domestic Plan</v>
      </c>
      <c r="J406" s="1" t="str">
        <f>IF(ISERROR(Raw_Data!G406/0),"Error","Valid")</f>
        <v>Error</v>
      </c>
      <c r="K406" s="1" t="str">
        <f>IF(ISBLANK(Raw_Data!A406),"Missing","Available")</f>
        <v>Available</v>
      </c>
      <c r="L406" s="5" t="str">
        <f>IF(ISNUMBER(Raw_Data!G406),"Numeric","Not Numeric")</f>
        <v>Numeric</v>
      </c>
    </row>
    <row r="407" spans="1:12" x14ac:dyDescent="0.25">
      <c r="A407" s="4" t="str">
        <f>Raw_Data!A407</f>
        <v>NE</v>
      </c>
      <c r="B407" s="1" t="b">
        <f>Raw_Data!T407</f>
        <v>0</v>
      </c>
      <c r="C407" s="1" t="str">
        <f t="shared" si="6"/>
        <v>Retained</v>
      </c>
      <c r="D407" s="1" t="str">
        <f>IF(Raw_Data!S407=0,"Low Contact",IF(Raw_Data!S407&lt;=2,"Normal Contact","High Contact"))</f>
        <v>Normal Contact</v>
      </c>
      <c r="E407" s="1" t="str">
        <f>IF(AND(Raw_Data!G407&gt;200,Raw_Data!H407&gt;100),"High Usage","Normal Usage")</f>
        <v>Normal Usage</v>
      </c>
      <c r="F407" s="1" t="str" cm="1">
        <f t="array" ref="F407">_xlfn.IFS(B407=TRUE,"High Risk",AND(Raw_Data!S407&gt;=3,Raw_Data!G407&gt;200),"High Risk",Raw_Data!S407&gt;=2,"Medium Risk",TRUE,"Low Risk")</f>
        <v>Low Risk</v>
      </c>
      <c r="G407" s="1" t="str">
        <f>IF(OR(Raw_Data!D407="Yes",Raw_Data!E407="Yes"),"Has Plan","No Special Plan")</f>
        <v>No Special Plan</v>
      </c>
      <c r="H407" s="1" t="str">
        <f>IF(NOT(Raw_Data!S407&gt;=3),"Normal Service Contact","Frequent Service Contact")</f>
        <v>Normal Service Contact</v>
      </c>
      <c r="I407" s="1" t="str" cm="1">
        <f t="array" ref="I407">_xlfn.SWITCH(Raw_Data!D407,"Yes","International Customer","No","Domestic Plan","Unknown")</f>
        <v>Domestic Plan</v>
      </c>
      <c r="J407" s="1" t="str">
        <f>IF(ISERROR(Raw_Data!G407/0),"Error","Valid")</f>
        <v>Error</v>
      </c>
      <c r="K407" s="1" t="str">
        <f>IF(ISBLANK(Raw_Data!A407),"Missing","Available")</f>
        <v>Available</v>
      </c>
      <c r="L407" s="5" t="str">
        <f>IF(ISNUMBER(Raw_Data!G407),"Numeric","Not Numeric")</f>
        <v>Numeric</v>
      </c>
    </row>
    <row r="408" spans="1:12" x14ac:dyDescent="0.25">
      <c r="A408" s="4" t="str">
        <f>Raw_Data!A408</f>
        <v>KY</v>
      </c>
      <c r="B408" s="1" t="b">
        <f>Raw_Data!T408</f>
        <v>0</v>
      </c>
      <c r="C408" s="1" t="str">
        <f t="shared" si="6"/>
        <v>Retained</v>
      </c>
      <c r="D408" s="1" t="str">
        <f>IF(Raw_Data!S408=0,"Low Contact",IF(Raw_Data!S408&lt;=2,"Normal Contact","High Contact"))</f>
        <v>Normal Contact</v>
      </c>
      <c r="E408" s="1" t="str">
        <f>IF(AND(Raw_Data!G408&gt;200,Raw_Data!H408&gt;100),"High Usage","Normal Usage")</f>
        <v>Normal Usage</v>
      </c>
      <c r="F408" s="1" t="str" cm="1">
        <f t="array" ref="F408">_xlfn.IFS(B408=TRUE,"High Risk",AND(Raw_Data!S408&gt;=3,Raw_Data!G408&gt;200),"High Risk",Raw_Data!S408&gt;=2,"Medium Risk",TRUE,"Low Risk")</f>
        <v>Low Risk</v>
      </c>
      <c r="G408" s="1" t="str">
        <f>IF(OR(Raw_Data!D408="Yes",Raw_Data!E408="Yes"),"Has Plan","No Special Plan")</f>
        <v>No Special Plan</v>
      </c>
      <c r="H408" s="1" t="str">
        <f>IF(NOT(Raw_Data!S408&gt;=3),"Normal Service Contact","Frequent Service Contact")</f>
        <v>Normal Service Contact</v>
      </c>
      <c r="I408" s="1" t="str" cm="1">
        <f t="array" ref="I408">_xlfn.SWITCH(Raw_Data!D408,"Yes","International Customer","No","Domestic Plan","Unknown")</f>
        <v>Domestic Plan</v>
      </c>
      <c r="J408" s="1" t="str">
        <f>IF(ISERROR(Raw_Data!G408/0),"Error","Valid")</f>
        <v>Error</v>
      </c>
      <c r="K408" s="1" t="str">
        <f>IF(ISBLANK(Raw_Data!A408),"Missing","Available")</f>
        <v>Available</v>
      </c>
      <c r="L408" s="5" t="str">
        <f>IF(ISNUMBER(Raw_Data!G408),"Numeric","Not Numeric")</f>
        <v>Numeric</v>
      </c>
    </row>
    <row r="409" spans="1:12" x14ac:dyDescent="0.25">
      <c r="A409" s="4" t="str">
        <f>Raw_Data!A409</f>
        <v>KS</v>
      </c>
      <c r="B409" s="1" t="b">
        <f>Raw_Data!T409</f>
        <v>0</v>
      </c>
      <c r="C409" s="1" t="str">
        <f t="shared" si="6"/>
        <v>Retained</v>
      </c>
      <c r="D409" s="1" t="str">
        <f>IF(Raw_Data!S409=0,"Low Contact",IF(Raw_Data!S409&lt;=2,"Normal Contact","High Contact"))</f>
        <v>Normal Contact</v>
      </c>
      <c r="E409" s="1" t="str">
        <f>IF(AND(Raw_Data!G409&gt;200,Raw_Data!H409&gt;100),"High Usage","Normal Usage")</f>
        <v>Normal Usage</v>
      </c>
      <c r="F409" s="1" t="str" cm="1">
        <f t="array" ref="F409">_xlfn.IFS(B409=TRUE,"High Risk",AND(Raw_Data!S409&gt;=3,Raw_Data!G409&gt;200),"High Risk",Raw_Data!S409&gt;=2,"Medium Risk",TRUE,"Low Risk")</f>
        <v>Low Risk</v>
      </c>
      <c r="G409" s="1" t="str">
        <f>IF(OR(Raw_Data!D409="Yes",Raw_Data!E409="Yes"),"Has Plan","No Special Plan")</f>
        <v>Has Plan</v>
      </c>
      <c r="H409" s="1" t="str">
        <f>IF(NOT(Raw_Data!S409&gt;=3),"Normal Service Contact","Frequent Service Contact")</f>
        <v>Normal Service Contact</v>
      </c>
      <c r="I409" s="1" t="str" cm="1">
        <f t="array" ref="I409">_xlfn.SWITCH(Raw_Data!D409,"Yes","International Customer","No","Domestic Plan","Unknown")</f>
        <v>Domestic Plan</v>
      </c>
      <c r="J409" s="1" t="str">
        <f>IF(ISERROR(Raw_Data!G409/0),"Error","Valid")</f>
        <v>Error</v>
      </c>
      <c r="K409" s="1" t="str">
        <f>IF(ISBLANK(Raw_Data!A409),"Missing","Available")</f>
        <v>Available</v>
      </c>
      <c r="L409" s="5" t="str">
        <f>IF(ISNUMBER(Raw_Data!G409),"Numeric","Not Numeric")</f>
        <v>Numeric</v>
      </c>
    </row>
    <row r="410" spans="1:12" x14ac:dyDescent="0.25">
      <c r="A410" s="4" t="str">
        <f>Raw_Data!A410</f>
        <v>ND</v>
      </c>
      <c r="B410" s="1" t="b">
        <f>Raw_Data!T410</f>
        <v>0</v>
      </c>
      <c r="C410" s="1" t="str">
        <f t="shared" si="6"/>
        <v>Retained</v>
      </c>
      <c r="D410" s="1" t="str">
        <f>IF(Raw_Data!S410=0,"Low Contact",IF(Raw_Data!S410&lt;=2,"Normal Contact","High Contact"))</f>
        <v>Normal Contact</v>
      </c>
      <c r="E410" s="1" t="str">
        <f>IF(AND(Raw_Data!G410&gt;200,Raw_Data!H410&gt;100),"High Usage","Normal Usage")</f>
        <v>Normal Usage</v>
      </c>
      <c r="F410" s="1" t="str" cm="1">
        <f t="array" ref="F410">_xlfn.IFS(B410=TRUE,"High Risk",AND(Raw_Data!S410&gt;=3,Raw_Data!G410&gt;200),"High Risk",Raw_Data!S410&gt;=2,"Medium Risk",TRUE,"Low Risk")</f>
        <v>Medium Risk</v>
      </c>
      <c r="G410" s="1" t="str">
        <f>IF(OR(Raw_Data!D410="Yes",Raw_Data!E410="Yes"),"Has Plan","No Special Plan")</f>
        <v>No Special Plan</v>
      </c>
      <c r="H410" s="1" t="str">
        <f>IF(NOT(Raw_Data!S410&gt;=3),"Normal Service Contact","Frequent Service Contact")</f>
        <v>Normal Service Contact</v>
      </c>
      <c r="I410" s="1" t="str" cm="1">
        <f t="array" ref="I410">_xlfn.SWITCH(Raw_Data!D410,"Yes","International Customer","No","Domestic Plan","Unknown")</f>
        <v>Domestic Plan</v>
      </c>
      <c r="J410" s="1" t="str">
        <f>IF(ISERROR(Raw_Data!G410/0),"Error","Valid")</f>
        <v>Error</v>
      </c>
      <c r="K410" s="1" t="str">
        <f>IF(ISBLANK(Raw_Data!A410),"Missing","Available")</f>
        <v>Available</v>
      </c>
      <c r="L410" s="5" t="str">
        <f>IF(ISNUMBER(Raw_Data!G410),"Numeric","Not Numeric")</f>
        <v>Numeric</v>
      </c>
    </row>
    <row r="411" spans="1:12" x14ac:dyDescent="0.25">
      <c r="A411" s="4" t="str">
        <f>Raw_Data!A411</f>
        <v>KY</v>
      </c>
      <c r="B411" s="1" t="b">
        <f>Raw_Data!T411</f>
        <v>1</v>
      </c>
      <c r="C411" s="1" t="str">
        <f t="shared" si="6"/>
        <v>Churned</v>
      </c>
      <c r="D411" s="1" t="str">
        <f>IF(Raw_Data!S411=0,"Low Contact",IF(Raw_Data!S411&lt;=2,"Normal Contact","High Contact"))</f>
        <v>High Contact</v>
      </c>
      <c r="E411" s="1" t="str">
        <f>IF(AND(Raw_Data!G411&gt;200,Raw_Data!H411&gt;100),"High Usage","Normal Usage")</f>
        <v>Normal Usage</v>
      </c>
      <c r="F411" s="1" t="str" cm="1">
        <f t="array" ref="F411">_xlfn.IFS(B411=TRUE,"High Risk",AND(Raw_Data!S411&gt;=3,Raw_Data!G411&gt;200),"High Risk",Raw_Data!S411&gt;=2,"Medium Risk",TRUE,"Low Risk")</f>
        <v>High Risk</v>
      </c>
      <c r="G411" s="1" t="str">
        <f>IF(OR(Raw_Data!D411="Yes",Raw_Data!E411="Yes"),"Has Plan","No Special Plan")</f>
        <v>Has Plan</v>
      </c>
      <c r="H411" s="1" t="str">
        <f>IF(NOT(Raw_Data!S411&gt;=3),"Normal Service Contact","Frequent Service Contact")</f>
        <v>Frequent Service Contact</v>
      </c>
      <c r="I411" s="1" t="str" cm="1">
        <f t="array" ref="I411">_xlfn.SWITCH(Raw_Data!D411,"Yes","International Customer","No","Domestic Plan","Unknown")</f>
        <v>Domestic Plan</v>
      </c>
      <c r="J411" s="1" t="str">
        <f>IF(ISERROR(Raw_Data!G411/0),"Error","Valid")</f>
        <v>Error</v>
      </c>
      <c r="K411" s="1" t="str">
        <f>IF(ISBLANK(Raw_Data!A411),"Missing","Available")</f>
        <v>Available</v>
      </c>
      <c r="L411" s="5" t="str">
        <f>IF(ISNUMBER(Raw_Data!G411),"Numeric","Not Numeric")</f>
        <v>Numeric</v>
      </c>
    </row>
    <row r="412" spans="1:12" x14ac:dyDescent="0.25">
      <c r="A412" s="4" t="str">
        <f>Raw_Data!A412</f>
        <v>ME</v>
      </c>
      <c r="B412" s="1" t="b">
        <f>Raw_Data!T412</f>
        <v>0</v>
      </c>
      <c r="C412" s="1" t="str">
        <f t="shared" si="6"/>
        <v>Retained</v>
      </c>
      <c r="D412" s="1" t="str">
        <f>IF(Raw_Data!S412=0,"Low Contact",IF(Raw_Data!S412&lt;=2,"Normal Contact","High Contact"))</f>
        <v>Normal Contact</v>
      </c>
      <c r="E412" s="1" t="str">
        <f>IF(AND(Raw_Data!G412&gt;200,Raw_Data!H412&gt;100),"High Usage","Normal Usage")</f>
        <v>Normal Usage</v>
      </c>
      <c r="F412" s="1" t="str" cm="1">
        <f t="array" ref="F412">_xlfn.IFS(B412=TRUE,"High Risk",AND(Raw_Data!S412&gt;=3,Raw_Data!G412&gt;200),"High Risk",Raw_Data!S412&gt;=2,"Medium Risk",TRUE,"Low Risk")</f>
        <v>Low Risk</v>
      </c>
      <c r="G412" s="1" t="str">
        <f>IF(OR(Raw_Data!D412="Yes",Raw_Data!E412="Yes"),"Has Plan","No Special Plan")</f>
        <v>No Special Plan</v>
      </c>
      <c r="H412" s="1" t="str">
        <f>IF(NOT(Raw_Data!S412&gt;=3),"Normal Service Contact","Frequent Service Contact")</f>
        <v>Normal Service Contact</v>
      </c>
      <c r="I412" s="1" t="str" cm="1">
        <f t="array" ref="I412">_xlfn.SWITCH(Raw_Data!D412,"Yes","International Customer","No","Domestic Plan","Unknown")</f>
        <v>Domestic Plan</v>
      </c>
      <c r="J412" s="1" t="str">
        <f>IF(ISERROR(Raw_Data!G412/0),"Error","Valid")</f>
        <v>Error</v>
      </c>
      <c r="K412" s="1" t="str">
        <f>IF(ISBLANK(Raw_Data!A412),"Missing","Available")</f>
        <v>Available</v>
      </c>
      <c r="L412" s="5" t="str">
        <f>IF(ISNUMBER(Raw_Data!G412),"Numeric","Not Numeric")</f>
        <v>Numeric</v>
      </c>
    </row>
    <row r="413" spans="1:12" x14ac:dyDescent="0.25">
      <c r="A413" s="4" t="str">
        <f>Raw_Data!A413</f>
        <v>MT</v>
      </c>
      <c r="B413" s="1" t="b">
        <f>Raw_Data!T413</f>
        <v>0</v>
      </c>
      <c r="C413" s="1" t="str">
        <f t="shared" si="6"/>
        <v>Retained</v>
      </c>
      <c r="D413" s="1" t="str">
        <f>IF(Raw_Data!S413=0,"Low Contact",IF(Raw_Data!S413&lt;=2,"Normal Contact","High Contact"))</f>
        <v>Normal Contact</v>
      </c>
      <c r="E413" s="1" t="str">
        <f>IF(AND(Raw_Data!G413&gt;200,Raw_Data!H413&gt;100),"High Usage","Normal Usage")</f>
        <v>Normal Usage</v>
      </c>
      <c r="F413" s="1" t="str" cm="1">
        <f t="array" ref="F413">_xlfn.IFS(B413=TRUE,"High Risk",AND(Raw_Data!S413&gt;=3,Raw_Data!G413&gt;200),"High Risk",Raw_Data!S413&gt;=2,"Medium Risk",TRUE,"Low Risk")</f>
        <v>Medium Risk</v>
      </c>
      <c r="G413" s="1" t="str">
        <f>IF(OR(Raw_Data!D413="Yes",Raw_Data!E413="Yes"),"Has Plan","No Special Plan")</f>
        <v>Has Plan</v>
      </c>
      <c r="H413" s="1" t="str">
        <f>IF(NOT(Raw_Data!S413&gt;=3),"Normal Service Contact","Frequent Service Contact")</f>
        <v>Normal Service Contact</v>
      </c>
      <c r="I413" s="1" t="str" cm="1">
        <f t="array" ref="I413">_xlfn.SWITCH(Raw_Data!D413,"Yes","International Customer","No","Domestic Plan","Unknown")</f>
        <v>Domestic Plan</v>
      </c>
      <c r="J413" s="1" t="str">
        <f>IF(ISERROR(Raw_Data!G413/0),"Error","Valid")</f>
        <v>Error</v>
      </c>
      <c r="K413" s="1" t="str">
        <f>IF(ISBLANK(Raw_Data!A413),"Missing","Available")</f>
        <v>Available</v>
      </c>
      <c r="L413" s="5" t="str">
        <f>IF(ISNUMBER(Raw_Data!G413),"Numeric","Not Numeric")</f>
        <v>Numeric</v>
      </c>
    </row>
    <row r="414" spans="1:12" x14ac:dyDescent="0.25">
      <c r="A414" s="4" t="str">
        <f>Raw_Data!A414</f>
        <v>IL</v>
      </c>
      <c r="B414" s="1" t="b">
        <f>Raw_Data!T414</f>
        <v>0</v>
      </c>
      <c r="C414" s="1" t="str">
        <f t="shared" si="6"/>
        <v>Retained</v>
      </c>
      <c r="D414" s="1" t="str">
        <f>IF(Raw_Data!S414=0,"Low Contact",IF(Raw_Data!S414&lt;=2,"Normal Contact","High Contact"))</f>
        <v>Normal Contact</v>
      </c>
      <c r="E414" s="1" t="str">
        <f>IF(AND(Raw_Data!G414&gt;200,Raw_Data!H414&gt;100),"High Usage","Normal Usage")</f>
        <v>Normal Usage</v>
      </c>
      <c r="F414" s="1" t="str" cm="1">
        <f t="array" ref="F414">_xlfn.IFS(B414=TRUE,"High Risk",AND(Raw_Data!S414&gt;=3,Raw_Data!G414&gt;200),"High Risk",Raw_Data!S414&gt;=2,"Medium Risk",TRUE,"Low Risk")</f>
        <v>Low Risk</v>
      </c>
      <c r="G414" s="1" t="str">
        <f>IF(OR(Raw_Data!D414="Yes",Raw_Data!E414="Yes"),"Has Plan","No Special Plan")</f>
        <v>No Special Plan</v>
      </c>
      <c r="H414" s="1" t="str">
        <f>IF(NOT(Raw_Data!S414&gt;=3),"Normal Service Contact","Frequent Service Contact")</f>
        <v>Normal Service Contact</v>
      </c>
      <c r="I414" s="1" t="str" cm="1">
        <f t="array" ref="I414">_xlfn.SWITCH(Raw_Data!D414,"Yes","International Customer","No","Domestic Plan","Unknown")</f>
        <v>Domestic Plan</v>
      </c>
      <c r="J414" s="1" t="str">
        <f>IF(ISERROR(Raw_Data!G414/0),"Error","Valid")</f>
        <v>Error</v>
      </c>
      <c r="K414" s="1" t="str">
        <f>IF(ISBLANK(Raw_Data!A414),"Missing","Available")</f>
        <v>Available</v>
      </c>
      <c r="L414" s="5" t="str">
        <f>IF(ISNUMBER(Raw_Data!G414),"Numeric","Not Numeric")</f>
        <v>Numeric</v>
      </c>
    </row>
    <row r="415" spans="1:12" x14ac:dyDescent="0.25">
      <c r="A415" s="4" t="str">
        <f>Raw_Data!A415</f>
        <v>ME</v>
      </c>
      <c r="B415" s="1" t="b">
        <f>Raw_Data!T415</f>
        <v>0</v>
      </c>
      <c r="C415" s="1" t="str">
        <f t="shared" si="6"/>
        <v>Retained</v>
      </c>
      <c r="D415" s="1" t="str">
        <f>IF(Raw_Data!S415=0,"Low Contact",IF(Raw_Data!S415&lt;=2,"Normal Contact","High Contact"))</f>
        <v>Normal Contact</v>
      </c>
      <c r="E415" s="1" t="str">
        <f>IF(AND(Raw_Data!G415&gt;200,Raw_Data!H415&gt;100),"High Usage","Normal Usage")</f>
        <v>Normal Usage</v>
      </c>
      <c r="F415" s="1" t="str" cm="1">
        <f t="array" ref="F415">_xlfn.IFS(B415=TRUE,"High Risk",AND(Raw_Data!S415&gt;=3,Raw_Data!G415&gt;200),"High Risk",Raw_Data!S415&gt;=2,"Medium Risk",TRUE,"Low Risk")</f>
        <v>Low Risk</v>
      </c>
      <c r="G415" s="1" t="str">
        <f>IF(OR(Raw_Data!D415="Yes",Raw_Data!E415="Yes"),"Has Plan","No Special Plan")</f>
        <v>Has Plan</v>
      </c>
      <c r="H415" s="1" t="str">
        <f>IF(NOT(Raw_Data!S415&gt;=3),"Normal Service Contact","Frequent Service Contact")</f>
        <v>Normal Service Contact</v>
      </c>
      <c r="I415" s="1" t="str" cm="1">
        <f t="array" ref="I415">_xlfn.SWITCH(Raw_Data!D415,"Yes","International Customer","No","Domestic Plan","Unknown")</f>
        <v>Domestic Plan</v>
      </c>
      <c r="J415" s="1" t="str">
        <f>IF(ISERROR(Raw_Data!G415/0),"Error","Valid")</f>
        <v>Error</v>
      </c>
      <c r="K415" s="1" t="str">
        <f>IF(ISBLANK(Raw_Data!A415),"Missing","Available")</f>
        <v>Available</v>
      </c>
      <c r="L415" s="5" t="str">
        <f>IF(ISNUMBER(Raw_Data!G415),"Numeric","Not Numeric")</f>
        <v>Numeric</v>
      </c>
    </row>
    <row r="416" spans="1:12" x14ac:dyDescent="0.25">
      <c r="A416" s="4" t="str">
        <f>Raw_Data!A416</f>
        <v>SC</v>
      </c>
      <c r="B416" s="1" t="b">
        <f>Raw_Data!T416</f>
        <v>0</v>
      </c>
      <c r="C416" s="1" t="str">
        <f t="shared" si="6"/>
        <v>Retained</v>
      </c>
      <c r="D416" s="1" t="str">
        <f>IF(Raw_Data!S416=0,"Low Contact",IF(Raw_Data!S416&lt;=2,"Normal Contact","High Contact"))</f>
        <v>Normal Contact</v>
      </c>
      <c r="E416" s="1" t="str">
        <f>IF(AND(Raw_Data!G416&gt;200,Raw_Data!H416&gt;100),"High Usage","Normal Usage")</f>
        <v>Normal Usage</v>
      </c>
      <c r="F416" s="1" t="str" cm="1">
        <f t="array" ref="F416">_xlfn.IFS(B416=TRUE,"High Risk",AND(Raw_Data!S416&gt;=3,Raw_Data!G416&gt;200),"High Risk",Raw_Data!S416&gt;=2,"Medium Risk",TRUE,"Low Risk")</f>
        <v>Medium Risk</v>
      </c>
      <c r="G416" s="1" t="str">
        <f>IF(OR(Raw_Data!D416="Yes",Raw_Data!E416="Yes"),"Has Plan","No Special Plan")</f>
        <v>Has Plan</v>
      </c>
      <c r="H416" s="1" t="str">
        <f>IF(NOT(Raw_Data!S416&gt;=3),"Normal Service Contact","Frequent Service Contact")</f>
        <v>Normal Service Contact</v>
      </c>
      <c r="I416" s="1" t="str" cm="1">
        <f t="array" ref="I416">_xlfn.SWITCH(Raw_Data!D416,"Yes","International Customer","No","Domestic Plan","Unknown")</f>
        <v>Domestic Plan</v>
      </c>
      <c r="J416" s="1" t="str">
        <f>IF(ISERROR(Raw_Data!G416/0),"Error","Valid")</f>
        <v>Error</v>
      </c>
      <c r="K416" s="1" t="str">
        <f>IF(ISBLANK(Raw_Data!A416),"Missing","Available")</f>
        <v>Available</v>
      </c>
      <c r="L416" s="5" t="str">
        <f>IF(ISNUMBER(Raw_Data!G416),"Numeric","Not Numeric")</f>
        <v>Numeric</v>
      </c>
    </row>
    <row r="417" spans="1:12" x14ac:dyDescent="0.25">
      <c r="A417" s="4" t="str">
        <f>Raw_Data!A417</f>
        <v>IL</v>
      </c>
      <c r="B417" s="1" t="b">
        <f>Raw_Data!T417</f>
        <v>0</v>
      </c>
      <c r="C417" s="1" t="str">
        <f t="shared" si="6"/>
        <v>Retained</v>
      </c>
      <c r="D417" s="1" t="str">
        <f>IF(Raw_Data!S417=0,"Low Contact",IF(Raw_Data!S417&lt;=2,"Normal Contact","High Contact"))</f>
        <v>Normal Contact</v>
      </c>
      <c r="E417" s="1" t="str">
        <f>IF(AND(Raw_Data!G417&gt;200,Raw_Data!H417&gt;100),"High Usage","Normal Usage")</f>
        <v>Normal Usage</v>
      </c>
      <c r="F417" s="1" t="str" cm="1">
        <f t="array" ref="F417">_xlfn.IFS(B417=TRUE,"High Risk",AND(Raw_Data!S417&gt;=3,Raw_Data!G417&gt;200),"High Risk",Raw_Data!S417&gt;=2,"Medium Risk",TRUE,"Low Risk")</f>
        <v>Low Risk</v>
      </c>
      <c r="G417" s="1" t="str">
        <f>IF(OR(Raw_Data!D417="Yes",Raw_Data!E417="Yes"),"Has Plan","No Special Plan")</f>
        <v>Has Plan</v>
      </c>
      <c r="H417" s="1" t="str">
        <f>IF(NOT(Raw_Data!S417&gt;=3),"Normal Service Contact","Frequent Service Contact")</f>
        <v>Normal Service Contact</v>
      </c>
      <c r="I417" s="1" t="str" cm="1">
        <f t="array" ref="I417">_xlfn.SWITCH(Raw_Data!D417,"Yes","International Customer","No","Domestic Plan","Unknown")</f>
        <v>International Customer</v>
      </c>
      <c r="J417" s="1" t="str">
        <f>IF(ISERROR(Raw_Data!G417/0),"Error","Valid")</f>
        <v>Error</v>
      </c>
      <c r="K417" s="1" t="str">
        <f>IF(ISBLANK(Raw_Data!A417),"Missing","Available")</f>
        <v>Available</v>
      </c>
      <c r="L417" s="5" t="str">
        <f>IF(ISNUMBER(Raw_Data!G417),"Numeric","Not Numeric")</f>
        <v>Numeric</v>
      </c>
    </row>
    <row r="418" spans="1:12" x14ac:dyDescent="0.25">
      <c r="A418" s="4" t="str">
        <f>Raw_Data!A418</f>
        <v>WA</v>
      </c>
      <c r="B418" s="1" t="b">
        <f>Raw_Data!T418</f>
        <v>0</v>
      </c>
      <c r="C418" s="1" t="str">
        <f t="shared" si="6"/>
        <v>Retained</v>
      </c>
      <c r="D418" s="1" t="str">
        <f>IF(Raw_Data!S418=0,"Low Contact",IF(Raw_Data!S418&lt;=2,"Normal Contact","High Contact"))</f>
        <v>High Contact</v>
      </c>
      <c r="E418" s="1" t="str">
        <f>IF(AND(Raw_Data!G418&gt;200,Raw_Data!H418&gt;100),"High Usage","Normal Usage")</f>
        <v>High Usage</v>
      </c>
      <c r="F418" s="1" t="str" cm="1">
        <f t="array" ref="F418">_xlfn.IFS(B418=TRUE,"High Risk",AND(Raw_Data!S418&gt;=3,Raw_Data!G418&gt;200),"High Risk",Raw_Data!S418&gt;=2,"Medium Risk",TRUE,"Low Risk")</f>
        <v>High Risk</v>
      </c>
      <c r="G418" s="1" t="str">
        <f>IF(OR(Raw_Data!D418="Yes",Raw_Data!E418="Yes"),"Has Plan","No Special Plan")</f>
        <v>No Special Plan</v>
      </c>
      <c r="H418" s="1" t="str">
        <f>IF(NOT(Raw_Data!S418&gt;=3),"Normal Service Contact","Frequent Service Contact")</f>
        <v>Frequent Service Contact</v>
      </c>
      <c r="I418" s="1" t="str" cm="1">
        <f t="array" ref="I418">_xlfn.SWITCH(Raw_Data!D418,"Yes","International Customer","No","Domestic Plan","Unknown")</f>
        <v>Domestic Plan</v>
      </c>
      <c r="J418" s="1" t="str">
        <f>IF(ISERROR(Raw_Data!G418/0),"Error","Valid")</f>
        <v>Error</v>
      </c>
      <c r="K418" s="1" t="str">
        <f>IF(ISBLANK(Raw_Data!A418),"Missing","Available")</f>
        <v>Available</v>
      </c>
      <c r="L418" s="5" t="str">
        <f>IF(ISNUMBER(Raw_Data!G418),"Numeric","Not Numeric")</f>
        <v>Numeric</v>
      </c>
    </row>
    <row r="419" spans="1:12" x14ac:dyDescent="0.25">
      <c r="A419" s="4" t="str">
        <f>Raw_Data!A419</f>
        <v>NE</v>
      </c>
      <c r="B419" s="1" t="b">
        <f>Raw_Data!T419</f>
        <v>0</v>
      </c>
      <c r="C419" s="1" t="str">
        <f t="shared" si="6"/>
        <v>Retained</v>
      </c>
      <c r="D419" s="1" t="str">
        <f>IF(Raw_Data!S419=0,"Low Contact",IF(Raw_Data!S419&lt;=2,"Normal Contact","High Contact"))</f>
        <v>Normal Contact</v>
      </c>
      <c r="E419" s="1" t="str">
        <f>IF(AND(Raw_Data!G419&gt;200,Raw_Data!H419&gt;100),"High Usage","Normal Usage")</f>
        <v>Normal Usage</v>
      </c>
      <c r="F419" s="1" t="str" cm="1">
        <f t="array" ref="F419">_xlfn.IFS(B419=TRUE,"High Risk",AND(Raw_Data!S419&gt;=3,Raw_Data!G419&gt;200),"High Risk",Raw_Data!S419&gt;=2,"Medium Risk",TRUE,"Low Risk")</f>
        <v>Low Risk</v>
      </c>
      <c r="G419" s="1" t="str">
        <f>IF(OR(Raw_Data!D419="Yes",Raw_Data!E419="Yes"),"Has Plan","No Special Plan")</f>
        <v>No Special Plan</v>
      </c>
      <c r="H419" s="1" t="str">
        <f>IF(NOT(Raw_Data!S419&gt;=3),"Normal Service Contact","Frequent Service Contact")</f>
        <v>Normal Service Contact</v>
      </c>
      <c r="I419" s="1" t="str" cm="1">
        <f t="array" ref="I419">_xlfn.SWITCH(Raw_Data!D419,"Yes","International Customer","No","Domestic Plan","Unknown")</f>
        <v>Domestic Plan</v>
      </c>
      <c r="J419" s="1" t="str">
        <f>IF(ISERROR(Raw_Data!G419/0),"Error","Valid")</f>
        <v>Error</v>
      </c>
      <c r="K419" s="1" t="str">
        <f>IF(ISBLANK(Raw_Data!A419),"Missing","Available")</f>
        <v>Available</v>
      </c>
      <c r="L419" s="5" t="str">
        <f>IF(ISNUMBER(Raw_Data!G419),"Numeric","Not Numeric")</f>
        <v>Numeric</v>
      </c>
    </row>
    <row r="420" spans="1:12" x14ac:dyDescent="0.25">
      <c r="A420" s="4" t="str">
        <f>Raw_Data!A420</f>
        <v>IL</v>
      </c>
      <c r="B420" s="1" t="b">
        <f>Raw_Data!T420</f>
        <v>0</v>
      </c>
      <c r="C420" s="1" t="str">
        <f t="shared" si="6"/>
        <v>Retained</v>
      </c>
      <c r="D420" s="1" t="str">
        <f>IF(Raw_Data!S420=0,"Low Contact",IF(Raw_Data!S420&lt;=2,"Normal Contact","High Contact"))</f>
        <v>Normal Contact</v>
      </c>
      <c r="E420" s="1" t="str">
        <f>IF(AND(Raw_Data!G420&gt;200,Raw_Data!H420&gt;100),"High Usage","Normal Usage")</f>
        <v>High Usage</v>
      </c>
      <c r="F420" s="1" t="str" cm="1">
        <f t="array" ref="F420">_xlfn.IFS(B420=TRUE,"High Risk",AND(Raw_Data!S420&gt;=3,Raw_Data!G420&gt;200),"High Risk",Raw_Data!S420&gt;=2,"Medium Risk",TRUE,"Low Risk")</f>
        <v>Low Risk</v>
      </c>
      <c r="G420" s="1" t="str">
        <f>IF(OR(Raw_Data!D420="Yes",Raw_Data!E420="Yes"),"Has Plan","No Special Plan")</f>
        <v>Has Plan</v>
      </c>
      <c r="H420" s="1" t="str">
        <f>IF(NOT(Raw_Data!S420&gt;=3),"Normal Service Contact","Frequent Service Contact")</f>
        <v>Normal Service Contact</v>
      </c>
      <c r="I420" s="1" t="str" cm="1">
        <f t="array" ref="I420">_xlfn.SWITCH(Raw_Data!D420,"Yes","International Customer","No","Domestic Plan","Unknown")</f>
        <v>International Customer</v>
      </c>
      <c r="J420" s="1" t="str">
        <f>IF(ISERROR(Raw_Data!G420/0),"Error","Valid")</f>
        <v>Error</v>
      </c>
      <c r="K420" s="1" t="str">
        <f>IF(ISBLANK(Raw_Data!A420),"Missing","Available")</f>
        <v>Available</v>
      </c>
      <c r="L420" s="5" t="str">
        <f>IF(ISNUMBER(Raw_Data!G420),"Numeric","Not Numeric")</f>
        <v>Numeric</v>
      </c>
    </row>
    <row r="421" spans="1:12" x14ac:dyDescent="0.25">
      <c r="A421" s="4" t="str">
        <f>Raw_Data!A421</f>
        <v>VT</v>
      </c>
      <c r="B421" s="1" t="b">
        <f>Raw_Data!T421</f>
        <v>0</v>
      </c>
      <c r="C421" s="1" t="str">
        <f t="shared" si="6"/>
        <v>Retained</v>
      </c>
      <c r="D421" s="1" t="str">
        <f>IF(Raw_Data!S421=0,"Low Contact",IF(Raw_Data!S421&lt;=2,"Normal Contact","High Contact"))</f>
        <v>High Contact</v>
      </c>
      <c r="E421" s="1" t="str">
        <f>IF(AND(Raw_Data!G421&gt;200,Raw_Data!H421&gt;100),"High Usage","Normal Usage")</f>
        <v>Normal Usage</v>
      </c>
      <c r="F421" s="1" t="str" cm="1">
        <f t="array" ref="F421">_xlfn.IFS(B421=TRUE,"High Risk",AND(Raw_Data!S421&gt;=3,Raw_Data!G421&gt;200),"High Risk",Raw_Data!S421&gt;=2,"Medium Risk",TRUE,"Low Risk")</f>
        <v>Medium Risk</v>
      </c>
      <c r="G421" s="1" t="str">
        <f>IF(OR(Raw_Data!D421="Yes",Raw_Data!E421="Yes"),"Has Plan","No Special Plan")</f>
        <v>No Special Plan</v>
      </c>
      <c r="H421" s="1" t="str">
        <f>IF(NOT(Raw_Data!S421&gt;=3),"Normal Service Contact","Frequent Service Contact")</f>
        <v>Frequent Service Contact</v>
      </c>
      <c r="I421" s="1" t="str" cm="1">
        <f t="array" ref="I421">_xlfn.SWITCH(Raw_Data!D421,"Yes","International Customer","No","Domestic Plan","Unknown")</f>
        <v>Domestic Plan</v>
      </c>
      <c r="J421" s="1" t="str">
        <f>IF(ISERROR(Raw_Data!G421/0),"Error","Valid")</f>
        <v>Error</v>
      </c>
      <c r="K421" s="1" t="str">
        <f>IF(ISBLANK(Raw_Data!A421),"Missing","Available")</f>
        <v>Available</v>
      </c>
      <c r="L421" s="5" t="str">
        <f>IF(ISNUMBER(Raw_Data!G421),"Numeric","Not Numeric")</f>
        <v>Numeric</v>
      </c>
    </row>
    <row r="422" spans="1:12" x14ac:dyDescent="0.25">
      <c r="A422" s="4" t="str">
        <f>Raw_Data!A422</f>
        <v>KS</v>
      </c>
      <c r="B422" s="1" t="b">
        <f>Raw_Data!T422</f>
        <v>1</v>
      </c>
      <c r="C422" s="1" t="str">
        <f t="shared" si="6"/>
        <v>Churned</v>
      </c>
      <c r="D422" s="1" t="str">
        <f>IF(Raw_Data!S422=0,"Low Contact",IF(Raw_Data!S422&lt;=2,"Normal Contact","High Contact"))</f>
        <v>High Contact</v>
      </c>
      <c r="E422" s="1" t="str">
        <f>IF(AND(Raw_Data!G422&gt;200,Raw_Data!H422&gt;100),"High Usage","Normal Usage")</f>
        <v>High Usage</v>
      </c>
      <c r="F422" s="1" t="str" cm="1">
        <f t="array" ref="F422">_xlfn.IFS(B422=TRUE,"High Risk",AND(Raw_Data!S422&gt;=3,Raw_Data!G422&gt;200),"High Risk",Raw_Data!S422&gt;=2,"Medium Risk",TRUE,"Low Risk")</f>
        <v>High Risk</v>
      </c>
      <c r="G422" s="1" t="str">
        <f>IF(OR(Raw_Data!D422="Yes",Raw_Data!E422="Yes"),"Has Plan","No Special Plan")</f>
        <v>No Special Plan</v>
      </c>
      <c r="H422" s="1" t="str">
        <f>IF(NOT(Raw_Data!S422&gt;=3),"Normal Service Contact","Frequent Service Contact")</f>
        <v>Frequent Service Contact</v>
      </c>
      <c r="I422" s="1" t="str" cm="1">
        <f t="array" ref="I422">_xlfn.SWITCH(Raw_Data!D422,"Yes","International Customer","No","Domestic Plan","Unknown")</f>
        <v>Domestic Plan</v>
      </c>
      <c r="J422" s="1" t="str">
        <f>IF(ISERROR(Raw_Data!G422/0),"Error","Valid")</f>
        <v>Error</v>
      </c>
      <c r="K422" s="1" t="str">
        <f>IF(ISBLANK(Raw_Data!A422),"Missing","Available")</f>
        <v>Available</v>
      </c>
      <c r="L422" s="5" t="str">
        <f>IF(ISNUMBER(Raw_Data!G422),"Numeric","Not Numeric")</f>
        <v>Numeric</v>
      </c>
    </row>
    <row r="423" spans="1:12" x14ac:dyDescent="0.25">
      <c r="A423" s="4" t="str">
        <f>Raw_Data!A423</f>
        <v>ND</v>
      </c>
      <c r="B423" s="1" t="b">
        <f>Raw_Data!T423</f>
        <v>0</v>
      </c>
      <c r="C423" s="1" t="str">
        <f t="shared" si="6"/>
        <v>Retained</v>
      </c>
      <c r="D423" s="1" t="str">
        <f>IF(Raw_Data!S423=0,"Low Contact",IF(Raw_Data!S423&lt;=2,"Normal Contact","High Contact"))</f>
        <v>Normal Contact</v>
      </c>
      <c r="E423" s="1" t="str">
        <f>IF(AND(Raw_Data!G423&gt;200,Raw_Data!H423&gt;100),"High Usage","Normal Usage")</f>
        <v>Normal Usage</v>
      </c>
      <c r="F423" s="1" t="str" cm="1">
        <f t="array" ref="F423">_xlfn.IFS(B423=TRUE,"High Risk",AND(Raw_Data!S423&gt;=3,Raw_Data!G423&gt;200),"High Risk",Raw_Data!S423&gt;=2,"Medium Risk",TRUE,"Low Risk")</f>
        <v>Medium Risk</v>
      </c>
      <c r="G423" s="1" t="str">
        <f>IF(OR(Raw_Data!D423="Yes",Raw_Data!E423="Yes"),"Has Plan","No Special Plan")</f>
        <v>No Special Plan</v>
      </c>
      <c r="H423" s="1" t="str">
        <f>IF(NOT(Raw_Data!S423&gt;=3),"Normal Service Contact","Frequent Service Contact")</f>
        <v>Normal Service Contact</v>
      </c>
      <c r="I423" s="1" t="str" cm="1">
        <f t="array" ref="I423">_xlfn.SWITCH(Raw_Data!D423,"Yes","International Customer","No","Domestic Plan","Unknown")</f>
        <v>Domestic Plan</v>
      </c>
      <c r="J423" s="1" t="str">
        <f>IF(ISERROR(Raw_Data!G423/0),"Error","Valid")</f>
        <v>Error</v>
      </c>
      <c r="K423" s="1" t="str">
        <f>IF(ISBLANK(Raw_Data!A423),"Missing","Available")</f>
        <v>Available</v>
      </c>
      <c r="L423" s="5" t="str">
        <f>IF(ISNUMBER(Raw_Data!G423),"Numeric","Not Numeric")</f>
        <v>Numeric</v>
      </c>
    </row>
    <row r="424" spans="1:12" x14ac:dyDescent="0.25">
      <c r="A424" s="4" t="str">
        <f>Raw_Data!A424</f>
        <v>CO</v>
      </c>
      <c r="B424" s="1" t="b">
        <f>Raw_Data!T424</f>
        <v>0</v>
      </c>
      <c r="C424" s="1" t="str">
        <f t="shared" si="6"/>
        <v>Retained</v>
      </c>
      <c r="D424" s="1" t="str">
        <f>IF(Raw_Data!S424=0,"Low Contact",IF(Raw_Data!S424&lt;=2,"Normal Contact","High Contact"))</f>
        <v>Low Contact</v>
      </c>
      <c r="E424" s="1" t="str">
        <f>IF(AND(Raw_Data!G424&gt;200,Raw_Data!H424&gt;100),"High Usage","Normal Usage")</f>
        <v>High Usage</v>
      </c>
      <c r="F424" s="1" t="str" cm="1">
        <f t="array" ref="F424">_xlfn.IFS(B424=TRUE,"High Risk",AND(Raw_Data!S424&gt;=3,Raw_Data!G424&gt;200),"High Risk",Raw_Data!S424&gt;=2,"Medium Risk",TRUE,"Low Risk")</f>
        <v>Low Risk</v>
      </c>
      <c r="G424" s="1" t="str">
        <f>IF(OR(Raw_Data!D424="Yes",Raw_Data!E424="Yes"),"Has Plan","No Special Plan")</f>
        <v>No Special Plan</v>
      </c>
      <c r="H424" s="1" t="str">
        <f>IF(NOT(Raw_Data!S424&gt;=3),"Normal Service Contact","Frequent Service Contact")</f>
        <v>Normal Service Contact</v>
      </c>
      <c r="I424" s="1" t="str" cm="1">
        <f t="array" ref="I424">_xlfn.SWITCH(Raw_Data!D424,"Yes","International Customer","No","Domestic Plan","Unknown")</f>
        <v>Domestic Plan</v>
      </c>
      <c r="J424" s="1" t="str">
        <f>IF(ISERROR(Raw_Data!G424/0),"Error","Valid")</f>
        <v>Error</v>
      </c>
      <c r="K424" s="1" t="str">
        <f>IF(ISBLANK(Raw_Data!A424),"Missing","Available")</f>
        <v>Available</v>
      </c>
      <c r="L424" s="5" t="str">
        <f>IF(ISNUMBER(Raw_Data!G424),"Numeric","Not Numeric")</f>
        <v>Numeric</v>
      </c>
    </row>
    <row r="425" spans="1:12" x14ac:dyDescent="0.25">
      <c r="A425" s="4" t="str">
        <f>Raw_Data!A425</f>
        <v>TX</v>
      </c>
      <c r="B425" s="1" t="b">
        <f>Raw_Data!T425</f>
        <v>0</v>
      </c>
      <c r="C425" s="1" t="str">
        <f t="shared" si="6"/>
        <v>Retained</v>
      </c>
      <c r="D425" s="1" t="str">
        <f>IF(Raw_Data!S425=0,"Low Contact",IF(Raw_Data!S425&lt;=2,"Normal Contact","High Contact"))</f>
        <v>High Contact</v>
      </c>
      <c r="E425" s="1" t="str">
        <f>IF(AND(Raw_Data!G425&gt;200,Raw_Data!H425&gt;100),"High Usage","Normal Usage")</f>
        <v>Normal Usage</v>
      </c>
      <c r="F425" s="1" t="str" cm="1">
        <f t="array" ref="F425">_xlfn.IFS(B425=TRUE,"High Risk",AND(Raw_Data!S425&gt;=3,Raw_Data!G425&gt;200),"High Risk",Raw_Data!S425&gt;=2,"Medium Risk",TRUE,"Low Risk")</f>
        <v>High Risk</v>
      </c>
      <c r="G425" s="1" t="str">
        <f>IF(OR(Raw_Data!D425="Yes",Raw_Data!E425="Yes"),"Has Plan","No Special Plan")</f>
        <v>No Special Plan</v>
      </c>
      <c r="H425" s="1" t="str">
        <f>IF(NOT(Raw_Data!S425&gt;=3),"Normal Service Contact","Frequent Service Contact")</f>
        <v>Frequent Service Contact</v>
      </c>
      <c r="I425" s="1" t="str" cm="1">
        <f t="array" ref="I425">_xlfn.SWITCH(Raw_Data!D425,"Yes","International Customer","No","Domestic Plan","Unknown")</f>
        <v>Domestic Plan</v>
      </c>
      <c r="J425" s="1" t="str">
        <f>IF(ISERROR(Raw_Data!G425/0),"Error","Valid")</f>
        <v>Error</v>
      </c>
      <c r="K425" s="1" t="str">
        <f>IF(ISBLANK(Raw_Data!A425),"Missing","Available")</f>
        <v>Available</v>
      </c>
      <c r="L425" s="5" t="str">
        <f>IF(ISNUMBER(Raw_Data!G425),"Numeric","Not Numeric")</f>
        <v>Numeric</v>
      </c>
    </row>
    <row r="426" spans="1:12" x14ac:dyDescent="0.25">
      <c r="A426" s="4" t="str">
        <f>Raw_Data!A426</f>
        <v>CA</v>
      </c>
      <c r="B426" s="1" t="b">
        <f>Raw_Data!T426</f>
        <v>1</v>
      </c>
      <c r="C426" s="1" t="str">
        <f t="shared" si="6"/>
        <v>Churned</v>
      </c>
      <c r="D426" s="1" t="str">
        <f>IF(Raw_Data!S426=0,"Low Contact",IF(Raw_Data!S426&lt;=2,"Normal Contact","High Contact"))</f>
        <v>Low Contact</v>
      </c>
      <c r="E426" s="1" t="str">
        <f>IF(AND(Raw_Data!G426&gt;200,Raw_Data!H426&gt;100),"High Usage","Normal Usage")</f>
        <v>High Usage</v>
      </c>
      <c r="F426" s="1" t="str" cm="1">
        <f t="array" ref="F426">_xlfn.IFS(B426=TRUE,"High Risk",AND(Raw_Data!S426&gt;=3,Raw_Data!G426&gt;200),"High Risk",Raw_Data!S426&gt;=2,"Medium Risk",TRUE,"Low Risk")</f>
        <v>High Risk</v>
      </c>
      <c r="G426" s="1" t="str">
        <f>IF(OR(Raw_Data!D426="Yes",Raw_Data!E426="Yes"),"Has Plan","No Special Plan")</f>
        <v>No Special Plan</v>
      </c>
      <c r="H426" s="1" t="str">
        <f>IF(NOT(Raw_Data!S426&gt;=3),"Normal Service Contact","Frequent Service Contact")</f>
        <v>Normal Service Contact</v>
      </c>
      <c r="I426" s="1" t="str" cm="1">
        <f t="array" ref="I426">_xlfn.SWITCH(Raw_Data!D426,"Yes","International Customer","No","Domestic Plan","Unknown")</f>
        <v>Domestic Plan</v>
      </c>
      <c r="J426" s="1" t="str">
        <f>IF(ISERROR(Raw_Data!G426/0),"Error","Valid")</f>
        <v>Error</v>
      </c>
      <c r="K426" s="1" t="str">
        <f>IF(ISBLANK(Raw_Data!A426),"Missing","Available")</f>
        <v>Available</v>
      </c>
      <c r="L426" s="5" t="str">
        <f>IF(ISNUMBER(Raw_Data!G426),"Numeric","Not Numeric")</f>
        <v>Numeric</v>
      </c>
    </row>
    <row r="427" spans="1:12" x14ac:dyDescent="0.25">
      <c r="A427" s="4" t="str">
        <f>Raw_Data!A427</f>
        <v>MS</v>
      </c>
      <c r="B427" s="1" t="b">
        <f>Raw_Data!T427</f>
        <v>0</v>
      </c>
      <c r="C427" s="1" t="str">
        <f t="shared" si="6"/>
        <v>Retained</v>
      </c>
      <c r="D427" s="1" t="str">
        <f>IF(Raw_Data!S427=0,"Low Contact",IF(Raw_Data!S427&lt;=2,"Normal Contact","High Contact"))</f>
        <v>Low Contact</v>
      </c>
      <c r="E427" s="1" t="str">
        <f>IF(AND(Raw_Data!G427&gt;200,Raw_Data!H427&gt;100),"High Usage","Normal Usage")</f>
        <v>Normal Usage</v>
      </c>
      <c r="F427" s="1" t="str" cm="1">
        <f t="array" ref="F427">_xlfn.IFS(B427=TRUE,"High Risk",AND(Raw_Data!S427&gt;=3,Raw_Data!G427&gt;200),"High Risk",Raw_Data!S427&gt;=2,"Medium Risk",TRUE,"Low Risk")</f>
        <v>Low Risk</v>
      </c>
      <c r="G427" s="1" t="str">
        <f>IF(OR(Raw_Data!D427="Yes",Raw_Data!E427="Yes"),"Has Plan","No Special Plan")</f>
        <v>Has Plan</v>
      </c>
      <c r="H427" s="1" t="str">
        <f>IF(NOT(Raw_Data!S427&gt;=3),"Normal Service Contact","Frequent Service Contact")</f>
        <v>Normal Service Contact</v>
      </c>
      <c r="I427" s="1" t="str" cm="1">
        <f t="array" ref="I427">_xlfn.SWITCH(Raw_Data!D427,"Yes","International Customer","No","Domestic Plan","Unknown")</f>
        <v>Domestic Plan</v>
      </c>
      <c r="J427" s="1" t="str">
        <f>IF(ISERROR(Raw_Data!G427/0),"Error","Valid")</f>
        <v>Error</v>
      </c>
      <c r="K427" s="1" t="str">
        <f>IF(ISBLANK(Raw_Data!A427),"Missing","Available")</f>
        <v>Available</v>
      </c>
      <c r="L427" s="5" t="str">
        <f>IF(ISNUMBER(Raw_Data!G427),"Numeric","Not Numeric")</f>
        <v>Numeric</v>
      </c>
    </row>
    <row r="428" spans="1:12" x14ac:dyDescent="0.25">
      <c r="A428" s="4" t="str">
        <f>Raw_Data!A428</f>
        <v>RI</v>
      </c>
      <c r="B428" s="1" t="b">
        <f>Raw_Data!T428</f>
        <v>0</v>
      </c>
      <c r="C428" s="1" t="str">
        <f t="shared" si="6"/>
        <v>Retained</v>
      </c>
      <c r="D428" s="1" t="str">
        <f>IF(Raw_Data!S428=0,"Low Contact",IF(Raw_Data!S428&lt;=2,"Normal Contact","High Contact"))</f>
        <v>Normal Contact</v>
      </c>
      <c r="E428" s="1" t="str">
        <f>IF(AND(Raw_Data!G428&gt;200,Raw_Data!H428&gt;100),"High Usage","Normal Usage")</f>
        <v>Normal Usage</v>
      </c>
      <c r="F428" s="1" t="str" cm="1">
        <f t="array" ref="F428">_xlfn.IFS(B428=TRUE,"High Risk",AND(Raw_Data!S428&gt;=3,Raw_Data!G428&gt;200),"High Risk",Raw_Data!S428&gt;=2,"Medium Risk",TRUE,"Low Risk")</f>
        <v>Low Risk</v>
      </c>
      <c r="G428" s="1" t="str">
        <f>IF(OR(Raw_Data!D428="Yes",Raw_Data!E428="Yes"),"Has Plan","No Special Plan")</f>
        <v>Has Plan</v>
      </c>
      <c r="H428" s="1" t="str">
        <f>IF(NOT(Raw_Data!S428&gt;=3),"Normal Service Contact","Frequent Service Contact")</f>
        <v>Normal Service Contact</v>
      </c>
      <c r="I428" s="1" t="str" cm="1">
        <f t="array" ref="I428">_xlfn.SWITCH(Raw_Data!D428,"Yes","International Customer","No","Domestic Plan","Unknown")</f>
        <v>Domestic Plan</v>
      </c>
      <c r="J428" s="1" t="str">
        <f>IF(ISERROR(Raw_Data!G428/0),"Error","Valid")</f>
        <v>Error</v>
      </c>
      <c r="K428" s="1" t="str">
        <f>IF(ISBLANK(Raw_Data!A428),"Missing","Available")</f>
        <v>Available</v>
      </c>
      <c r="L428" s="5" t="str">
        <f>IF(ISNUMBER(Raw_Data!G428),"Numeric","Not Numeric")</f>
        <v>Numeric</v>
      </c>
    </row>
    <row r="429" spans="1:12" x14ac:dyDescent="0.25">
      <c r="A429" s="4" t="str">
        <f>Raw_Data!A429</f>
        <v>NM</v>
      </c>
      <c r="B429" s="1" t="b">
        <f>Raw_Data!T429</f>
        <v>0</v>
      </c>
      <c r="C429" s="1" t="str">
        <f t="shared" si="6"/>
        <v>Retained</v>
      </c>
      <c r="D429" s="1" t="str">
        <f>IF(Raw_Data!S429=0,"Low Contact",IF(Raw_Data!S429&lt;=2,"Normal Contact","High Contact"))</f>
        <v>Normal Contact</v>
      </c>
      <c r="E429" s="1" t="str">
        <f>IF(AND(Raw_Data!G429&gt;200,Raw_Data!H429&gt;100),"High Usage","Normal Usage")</f>
        <v>Normal Usage</v>
      </c>
      <c r="F429" s="1" t="str" cm="1">
        <f t="array" ref="F429">_xlfn.IFS(B429=TRUE,"High Risk",AND(Raw_Data!S429&gt;=3,Raw_Data!G429&gt;200),"High Risk",Raw_Data!S429&gt;=2,"Medium Risk",TRUE,"Low Risk")</f>
        <v>Low Risk</v>
      </c>
      <c r="G429" s="1" t="str">
        <f>IF(OR(Raw_Data!D429="Yes",Raw_Data!E429="Yes"),"Has Plan","No Special Plan")</f>
        <v>No Special Plan</v>
      </c>
      <c r="H429" s="1" t="str">
        <f>IF(NOT(Raw_Data!S429&gt;=3),"Normal Service Contact","Frequent Service Contact")</f>
        <v>Normal Service Contact</v>
      </c>
      <c r="I429" s="1" t="str" cm="1">
        <f t="array" ref="I429">_xlfn.SWITCH(Raw_Data!D429,"Yes","International Customer","No","Domestic Plan","Unknown")</f>
        <v>Domestic Plan</v>
      </c>
      <c r="J429" s="1" t="str">
        <f>IF(ISERROR(Raw_Data!G429/0),"Error","Valid")</f>
        <v>Error</v>
      </c>
      <c r="K429" s="1" t="str">
        <f>IF(ISBLANK(Raw_Data!A429),"Missing","Available")</f>
        <v>Available</v>
      </c>
      <c r="L429" s="5" t="str">
        <f>IF(ISNUMBER(Raw_Data!G429),"Numeric","Not Numeric")</f>
        <v>Numeric</v>
      </c>
    </row>
    <row r="430" spans="1:12" x14ac:dyDescent="0.25">
      <c r="A430" s="4" t="str">
        <f>Raw_Data!A430</f>
        <v>VA</v>
      </c>
      <c r="B430" s="1" t="b">
        <f>Raw_Data!T430</f>
        <v>0</v>
      </c>
      <c r="C430" s="1" t="str">
        <f t="shared" si="6"/>
        <v>Retained</v>
      </c>
      <c r="D430" s="1" t="str">
        <f>IF(Raw_Data!S430=0,"Low Contact",IF(Raw_Data!S430&lt;=2,"Normal Contact","High Contact"))</f>
        <v>High Contact</v>
      </c>
      <c r="E430" s="1" t="str">
        <f>IF(AND(Raw_Data!G430&gt;200,Raw_Data!H430&gt;100),"High Usage","Normal Usage")</f>
        <v>High Usage</v>
      </c>
      <c r="F430" s="1" t="str" cm="1">
        <f t="array" ref="F430">_xlfn.IFS(B430=TRUE,"High Risk",AND(Raw_Data!S430&gt;=3,Raw_Data!G430&gt;200),"High Risk",Raw_Data!S430&gt;=2,"Medium Risk",TRUE,"Low Risk")</f>
        <v>High Risk</v>
      </c>
      <c r="G430" s="1" t="str">
        <f>IF(OR(Raw_Data!D430="Yes",Raw_Data!E430="Yes"),"Has Plan","No Special Plan")</f>
        <v>No Special Plan</v>
      </c>
      <c r="H430" s="1" t="str">
        <f>IF(NOT(Raw_Data!S430&gt;=3),"Normal Service Contact","Frequent Service Contact")</f>
        <v>Frequent Service Contact</v>
      </c>
      <c r="I430" s="1" t="str" cm="1">
        <f t="array" ref="I430">_xlfn.SWITCH(Raw_Data!D430,"Yes","International Customer","No","Domestic Plan","Unknown")</f>
        <v>Domestic Plan</v>
      </c>
      <c r="J430" s="1" t="str">
        <f>IF(ISERROR(Raw_Data!G430/0),"Error","Valid")</f>
        <v>Error</v>
      </c>
      <c r="K430" s="1" t="str">
        <f>IF(ISBLANK(Raw_Data!A430),"Missing","Available")</f>
        <v>Available</v>
      </c>
      <c r="L430" s="5" t="str">
        <f>IF(ISNUMBER(Raw_Data!G430),"Numeric","Not Numeric")</f>
        <v>Numeric</v>
      </c>
    </row>
    <row r="431" spans="1:12" x14ac:dyDescent="0.25">
      <c r="A431" s="4" t="str">
        <f>Raw_Data!A431</f>
        <v>TX</v>
      </c>
      <c r="B431" s="1" t="b">
        <f>Raw_Data!T431</f>
        <v>0</v>
      </c>
      <c r="C431" s="1" t="str">
        <f t="shared" si="6"/>
        <v>Retained</v>
      </c>
      <c r="D431" s="1" t="str">
        <f>IF(Raw_Data!S431=0,"Low Contact",IF(Raw_Data!S431&lt;=2,"Normal Contact","High Contact"))</f>
        <v>Normal Contact</v>
      </c>
      <c r="E431" s="1" t="str">
        <f>IF(AND(Raw_Data!G431&gt;200,Raw_Data!H431&gt;100),"High Usage","Normal Usage")</f>
        <v>Normal Usage</v>
      </c>
      <c r="F431" s="1" t="str" cm="1">
        <f t="array" ref="F431">_xlfn.IFS(B431=TRUE,"High Risk",AND(Raw_Data!S431&gt;=3,Raw_Data!G431&gt;200),"High Risk",Raw_Data!S431&gt;=2,"Medium Risk",TRUE,"Low Risk")</f>
        <v>Low Risk</v>
      </c>
      <c r="G431" s="1" t="str">
        <f>IF(OR(Raw_Data!D431="Yes",Raw_Data!E431="Yes"),"Has Plan","No Special Plan")</f>
        <v>No Special Plan</v>
      </c>
      <c r="H431" s="1" t="str">
        <f>IF(NOT(Raw_Data!S431&gt;=3),"Normal Service Contact","Frequent Service Contact")</f>
        <v>Normal Service Contact</v>
      </c>
      <c r="I431" s="1" t="str" cm="1">
        <f t="array" ref="I431">_xlfn.SWITCH(Raw_Data!D431,"Yes","International Customer","No","Domestic Plan","Unknown")</f>
        <v>Domestic Plan</v>
      </c>
      <c r="J431" s="1" t="str">
        <f>IF(ISERROR(Raw_Data!G431/0),"Error","Valid")</f>
        <v>Error</v>
      </c>
      <c r="K431" s="1" t="str">
        <f>IF(ISBLANK(Raw_Data!A431),"Missing","Available")</f>
        <v>Available</v>
      </c>
      <c r="L431" s="5" t="str">
        <f>IF(ISNUMBER(Raw_Data!G431),"Numeric","Not Numeric")</f>
        <v>Numeric</v>
      </c>
    </row>
    <row r="432" spans="1:12" x14ac:dyDescent="0.25">
      <c r="A432" s="4" t="str">
        <f>Raw_Data!A432</f>
        <v>NM</v>
      </c>
      <c r="B432" s="1" t="b">
        <f>Raw_Data!T432</f>
        <v>1</v>
      </c>
      <c r="C432" s="1" t="str">
        <f t="shared" si="6"/>
        <v>Churned</v>
      </c>
      <c r="D432" s="1" t="str">
        <f>IF(Raw_Data!S432=0,"Low Contact",IF(Raw_Data!S432&lt;=2,"Normal Contact","High Contact"))</f>
        <v>High Contact</v>
      </c>
      <c r="E432" s="1" t="str">
        <f>IF(AND(Raw_Data!G432&gt;200,Raw_Data!H432&gt;100),"High Usage","Normal Usage")</f>
        <v>Normal Usage</v>
      </c>
      <c r="F432" s="1" t="str" cm="1">
        <f t="array" ref="F432">_xlfn.IFS(B432=TRUE,"High Risk",AND(Raw_Data!S432&gt;=3,Raw_Data!G432&gt;200),"High Risk",Raw_Data!S432&gt;=2,"Medium Risk",TRUE,"Low Risk")</f>
        <v>High Risk</v>
      </c>
      <c r="G432" s="1" t="str">
        <f>IF(OR(Raw_Data!D432="Yes",Raw_Data!E432="Yes"),"Has Plan","No Special Plan")</f>
        <v>No Special Plan</v>
      </c>
      <c r="H432" s="1" t="str">
        <f>IF(NOT(Raw_Data!S432&gt;=3),"Normal Service Contact","Frequent Service Contact")</f>
        <v>Frequent Service Contact</v>
      </c>
      <c r="I432" s="1" t="str" cm="1">
        <f t="array" ref="I432">_xlfn.SWITCH(Raw_Data!D432,"Yes","International Customer","No","Domestic Plan","Unknown")</f>
        <v>Domestic Plan</v>
      </c>
      <c r="J432" s="1" t="str">
        <f>IF(ISERROR(Raw_Data!G432/0),"Error","Valid")</f>
        <v>Error</v>
      </c>
      <c r="K432" s="1" t="str">
        <f>IF(ISBLANK(Raw_Data!A432),"Missing","Available")</f>
        <v>Available</v>
      </c>
      <c r="L432" s="5" t="str">
        <f>IF(ISNUMBER(Raw_Data!G432),"Numeric","Not Numeric")</f>
        <v>Numeric</v>
      </c>
    </row>
    <row r="433" spans="1:12" x14ac:dyDescent="0.25">
      <c r="A433" s="4" t="str">
        <f>Raw_Data!A433</f>
        <v>RI</v>
      </c>
      <c r="B433" s="1" t="b">
        <f>Raw_Data!T433</f>
        <v>0</v>
      </c>
      <c r="C433" s="1" t="str">
        <f t="shared" si="6"/>
        <v>Retained</v>
      </c>
      <c r="D433" s="1" t="str">
        <f>IF(Raw_Data!S433=0,"Low Contact",IF(Raw_Data!S433&lt;=2,"Normal Contact","High Contact"))</f>
        <v>Normal Contact</v>
      </c>
      <c r="E433" s="1" t="str">
        <f>IF(AND(Raw_Data!G433&gt;200,Raw_Data!H433&gt;100),"High Usage","Normal Usage")</f>
        <v>Normal Usage</v>
      </c>
      <c r="F433" s="1" t="str" cm="1">
        <f t="array" ref="F433">_xlfn.IFS(B433=TRUE,"High Risk",AND(Raw_Data!S433&gt;=3,Raw_Data!G433&gt;200),"High Risk",Raw_Data!S433&gt;=2,"Medium Risk",TRUE,"Low Risk")</f>
        <v>Low Risk</v>
      </c>
      <c r="G433" s="1" t="str">
        <f>IF(OR(Raw_Data!D433="Yes",Raw_Data!E433="Yes"),"Has Plan","No Special Plan")</f>
        <v>No Special Plan</v>
      </c>
      <c r="H433" s="1" t="str">
        <f>IF(NOT(Raw_Data!S433&gt;=3),"Normal Service Contact","Frequent Service Contact")</f>
        <v>Normal Service Contact</v>
      </c>
      <c r="I433" s="1" t="str" cm="1">
        <f t="array" ref="I433">_xlfn.SWITCH(Raw_Data!D433,"Yes","International Customer","No","Domestic Plan","Unknown")</f>
        <v>Domestic Plan</v>
      </c>
      <c r="J433" s="1" t="str">
        <f>IF(ISERROR(Raw_Data!G433/0),"Error","Valid")</f>
        <v>Error</v>
      </c>
      <c r="K433" s="1" t="str">
        <f>IF(ISBLANK(Raw_Data!A433),"Missing","Available")</f>
        <v>Available</v>
      </c>
      <c r="L433" s="5" t="str">
        <f>IF(ISNUMBER(Raw_Data!G433),"Numeric","Not Numeric")</f>
        <v>Numeric</v>
      </c>
    </row>
    <row r="434" spans="1:12" x14ac:dyDescent="0.25">
      <c r="A434" s="4" t="str">
        <f>Raw_Data!A434</f>
        <v>NY</v>
      </c>
      <c r="B434" s="1" t="b">
        <f>Raw_Data!T434</f>
        <v>0</v>
      </c>
      <c r="C434" s="1" t="str">
        <f t="shared" si="6"/>
        <v>Retained</v>
      </c>
      <c r="D434" s="1" t="str">
        <f>IF(Raw_Data!S434=0,"Low Contact",IF(Raw_Data!S434&lt;=2,"Normal Contact","High Contact"))</f>
        <v>Normal Contact</v>
      </c>
      <c r="E434" s="1" t="str">
        <f>IF(AND(Raw_Data!G434&gt;200,Raw_Data!H434&gt;100),"High Usage","Normal Usage")</f>
        <v>Normal Usage</v>
      </c>
      <c r="F434" s="1" t="str" cm="1">
        <f t="array" ref="F434">_xlfn.IFS(B434=TRUE,"High Risk",AND(Raw_Data!S434&gt;=3,Raw_Data!G434&gt;200),"High Risk",Raw_Data!S434&gt;=2,"Medium Risk",TRUE,"Low Risk")</f>
        <v>Medium Risk</v>
      </c>
      <c r="G434" s="1" t="str">
        <f>IF(OR(Raw_Data!D434="Yes",Raw_Data!E434="Yes"),"Has Plan","No Special Plan")</f>
        <v>No Special Plan</v>
      </c>
      <c r="H434" s="1" t="str">
        <f>IF(NOT(Raw_Data!S434&gt;=3),"Normal Service Contact","Frequent Service Contact")</f>
        <v>Normal Service Contact</v>
      </c>
      <c r="I434" s="1" t="str" cm="1">
        <f t="array" ref="I434">_xlfn.SWITCH(Raw_Data!D434,"Yes","International Customer","No","Domestic Plan","Unknown")</f>
        <v>Domestic Plan</v>
      </c>
      <c r="J434" s="1" t="str">
        <f>IF(ISERROR(Raw_Data!G434/0),"Error","Valid")</f>
        <v>Error</v>
      </c>
      <c r="K434" s="1" t="str">
        <f>IF(ISBLANK(Raw_Data!A434),"Missing","Available")</f>
        <v>Available</v>
      </c>
      <c r="L434" s="5" t="str">
        <f>IF(ISNUMBER(Raw_Data!G434),"Numeric","Not Numeric")</f>
        <v>Numeric</v>
      </c>
    </row>
    <row r="435" spans="1:12" x14ac:dyDescent="0.25">
      <c r="A435" s="4" t="str">
        <f>Raw_Data!A435</f>
        <v>WA</v>
      </c>
      <c r="B435" s="1" t="b">
        <f>Raw_Data!T435</f>
        <v>0</v>
      </c>
      <c r="C435" s="1" t="str">
        <f t="shared" si="6"/>
        <v>Retained</v>
      </c>
      <c r="D435" s="1" t="str">
        <f>IF(Raw_Data!S435=0,"Low Contact",IF(Raw_Data!S435&lt;=2,"Normal Contact","High Contact"))</f>
        <v>Normal Contact</v>
      </c>
      <c r="E435" s="1" t="str">
        <f>IF(AND(Raw_Data!G435&gt;200,Raw_Data!H435&gt;100),"High Usage","Normal Usage")</f>
        <v>High Usage</v>
      </c>
      <c r="F435" s="1" t="str" cm="1">
        <f t="array" ref="F435">_xlfn.IFS(B435=TRUE,"High Risk",AND(Raw_Data!S435&gt;=3,Raw_Data!G435&gt;200),"High Risk",Raw_Data!S435&gt;=2,"Medium Risk",TRUE,"Low Risk")</f>
        <v>Medium Risk</v>
      </c>
      <c r="G435" s="1" t="str">
        <f>IF(OR(Raw_Data!D435="Yes",Raw_Data!E435="Yes"),"Has Plan","No Special Plan")</f>
        <v>No Special Plan</v>
      </c>
      <c r="H435" s="1" t="str">
        <f>IF(NOT(Raw_Data!S435&gt;=3),"Normal Service Contact","Frequent Service Contact")</f>
        <v>Normal Service Contact</v>
      </c>
      <c r="I435" s="1" t="str" cm="1">
        <f t="array" ref="I435">_xlfn.SWITCH(Raw_Data!D435,"Yes","International Customer","No","Domestic Plan","Unknown")</f>
        <v>Domestic Plan</v>
      </c>
      <c r="J435" s="1" t="str">
        <f>IF(ISERROR(Raw_Data!G435/0),"Error","Valid")</f>
        <v>Error</v>
      </c>
      <c r="K435" s="1" t="str">
        <f>IF(ISBLANK(Raw_Data!A435),"Missing","Available")</f>
        <v>Available</v>
      </c>
      <c r="L435" s="5" t="str">
        <f>IF(ISNUMBER(Raw_Data!G435),"Numeric","Not Numeric")</f>
        <v>Numeric</v>
      </c>
    </row>
    <row r="436" spans="1:12" x14ac:dyDescent="0.25">
      <c r="A436" s="4" t="str">
        <f>Raw_Data!A436</f>
        <v>NE</v>
      </c>
      <c r="B436" s="1" t="b">
        <f>Raw_Data!T436</f>
        <v>0</v>
      </c>
      <c r="C436" s="1" t="str">
        <f t="shared" si="6"/>
        <v>Retained</v>
      </c>
      <c r="D436" s="1" t="str">
        <f>IF(Raw_Data!S436=0,"Low Contact",IF(Raw_Data!S436&lt;=2,"Normal Contact","High Contact"))</f>
        <v>Normal Contact</v>
      </c>
      <c r="E436" s="1" t="str">
        <f>IF(AND(Raw_Data!G436&gt;200,Raw_Data!H436&gt;100),"High Usage","Normal Usage")</f>
        <v>Normal Usage</v>
      </c>
      <c r="F436" s="1" t="str" cm="1">
        <f t="array" ref="F436">_xlfn.IFS(B436=TRUE,"High Risk",AND(Raw_Data!S436&gt;=3,Raw_Data!G436&gt;200),"High Risk",Raw_Data!S436&gt;=2,"Medium Risk",TRUE,"Low Risk")</f>
        <v>Low Risk</v>
      </c>
      <c r="G436" s="1" t="str">
        <f>IF(OR(Raw_Data!D436="Yes",Raw_Data!E436="Yes"),"Has Plan","No Special Plan")</f>
        <v>Has Plan</v>
      </c>
      <c r="H436" s="1" t="str">
        <f>IF(NOT(Raw_Data!S436&gt;=3),"Normal Service Contact","Frequent Service Contact")</f>
        <v>Normal Service Contact</v>
      </c>
      <c r="I436" s="1" t="str" cm="1">
        <f t="array" ref="I436">_xlfn.SWITCH(Raw_Data!D436,"Yes","International Customer","No","Domestic Plan","Unknown")</f>
        <v>International Customer</v>
      </c>
      <c r="J436" s="1" t="str">
        <f>IF(ISERROR(Raw_Data!G436/0),"Error","Valid")</f>
        <v>Error</v>
      </c>
      <c r="K436" s="1" t="str">
        <f>IF(ISBLANK(Raw_Data!A436),"Missing","Available")</f>
        <v>Available</v>
      </c>
      <c r="L436" s="5" t="str">
        <f>IF(ISNUMBER(Raw_Data!G436),"Numeric","Not Numeric")</f>
        <v>Numeric</v>
      </c>
    </row>
    <row r="437" spans="1:12" x14ac:dyDescent="0.25">
      <c r="A437" s="4" t="str">
        <f>Raw_Data!A437</f>
        <v>ID</v>
      </c>
      <c r="B437" s="1" t="b">
        <f>Raw_Data!T437</f>
        <v>0</v>
      </c>
      <c r="C437" s="1" t="str">
        <f t="shared" si="6"/>
        <v>Retained</v>
      </c>
      <c r="D437" s="1" t="str">
        <f>IF(Raw_Data!S437=0,"Low Contact",IF(Raw_Data!S437&lt;=2,"Normal Contact","High Contact"))</f>
        <v>Low Contact</v>
      </c>
      <c r="E437" s="1" t="str">
        <f>IF(AND(Raw_Data!G437&gt;200,Raw_Data!H437&gt;100),"High Usage","Normal Usage")</f>
        <v>Normal Usage</v>
      </c>
      <c r="F437" s="1" t="str" cm="1">
        <f t="array" ref="F437">_xlfn.IFS(B437=TRUE,"High Risk",AND(Raw_Data!S437&gt;=3,Raw_Data!G437&gt;200),"High Risk",Raw_Data!S437&gt;=2,"Medium Risk",TRUE,"Low Risk")</f>
        <v>Low Risk</v>
      </c>
      <c r="G437" s="1" t="str">
        <f>IF(OR(Raw_Data!D437="Yes",Raw_Data!E437="Yes"),"Has Plan","No Special Plan")</f>
        <v>No Special Plan</v>
      </c>
      <c r="H437" s="1" t="str">
        <f>IF(NOT(Raw_Data!S437&gt;=3),"Normal Service Contact","Frequent Service Contact")</f>
        <v>Normal Service Contact</v>
      </c>
      <c r="I437" s="1" t="str" cm="1">
        <f t="array" ref="I437">_xlfn.SWITCH(Raw_Data!D437,"Yes","International Customer","No","Domestic Plan","Unknown")</f>
        <v>Domestic Plan</v>
      </c>
      <c r="J437" s="1" t="str">
        <f>IF(ISERROR(Raw_Data!G437/0),"Error","Valid")</f>
        <v>Error</v>
      </c>
      <c r="K437" s="1" t="str">
        <f>IF(ISBLANK(Raw_Data!A437),"Missing","Available")</f>
        <v>Available</v>
      </c>
      <c r="L437" s="5" t="str">
        <f>IF(ISNUMBER(Raw_Data!G437),"Numeric","Not Numeric")</f>
        <v>Numeric</v>
      </c>
    </row>
    <row r="438" spans="1:12" x14ac:dyDescent="0.25">
      <c r="A438" s="4" t="str">
        <f>Raw_Data!A438</f>
        <v>WV</v>
      </c>
      <c r="B438" s="1" t="b">
        <f>Raw_Data!T438</f>
        <v>0</v>
      </c>
      <c r="C438" s="1" t="str">
        <f t="shared" si="6"/>
        <v>Retained</v>
      </c>
      <c r="D438" s="1" t="str">
        <f>IF(Raw_Data!S438=0,"Low Contact",IF(Raw_Data!S438&lt;=2,"Normal Contact","High Contact"))</f>
        <v>Normal Contact</v>
      </c>
      <c r="E438" s="1" t="str">
        <f>IF(AND(Raw_Data!G438&gt;200,Raw_Data!H438&gt;100),"High Usage","Normal Usage")</f>
        <v>High Usage</v>
      </c>
      <c r="F438" s="1" t="str" cm="1">
        <f t="array" ref="F438">_xlfn.IFS(B438=TRUE,"High Risk",AND(Raw_Data!S438&gt;=3,Raw_Data!G438&gt;200),"High Risk",Raw_Data!S438&gt;=2,"Medium Risk",TRUE,"Low Risk")</f>
        <v>Medium Risk</v>
      </c>
      <c r="G438" s="1" t="str">
        <f>IF(OR(Raw_Data!D438="Yes",Raw_Data!E438="Yes"),"Has Plan","No Special Plan")</f>
        <v>No Special Plan</v>
      </c>
      <c r="H438" s="1" t="str">
        <f>IF(NOT(Raw_Data!S438&gt;=3),"Normal Service Contact","Frequent Service Contact")</f>
        <v>Normal Service Contact</v>
      </c>
      <c r="I438" s="1" t="str" cm="1">
        <f t="array" ref="I438">_xlfn.SWITCH(Raw_Data!D438,"Yes","International Customer","No","Domestic Plan","Unknown")</f>
        <v>Domestic Plan</v>
      </c>
      <c r="J438" s="1" t="str">
        <f>IF(ISERROR(Raw_Data!G438/0),"Error","Valid")</f>
        <v>Error</v>
      </c>
      <c r="K438" s="1" t="str">
        <f>IF(ISBLANK(Raw_Data!A438),"Missing","Available")</f>
        <v>Available</v>
      </c>
      <c r="L438" s="5" t="str">
        <f>IF(ISNUMBER(Raw_Data!G438),"Numeric","Not Numeric")</f>
        <v>Numeric</v>
      </c>
    </row>
    <row r="439" spans="1:12" x14ac:dyDescent="0.25">
      <c r="A439" s="4" t="str">
        <f>Raw_Data!A439</f>
        <v>NE</v>
      </c>
      <c r="B439" s="1" t="b">
        <f>Raw_Data!T439</f>
        <v>1</v>
      </c>
      <c r="C439" s="1" t="str">
        <f t="shared" si="6"/>
        <v>Churned</v>
      </c>
      <c r="D439" s="1" t="str">
        <f>IF(Raw_Data!S439=0,"Low Contact",IF(Raw_Data!S439&lt;=2,"Normal Contact","High Contact"))</f>
        <v>Normal Contact</v>
      </c>
      <c r="E439" s="1" t="str">
        <f>IF(AND(Raw_Data!G439&gt;200,Raw_Data!H439&gt;100),"High Usage","Normal Usage")</f>
        <v>High Usage</v>
      </c>
      <c r="F439" s="1" t="str" cm="1">
        <f t="array" ref="F439">_xlfn.IFS(B439=TRUE,"High Risk",AND(Raw_Data!S439&gt;=3,Raw_Data!G439&gt;200),"High Risk",Raw_Data!S439&gt;=2,"Medium Risk",TRUE,"Low Risk")</f>
        <v>High Risk</v>
      </c>
      <c r="G439" s="1" t="str">
        <f>IF(OR(Raw_Data!D439="Yes",Raw_Data!E439="Yes"),"Has Plan","No Special Plan")</f>
        <v>No Special Plan</v>
      </c>
      <c r="H439" s="1" t="str">
        <f>IF(NOT(Raw_Data!S439&gt;=3),"Normal Service Contact","Frequent Service Contact")</f>
        <v>Normal Service Contact</v>
      </c>
      <c r="I439" s="1" t="str" cm="1">
        <f t="array" ref="I439">_xlfn.SWITCH(Raw_Data!D439,"Yes","International Customer","No","Domestic Plan","Unknown")</f>
        <v>Domestic Plan</v>
      </c>
      <c r="J439" s="1" t="str">
        <f>IF(ISERROR(Raw_Data!G439/0),"Error","Valid")</f>
        <v>Error</v>
      </c>
      <c r="K439" s="1" t="str">
        <f>IF(ISBLANK(Raw_Data!A439),"Missing","Available")</f>
        <v>Available</v>
      </c>
      <c r="L439" s="5" t="str">
        <f>IF(ISNUMBER(Raw_Data!G439),"Numeric","Not Numeric")</f>
        <v>Numeric</v>
      </c>
    </row>
    <row r="440" spans="1:12" x14ac:dyDescent="0.25">
      <c r="A440" s="4" t="str">
        <f>Raw_Data!A440</f>
        <v>RI</v>
      </c>
      <c r="B440" s="1" t="b">
        <f>Raw_Data!T440</f>
        <v>0</v>
      </c>
      <c r="C440" s="1" t="str">
        <f t="shared" si="6"/>
        <v>Retained</v>
      </c>
      <c r="D440" s="1" t="str">
        <f>IF(Raw_Data!S440=0,"Low Contact",IF(Raw_Data!S440&lt;=2,"Normal Contact","High Contact"))</f>
        <v>Normal Contact</v>
      </c>
      <c r="E440" s="1" t="str">
        <f>IF(AND(Raw_Data!G440&gt;200,Raw_Data!H440&gt;100),"High Usage","Normal Usage")</f>
        <v>High Usage</v>
      </c>
      <c r="F440" s="1" t="str" cm="1">
        <f t="array" ref="F440">_xlfn.IFS(B440=TRUE,"High Risk",AND(Raw_Data!S440&gt;=3,Raw_Data!G440&gt;200),"High Risk",Raw_Data!S440&gt;=2,"Medium Risk",TRUE,"Low Risk")</f>
        <v>Medium Risk</v>
      </c>
      <c r="G440" s="1" t="str">
        <f>IF(OR(Raw_Data!D440="Yes",Raw_Data!E440="Yes"),"Has Plan","No Special Plan")</f>
        <v>Has Plan</v>
      </c>
      <c r="H440" s="1" t="str">
        <f>IF(NOT(Raw_Data!S440&gt;=3),"Normal Service Contact","Frequent Service Contact")</f>
        <v>Normal Service Contact</v>
      </c>
      <c r="I440" s="1" t="str" cm="1">
        <f t="array" ref="I440">_xlfn.SWITCH(Raw_Data!D440,"Yes","International Customer","No","Domestic Plan","Unknown")</f>
        <v>Domestic Plan</v>
      </c>
      <c r="J440" s="1" t="str">
        <f>IF(ISERROR(Raw_Data!G440/0),"Error","Valid")</f>
        <v>Error</v>
      </c>
      <c r="K440" s="1" t="str">
        <f>IF(ISBLANK(Raw_Data!A440),"Missing","Available")</f>
        <v>Available</v>
      </c>
      <c r="L440" s="5" t="str">
        <f>IF(ISNUMBER(Raw_Data!G440),"Numeric","Not Numeric")</f>
        <v>Numeric</v>
      </c>
    </row>
    <row r="441" spans="1:12" x14ac:dyDescent="0.25">
      <c r="A441" s="4" t="str">
        <f>Raw_Data!A441</f>
        <v>CT</v>
      </c>
      <c r="B441" s="1" t="b">
        <f>Raw_Data!T441</f>
        <v>0</v>
      </c>
      <c r="C441" s="1" t="str">
        <f t="shared" si="6"/>
        <v>Retained</v>
      </c>
      <c r="D441" s="1" t="str">
        <f>IF(Raw_Data!S441=0,"Low Contact",IF(Raw_Data!S441&lt;=2,"Normal Contact","High Contact"))</f>
        <v>High Contact</v>
      </c>
      <c r="E441" s="1" t="str">
        <f>IF(AND(Raw_Data!G441&gt;200,Raw_Data!H441&gt;100),"High Usage","Normal Usage")</f>
        <v>High Usage</v>
      </c>
      <c r="F441" s="1" t="str" cm="1">
        <f t="array" ref="F441">_xlfn.IFS(B441=TRUE,"High Risk",AND(Raw_Data!S441&gt;=3,Raw_Data!G441&gt;200),"High Risk",Raw_Data!S441&gt;=2,"Medium Risk",TRUE,"Low Risk")</f>
        <v>High Risk</v>
      </c>
      <c r="G441" s="1" t="str">
        <f>IF(OR(Raw_Data!D441="Yes",Raw_Data!E441="Yes"),"Has Plan","No Special Plan")</f>
        <v>Has Plan</v>
      </c>
      <c r="H441" s="1" t="str">
        <f>IF(NOT(Raw_Data!S441&gt;=3),"Normal Service Contact","Frequent Service Contact")</f>
        <v>Frequent Service Contact</v>
      </c>
      <c r="I441" s="1" t="str" cm="1">
        <f t="array" ref="I441">_xlfn.SWITCH(Raw_Data!D441,"Yes","International Customer","No","Domestic Plan","Unknown")</f>
        <v>Domestic Plan</v>
      </c>
      <c r="J441" s="1" t="str">
        <f>IF(ISERROR(Raw_Data!G441/0),"Error","Valid")</f>
        <v>Error</v>
      </c>
      <c r="K441" s="1" t="str">
        <f>IF(ISBLANK(Raw_Data!A441),"Missing","Available")</f>
        <v>Available</v>
      </c>
      <c r="L441" s="5" t="str">
        <f>IF(ISNUMBER(Raw_Data!G441),"Numeric","Not Numeric")</f>
        <v>Numeric</v>
      </c>
    </row>
    <row r="442" spans="1:12" x14ac:dyDescent="0.25">
      <c r="A442" s="4" t="str">
        <f>Raw_Data!A442</f>
        <v>RI</v>
      </c>
      <c r="B442" s="1" t="b">
        <f>Raw_Data!T442</f>
        <v>0</v>
      </c>
      <c r="C442" s="1" t="str">
        <f t="shared" si="6"/>
        <v>Retained</v>
      </c>
      <c r="D442" s="1" t="str">
        <f>IF(Raw_Data!S442=0,"Low Contact",IF(Raw_Data!S442&lt;=2,"Normal Contact","High Contact"))</f>
        <v>Normal Contact</v>
      </c>
      <c r="E442" s="1" t="str">
        <f>IF(AND(Raw_Data!G442&gt;200,Raw_Data!H442&gt;100),"High Usage","Normal Usage")</f>
        <v>Normal Usage</v>
      </c>
      <c r="F442" s="1" t="str" cm="1">
        <f t="array" ref="F442">_xlfn.IFS(B442=TRUE,"High Risk",AND(Raw_Data!S442&gt;=3,Raw_Data!G442&gt;200),"High Risk",Raw_Data!S442&gt;=2,"Medium Risk",TRUE,"Low Risk")</f>
        <v>Low Risk</v>
      </c>
      <c r="G442" s="1" t="str">
        <f>IF(OR(Raw_Data!D442="Yes",Raw_Data!E442="Yes"),"Has Plan","No Special Plan")</f>
        <v>Has Plan</v>
      </c>
      <c r="H442" s="1" t="str">
        <f>IF(NOT(Raw_Data!S442&gt;=3),"Normal Service Contact","Frequent Service Contact")</f>
        <v>Normal Service Contact</v>
      </c>
      <c r="I442" s="1" t="str" cm="1">
        <f t="array" ref="I442">_xlfn.SWITCH(Raw_Data!D442,"Yes","International Customer","No","Domestic Plan","Unknown")</f>
        <v>International Customer</v>
      </c>
      <c r="J442" s="1" t="str">
        <f>IF(ISERROR(Raw_Data!G442/0),"Error","Valid")</f>
        <v>Error</v>
      </c>
      <c r="K442" s="1" t="str">
        <f>IF(ISBLANK(Raw_Data!A442),"Missing","Available")</f>
        <v>Available</v>
      </c>
      <c r="L442" s="5" t="str">
        <f>IF(ISNUMBER(Raw_Data!G442),"Numeric","Not Numeric")</f>
        <v>Numeric</v>
      </c>
    </row>
    <row r="443" spans="1:12" x14ac:dyDescent="0.25">
      <c r="A443" s="4" t="str">
        <f>Raw_Data!A443</f>
        <v>IA</v>
      </c>
      <c r="B443" s="1" t="b">
        <f>Raw_Data!T443</f>
        <v>0</v>
      </c>
      <c r="C443" s="1" t="str">
        <f t="shared" si="6"/>
        <v>Retained</v>
      </c>
      <c r="D443" s="1" t="str">
        <f>IF(Raw_Data!S443=0,"Low Contact",IF(Raw_Data!S443&lt;=2,"Normal Contact","High Contact"))</f>
        <v>High Contact</v>
      </c>
      <c r="E443" s="1" t="str">
        <f>IF(AND(Raw_Data!G443&gt;200,Raw_Data!H443&gt;100),"High Usage","Normal Usage")</f>
        <v>Normal Usage</v>
      </c>
      <c r="F443" s="1" t="str" cm="1">
        <f t="array" ref="F443">_xlfn.IFS(B443=TRUE,"High Risk",AND(Raw_Data!S443&gt;=3,Raw_Data!G443&gt;200),"High Risk",Raw_Data!S443&gt;=2,"Medium Risk",TRUE,"Low Risk")</f>
        <v>High Risk</v>
      </c>
      <c r="G443" s="1" t="str">
        <f>IF(OR(Raw_Data!D443="Yes",Raw_Data!E443="Yes"),"Has Plan","No Special Plan")</f>
        <v>No Special Plan</v>
      </c>
      <c r="H443" s="1" t="str">
        <f>IF(NOT(Raw_Data!S443&gt;=3),"Normal Service Contact","Frequent Service Contact")</f>
        <v>Frequent Service Contact</v>
      </c>
      <c r="I443" s="1" t="str" cm="1">
        <f t="array" ref="I443">_xlfn.SWITCH(Raw_Data!D443,"Yes","International Customer","No","Domestic Plan","Unknown")</f>
        <v>Domestic Plan</v>
      </c>
      <c r="J443" s="1" t="str">
        <f>IF(ISERROR(Raw_Data!G443/0),"Error","Valid")</f>
        <v>Error</v>
      </c>
      <c r="K443" s="1" t="str">
        <f>IF(ISBLANK(Raw_Data!A443),"Missing","Available")</f>
        <v>Available</v>
      </c>
      <c r="L443" s="5" t="str">
        <f>IF(ISNUMBER(Raw_Data!G443),"Numeric","Not Numeric")</f>
        <v>Numeric</v>
      </c>
    </row>
    <row r="444" spans="1:12" x14ac:dyDescent="0.25">
      <c r="A444" s="4" t="str">
        <f>Raw_Data!A444</f>
        <v>MS</v>
      </c>
      <c r="B444" s="1" t="b">
        <f>Raw_Data!T444</f>
        <v>1</v>
      </c>
      <c r="C444" s="1" t="str">
        <f t="shared" si="6"/>
        <v>Churned</v>
      </c>
      <c r="D444" s="1" t="str">
        <f>IF(Raw_Data!S444=0,"Low Contact",IF(Raw_Data!S444&lt;=2,"Normal Contact","High Contact"))</f>
        <v>Normal Contact</v>
      </c>
      <c r="E444" s="1" t="str">
        <f>IF(AND(Raw_Data!G444&gt;200,Raw_Data!H444&gt;100),"High Usage","Normal Usage")</f>
        <v>High Usage</v>
      </c>
      <c r="F444" s="1" t="str" cm="1">
        <f t="array" ref="F444">_xlfn.IFS(B444=TRUE,"High Risk",AND(Raw_Data!S444&gt;=3,Raw_Data!G444&gt;200),"High Risk",Raw_Data!S444&gt;=2,"Medium Risk",TRUE,"Low Risk")</f>
        <v>High Risk</v>
      </c>
      <c r="G444" s="1" t="str">
        <f>IF(OR(Raw_Data!D444="Yes",Raw_Data!E444="Yes"),"Has Plan","No Special Plan")</f>
        <v>No Special Plan</v>
      </c>
      <c r="H444" s="1" t="str">
        <f>IF(NOT(Raw_Data!S444&gt;=3),"Normal Service Contact","Frequent Service Contact")</f>
        <v>Normal Service Contact</v>
      </c>
      <c r="I444" s="1" t="str" cm="1">
        <f t="array" ref="I444">_xlfn.SWITCH(Raw_Data!D444,"Yes","International Customer","No","Domestic Plan","Unknown")</f>
        <v>Domestic Plan</v>
      </c>
      <c r="J444" s="1" t="str">
        <f>IF(ISERROR(Raw_Data!G444/0),"Error","Valid")</f>
        <v>Error</v>
      </c>
      <c r="K444" s="1" t="str">
        <f>IF(ISBLANK(Raw_Data!A444),"Missing","Available")</f>
        <v>Available</v>
      </c>
      <c r="L444" s="5" t="str">
        <f>IF(ISNUMBER(Raw_Data!G444),"Numeric","Not Numeric")</f>
        <v>Numeric</v>
      </c>
    </row>
    <row r="445" spans="1:12" x14ac:dyDescent="0.25">
      <c r="A445" s="4" t="str">
        <f>Raw_Data!A445</f>
        <v>ME</v>
      </c>
      <c r="B445" s="1" t="b">
        <f>Raw_Data!T445</f>
        <v>0</v>
      </c>
      <c r="C445" s="1" t="str">
        <f t="shared" si="6"/>
        <v>Retained</v>
      </c>
      <c r="D445" s="1" t="str">
        <f>IF(Raw_Data!S445=0,"Low Contact",IF(Raw_Data!S445&lt;=2,"Normal Contact","High Contact"))</f>
        <v>Normal Contact</v>
      </c>
      <c r="E445" s="1" t="str">
        <f>IF(AND(Raw_Data!G445&gt;200,Raw_Data!H445&gt;100),"High Usage","Normal Usage")</f>
        <v>Normal Usage</v>
      </c>
      <c r="F445" s="1" t="str" cm="1">
        <f t="array" ref="F445">_xlfn.IFS(B445=TRUE,"High Risk",AND(Raw_Data!S445&gt;=3,Raw_Data!G445&gt;200),"High Risk",Raw_Data!S445&gt;=2,"Medium Risk",TRUE,"Low Risk")</f>
        <v>Low Risk</v>
      </c>
      <c r="G445" s="1" t="str">
        <f>IF(OR(Raw_Data!D445="Yes",Raw_Data!E445="Yes"),"Has Plan","No Special Plan")</f>
        <v>No Special Plan</v>
      </c>
      <c r="H445" s="1" t="str">
        <f>IF(NOT(Raw_Data!S445&gt;=3),"Normal Service Contact","Frequent Service Contact")</f>
        <v>Normal Service Contact</v>
      </c>
      <c r="I445" s="1" t="str" cm="1">
        <f t="array" ref="I445">_xlfn.SWITCH(Raw_Data!D445,"Yes","International Customer","No","Domestic Plan","Unknown")</f>
        <v>Domestic Plan</v>
      </c>
      <c r="J445" s="1" t="str">
        <f>IF(ISERROR(Raw_Data!G445/0),"Error","Valid")</f>
        <v>Error</v>
      </c>
      <c r="K445" s="1" t="str">
        <f>IF(ISBLANK(Raw_Data!A445),"Missing","Available")</f>
        <v>Available</v>
      </c>
      <c r="L445" s="5" t="str">
        <f>IF(ISNUMBER(Raw_Data!G445),"Numeric","Not Numeric")</f>
        <v>Numeric</v>
      </c>
    </row>
    <row r="446" spans="1:12" x14ac:dyDescent="0.25">
      <c r="A446" s="4" t="str">
        <f>Raw_Data!A446</f>
        <v>MS</v>
      </c>
      <c r="B446" s="1" t="b">
        <f>Raw_Data!T446</f>
        <v>0</v>
      </c>
      <c r="C446" s="1" t="str">
        <f t="shared" si="6"/>
        <v>Retained</v>
      </c>
      <c r="D446" s="1" t="str">
        <f>IF(Raw_Data!S446=0,"Low Contact",IF(Raw_Data!S446&lt;=2,"Normal Contact","High Contact"))</f>
        <v>Normal Contact</v>
      </c>
      <c r="E446" s="1" t="str">
        <f>IF(AND(Raw_Data!G446&gt;200,Raw_Data!H446&gt;100),"High Usage","Normal Usage")</f>
        <v>Normal Usage</v>
      </c>
      <c r="F446" s="1" t="str" cm="1">
        <f t="array" ref="F446">_xlfn.IFS(B446=TRUE,"High Risk",AND(Raw_Data!S446&gt;=3,Raw_Data!G446&gt;200),"High Risk",Raw_Data!S446&gt;=2,"Medium Risk",TRUE,"Low Risk")</f>
        <v>Low Risk</v>
      </c>
      <c r="G446" s="1" t="str">
        <f>IF(OR(Raw_Data!D446="Yes",Raw_Data!E446="Yes"),"Has Plan","No Special Plan")</f>
        <v>Has Plan</v>
      </c>
      <c r="H446" s="1" t="str">
        <f>IF(NOT(Raw_Data!S446&gt;=3),"Normal Service Contact","Frequent Service Contact")</f>
        <v>Normal Service Contact</v>
      </c>
      <c r="I446" s="1" t="str" cm="1">
        <f t="array" ref="I446">_xlfn.SWITCH(Raw_Data!D446,"Yes","International Customer","No","Domestic Plan","Unknown")</f>
        <v>International Customer</v>
      </c>
      <c r="J446" s="1" t="str">
        <f>IF(ISERROR(Raw_Data!G446/0),"Error","Valid")</f>
        <v>Error</v>
      </c>
      <c r="K446" s="1" t="str">
        <f>IF(ISBLANK(Raw_Data!A446),"Missing","Available")</f>
        <v>Available</v>
      </c>
      <c r="L446" s="5" t="str">
        <f>IF(ISNUMBER(Raw_Data!G446),"Numeric","Not Numeric")</f>
        <v>Numeric</v>
      </c>
    </row>
    <row r="447" spans="1:12" x14ac:dyDescent="0.25">
      <c r="A447" s="4" t="str">
        <f>Raw_Data!A447</f>
        <v>VA</v>
      </c>
      <c r="B447" s="1" t="b">
        <f>Raw_Data!T447</f>
        <v>0</v>
      </c>
      <c r="C447" s="1" t="str">
        <f t="shared" si="6"/>
        <v>Retained</v>
      </c>
      <c r="D447" s="1" t="str">
        <f>IF(Raw_Data!S447=0,"Low Contact",IF(Raw_Data!S447&lt;=2,"Normal Contact","High Contact"))</f>
        <v>Normal Contact</v>
      </c>
      <c r="E447" s="1" t="str">
        <f>IF(AND(Raw_Data!G447&gt;200,Raw_Data!H447&gt;100),"High Usage","Normal Usage")</f>
        <v>Normal Usage</v>
      </c>
      <c r="F447" s="1" t="str" cm="1">
        <f t="array" ref="F447">_xlfn.IFS(B447=TRUE,"High Risk",AND(Raw_Data!S447&gt;=3,Raw_Data!G447&gt;200),"High Risk",Raw_Data!S447&gt;=2,"Medium Risk",TRUE,"Low Risk")</f>
        <v>Medium Risk</v>
      </c>
      <c r="G447" s="1" t="str">
        <f>IF(OR(Raw_Data!D447="Yes",Raw_Data!E447="Yes"),"Has Plan","No Special Plan")</f>
        <v>No Special Plan</v>
      </c>
      <c r="H447" s="1" t="str">
        <f>IF(NOT(Raw_Data!S447&gt;=3),"Normal Service Contact","Frequent Service Contact")</f>
        <v>Normal Service Contact</v>
      </c>
      <c r="I447" s="1" t="str" cm="1">
        <f t="array" ref="I447">_xlfn.SWITCH(Raw_Data!D447,"Yes","International Customer","No","Domestic Plan","Unknown")</f>
        <v>Domestic Plan</v>
      </c>
      <c r="J447" s="1" t="str">
        <f>IF(ISERROR(Raw_Data!G447/0),"Error","Valid")</f>
        <v>Error</v>
      </c>
      <c r="K447" s="1" t="str">
        <f>IF(ISBLANK(Raw_Data!A447),"Missing","Available")</f>
        <v>Available</v>
      </c>
      <c r="L447" s="5" t="str">
        <f>IF(ISNUMBER(Raw_Data!G447),"Numeric","Not Numeric")</f>
        <v>Numeric</v>
      </c>
    </row>
    <row r="448" spans="1:12" x14ac:dyDescent="0.25">
      <c r="A448" s="4" t="str">
        <f>Raw_Data!A448</f>
        <v>PA</v>
      </c>
      <c r="B448" s="1" t="b">
        <f>Raw_Data!T448</f>
        <v>0</v>
      </c>
      <c r="C448" s="1" t="str">
        <f t="shared" si="6"/>
        <v>Retained</v>
      </c>
      <c r="D448" s="1" t="str">
        <f>IF(Raw_Data!S448=0,"Low Contact",IF(Raw_Data!S448&lt;=2,"Normal Contact","High Contact"))</f>
        <v>Normal Contact</v>
      </c>
      <c r="E448" s="1" t="str">
        <f>IF(AND(Raw_Data!G448&gt;200,Raw_Data!H448&gt;100),"High Usage","Normal Usage")</f>
        <v>Normal Usage</v>
      </c>
      <c r="F448" s="1" t="str" cm="1">
        <f t="array" ref="F448">_xlfn.IFS(B448=TRUE,"High Risk",AND(Raw_Data!S448&gt;=3,Raw_Data!G448&gt;200),"High Risk",Raw_Data!S448&gt;=2,"Medium Risk",TRUE,"Low Risk")</f>
        <v>Medium Risk</v>
      </c>
      <c r="G448" s="1" t="str">
        <f>IF(OR(Raw_Data!D448="Yes",Raw_Data!E448="Yes"),"Has Plan","No Special Plan")</f>
        <v>No Special Plan</v>
      </c>
      <c r="H448" s="1" t="str">
        <f>IF(NOT(Raw_Data!S448&gt;=3),"Normal Service Contact","Frequent Service Contact")</f>
        <v>Normal Service Contact</v>
      </c>
      <c r="I448" s="1" t="str" cm="1">
        <f t="array" ref="I448">_xlfn.SWITCH(Raw_Data!D448,"Yes","International Customer","No","Domestic Plan","Unknown")</f>
        <v>Domestic Plan</v>
      </c>
      <c r="J448" s="1" t="str">
        <f>IF(ISERROR(Raw_Data!G448/0),"Error","Valid")</f>
        <v>Error</v>
      </c>
      <c r="K448" s="1" t="str">
        <f>IF(ISBLANK(Raw_Data!A448),"Missing","Available")</f>
        <v>Available</v>
      </c>
      <c r="L448" s="5" t="str">
        <f>IF(ISNUMBER(Raw_Data!G448),"Numeric","Not Numeric")</f>
        <v>Numeric</v>
      </c>
    </row>
    <row r="449" spans="1:12" x14ac:dyDescent="0.25">
      <c r="A449" s="4" t="str">
        <f>Raw_Data!A449</f>
        <v>NE</v>
      </c>
      <c r="B449" s="1" t="b">
        <f>Raw_Data!T449</f>
        <v>0</v>
      </c>
      <c r="C449" s="1" t="str">
        <f t="shared" si="6"/>
        <v>Retained</v>
      </c>
      <c r="D449" s="1" t="str">
        <f>IF(Raw_Data!S449=0,"Low Contact",IF(Raw_Data!S449&lt;=2,"Normal Contact","High Contact"))</f>
        <v>High Contact</v>
      </c>
      <c r="E449" s="1" t="str">
        <f>IF(AND(Raw_Data!G449&gt;200,Raw_Data!H449&gt;100),"High Usage","Normal Usage")</f>
        <v>Normal Usage</v>
      </c>
      <c r="F449" s="1" t="str" cm="1">
        <f t="array" ref="F449">_xlfn.IFS(B449=TRUE,"High Risk",AND(Raw_Data!S449&gt;=3,Raw_Data!G449&gt;200),"High Risk",Raw_Data!S449&gt;=2,"Medium Risk",TRUE,"Low Risk")</f>
        <v>Medium Risk</v>
      </c>
      <c r="G449" s="1" t="str">
        <f>IF(OR(Raw_Data!D449="Yes",Raw_Data!E449="Yes"),"Has Plan","No Special Plan")</f>
        <v>No Special Plan</v>
      </c>
      <c r="H449" s="1" t="str">
        <f>IF(NOT(Raw_Data!S449&gt;=3),"Normal Service Contact","Frequent Service Contact")</f>
        <v>Frequent Service Contact</v>
      </c>
      <c r="I449" s="1" t="str" cm="1">
        <f t="array" ref="I449">_xlfn.SWITCH(Raw_Data!D449,"Yes","International Customer","No","Domestic Plan","Unknown")</f>
        <v>Domestic Plan</v>
      </c>
      <c r="J449" s="1" t="str">
        <f>IF(ISERROR(Raw_Data!G449/0),"Error","Valid")</f>
        <v>Error</v>
      </c>
      <c r="K449" s="1" t="str">
        <f>IF(ISBLANK(Raw_Data!A449),"Missing","Available")</f>
        <v>Available</v>
      </c>
      <c r="L449" s="5" t="str">
        <f>IF(ISNUMBER(Raw_Data!G449),"Numeric","Not Numeric")</f>
        <v>Numeric</v>
      </c>
    </row>
    <row r="450" spans="1:12" x14ac:dyDescent="0.25">
      <c r="A450" s="4" t="str">
        <f>Raw_Data!A450</f>
        <v>MI</v>
      </c>
      <c r="B450" s="1" t="b">
        <f>Raw_Data!T450</f>
        <v>0</v>
      </c>
      <c r="C450" s="1" t="str">
        <f t="shared" si="6"/>
        <v>Retained</v>
      </c>
      <c r="D450" s="1" t="str">
        <f>IF(Raw_Data!S450=0,"Low Contact",IF(Raw_Data!S450&lt;=2,"Normal Contact","High Contact"))</f>
        <v>High Contact</v>
      </c>
      <c r="E450" s="1" t="str">
        <f>IF(AND(Raw_Data!G450&gt;200,Raw_Data!H450&gt;100),"High Usage","Normal Usage")</f>
        <v>Normal Usage</v>
      </c>
      <c r="F450" s="1" t="str" cm="1">
        <f t="array" ref="F450">_xlfn.IFS(B450=TRUE,"High Risk",AND(Raw_Data!S450&gt;=3,Raw_Data!G450&gt;200),"High Risk",Raw_Data!S450&gt;=2,"Medium Risk",TRUE,"Low Risk")</f>
        <v>High Risk</v>
      </c>
      <c r="G450" s="1" t="str">
        <f>IF(OR(Raw_Data!D450="Yes",Raw_Data!E450="Yes"),"Has Plan","No Special Plan")</f>
        <v>Has Plan</v>
      </c>
      <c r="H450" s="1" t="str">
        <f>IF(NOT(Raw_Data!S450&gt;=3),"Normal Service Contact","Frequent Service Contact")</f>
        <v>Frequent Service Contact</v>
      </c>
      <c r="I450" s="1" t="str" cm="1">
        <f t="array" ref="I450">_xlfn.SWITCH(Raw_Data!D450,"Yes","International Customer","No","Domestic Plan","Unknown")</f>
        <v>Domestic Plan</v>
      </c>
      <c r="J450" s="1" t="str">
        <f>IF(ISERROR(Raw_Data!G450/0),"Error","Valid")</f>
        <v>Error</v>
      </c>
      <c r="K450" s="1" t="str">
        <f>IF(ISBLANK(Raw_Data!A450),"Missing","Available")</f>
        <v>Available</v>
      </c>
      <c r="L450" s="5" t="str">
        <f>IF(ISNUMBER(Raw_Data!G450),"Numeric","Not Numeric")</f>
        <v>Numeric</v>
      </c>
    </row>
    <row r="451" spans="1:12" x14ac:dyDescent="0.25">
      <c r="A451" s="4" t="str">
        <f>Raw_Data!A451</f>
        <v>MD</v>
      </c>
      <c r="B451" s="1" t="b">
        <f>Raw_Data!T451</f>
        <v>0</v>
      </c>
      <c r="C451" s="1" t="str">
        <f t="shared" ref="C451:C514" si="7">IF(B451=TRUE,"Churned","Retained")</f>
        <v>Retained</v>
      </c>
      <c r="D451" s="1" t="str">
        <f>IF(Raw_Data!S451=0,"Low Contact",IF(Raw_Data!S451&lt;=2,"Normal Contact","High Contact"))</f>
        <v>High Contact</v>
      </c>
      <c r="E451" s="1" t="str">
        <f>IF(AND(Raw_Data!G451&gt;200,Raw_Data!H451&gt;100),"High Usage","Normal Usage")</f>
        <v>High Usage</v>
      </c>
      <c r="F451" s="1" t="str" cm="1">
        <f t="array" ref="F451">_xlfn.IFS(B451=TRUE,"High Risk",AND(Raw_Data!S451&gt;=3,Raw_Data!G451&gt;200),"High Risk",Raw_Data!S451&gt;=2,"Medium Risk",TRUE,"Low Risk")</f>
        <v>High Risk</v>
      </c>
      <c r="G451" s="1" t="str">
        <f>IF(OR(Raw_Data!D451="Yes",Raw_Data!E451="Yes"),"Has Plan","No Special Plan")</f>
        <v>No Special Plan</v>
      </c>
      <c r="H451" s="1" t="str">
        <f>IF(NOT(Raw_Data!S451&gt;=3),"Normal Service Contact","Frequent Service Contact")</f>
        <v>Frequent Service Contact</v>
      </c>
      <c r="I451" s="1" t="str" cm="1">
        <f t="array" ref="I451">_xlfn.SWITCH(Raw_Data!D451,"Yes","International Customer","No","Domestic Plan","Unknown")</f>
        <v>Domestic Plan</v>
      </c>
      <c r="J451" s="1" t="str">
        <f>IF(ISERROR(Raw_Data!G451/0),"Error","Valid")</f>
        <v>Error</v>
      </c>
      <c r="K451" s="1" t="str">
        <f>IF(ISBLANK(Raw_Data!A451),"Missing","Available")</f>
        <v>Available</v>
      </c>
      <c r="L451" s="5" t="str">
        <f>IF(ISNUMBER(Raw_Data!G451),"Numeric","Not Numeric")</f>
        <v>Numeric</v>
      </c>
    </row>
    <row r="452" spans="1:12" x14ac:dyDescent="0.25">
      <c r="A452" s="4" t="str">
        <f>Raw_Data!A452</f>
        <v>AR</v>
      </c>
      <c r="B452" s="1" t="b">
        <f>Raw_Data!T452</f>
        <v>0</v>
      </c>
      <c r="C452" s="1" t="str">
        <f t="shared" si="7"/>
        <v>Retained</v>
      </c>
      <c r="D452" s="1" t="str">
        <f>IF(Raw_Data!S452=0,"Low Contact",IF(Raw_Data!S452&lt;=2,"Normal Contact","High Contact"))</f>
        <v>Normal Contact</v>
      </c>
      <c r="E452" s="1" t="str">
        <f>IF(AND(Raw_Data!G452&gt;200,Raw_Data!H452&gt;100),"High Usage","Normal Usage")</f>
        <v>Normal Usage</v>
      </c>
      <c r="F452" s="1" t="str" cm="1">
        <f t="array" ref="F452">_xlfn.IFS(B452=TRUE,"High Risk",AND(Raw_Data!S452&gt;=3,Raw_Data!G452&gt;200),"High Risk",Raw_Data!S452&gt;=2,"Medium Risk",TRUE,"Low Risk")</f>
        <v>Low Risk</v>
      </c>
      <c r="G452" s="1" t="str">
        <f>IF(OR(Raw_Data!D452="Yes",Raw_Data!E452="Yes"),"Has Plan","No Special Plan")</f>
        <v>No Special Plan</v>
      </c>
      <c r="H452" s="1" t="str">
        <f>IF(NOT(Raw_Data!S452&gt;=3),"Normal Service Contact","Frequent Service Contact")</f>
        <v>Normal Service Contact</v>
      </c>
      <c r="I452" s="1" t="str" cm="1">
        <f t="array" ref="I452">_xlfn.SWITCH(Raw_Data!D452,"Yes","International Customer","No","Domestic Plan","Unknown")</f>
        <v>Domestic Plan</v>
      </c>
      <c r="J452" s="1" t="str">
        <f>IF(ISERROR(Raw_Data!G452/0),"Error","Valid")</f>
        <v>Error</v>
      </c>
      <c r="K452" s="1" t="str">
        <f>IF(ISBLANK(Raw_Data!A452),"Missing","Available")</f>
        <v>Available</v>
      </c>
      <c r="L452" s="5" t="str">
        <f>IF(ISNUMBER(Raw_Data!G452),"Numeric","Not Numeric")</f>
        <v>Numeric</v>
      </c>
    </row>
    <row r="453" spans="1:12" x14ac:dyDescent="0.25">
      <c r="A453" s="4" t="str">
        <f>Raw_Data!A453</f>
        <v>FL</v>
      </c>
      <c r="B453" s="1" t="b">
        <f>Raw_Data!T453</f>
        <v>0</v>
      </c>
      <c r="C453" s="1" t="str">
        <f t="shared" si="7"/>
        <v>Retained</v>
      </c>
      <c r="D453" s="1" t="str">
        <f>IF(Raw_Data!S453=0,"Low Contact",IF(Raw_Data!S453&lt;=2,"Normal Contact","High Contact"))</f>
        <v>Normal Contact</v>
      </c>
      <c r="E453" s="1" t="str">
        <f>IF(AND(Raw_Data!G453&gt;200,Raw_Data!H453&gt;100),"High Usage","Normal Usage")</f>
        <v>Normal Usage</v>
      </c>
      <c r="F453" s="1" t="str" cm="1">
        <f t="array" ref="F453">_xlfn.IFS(B453=TRUE,"High Risk",AND(Raw_Data!S453&gt;=3,Raw_Data!G453&gt;200),"High Risk",Raw_Data!S453&gt;=2,"Medium Risk",TRUE,"Low Risk")</f>
        <v>Low Risk</v>
      </c>
      <c r="G453" s="1" t="str">
        <f>IF(OR(Raw_Data!D453="Yes",Raw_Data!E453="Yes"),"Has Plan","No Special Plan")</f>
        <v>No Special Plan</v>
      </c>
      <c r="H453" s="1" t="str">
        <f>IF(NOT(Raw_Data!S453&gt;=3),"Normal Service Contact","Frequent Service Contact")</f>
        <v>Normal Service Contact</v>
      </c>
      <c r="I453" s="1" t="str" cm="1">
        <f t="array" ref="I453">_xlfn.SWITCH(Raw_Data!D453,"Yes","International Customer","No","Domestic Plan","Unknown")</f>
        <v>Domestic Plan</v>
      </c>
      <c r="J453" s="1" t="str">
        <f>IF(ISERROR(Raw_Data!G453/0),"Error","Valid")</f>
        <v>Error</v>
      </c>
      <c r="K453" s="1" t="str">
        <f>IF(ISBLANK(Raw_Data!A453),"Missing","Available")</f>
        <v>Available</v>
      </c>
      <c r="L453" s="5" t="str">
        <f>IF(ISNUMBER(Raw_Data!G453),"Numeric","Not Numeric")</f>
        <v>Numeric</v>
      </c>
    </row>
    <row r="454" spans="1:12" x14ac:dyDescent="0.25">
      <c r="A454" s="4" t="str">
        <f>Raw_Data!A454</f>
        <v>KY</v>
      </c>
      <c r="B454" s="1" t="b">
        <f>Raw_Data!T454</f>
        <v>0</v>
      </c>
      <c r="C454" s="1" t="str">
        <f t="shared" si="7"/>
        <v>Retained</v>
      </c>
      <c r="D454" s="1" t="str">
        <f>IF(Raw_Data!S454=0,"Low Contact",IF(Raw_Data!S454&lt;=2,"Normal Contact","High Contact"))</f>
        <v>Normal Contact</v>
      </c>
      <c r="E454" s="1" t="str">
        <f>IF(AND(Raw_Data!G454&gt;200,Raw_Data!H454&gt;100),"High Usage","Normal Usage")</f>
        <v>Normal Usage</v>
      </c>
      <c r="F454" s="1" t="str" cm="1">
        <f t="array" ref="F454">_xlfn.IFS(B454=TRUE,"High Risk",AND(Raw_Data!S454&gt;=3,Raw_Data!G454&gt;200),"High Risk",Raw_Data!S454&gt;=2,"Medium Risk",TRUE,"Low Risk")</f>
        <v>Low Risk</v>
      </c>
      <c r="G454" s="1" t="str">
        <f>IF(OR(Raw_Data!D454="Yes",Raw_Data!E454="Yes"),"Has Plan","No Special Plan")</f>
        <v>No Special Plan</v>
      </c>
      <c r="H454" s="1" t="str">
        <f>IF(NOT(Raw_Data!S454&gt;=3),"Normal Service Contact","Frequent Service Contact")</f>
        <v>Normal Service Contact</v>
      </c>
      <c r="I454" s="1" t="str" cm="1">
        <f t="array" ref="I454">_xlfn.SWITCH(Raw_Data!D454,"Yes","International Customer","No","Domestic Plan","Unknown")</f>
        <v>Domestic Plan</v>
      </c>
      <c r="J454" s="1" t="str">
        <f>IF(ISERROR(Raw_Data!G454/0),"Error","Valid")</f>
        <v>Error</v>
      </c>
      <c r="K454" s="1" t="str">
        <f>IF(ISBLANK(Raw_Data!A454),"Missing","Available")</f>
        <v>Available</v>
      </c>
      <c r="L454" s="5" t="str">
        <f>IF(ISNUMBER(Raw_Data!G454),"Numeric","Not Numeric")</f>
        <v>Numeric</v>
      </c>
    </row>
    <row r="455" spans="1:12" x14ac:dyDescent="0.25">
      <c r="A455" s="4" t="str">
        <f>Raw_Data!A455</f>
        <v>IN</v>
      </c>
      <c r="B455" s="1" t="b">
        <f>Raw_Data!T455</f>
        <v>0</v>
      </c>
      <c r="C455" s="1" t="str">
        <f t="shared" si="7"/>
        <v>Retained</v>
      </c>
      <c r="D455" s="1" t="str">
        <f>IF(Raw_Data!S455=0,"Low Contact",IF(Raw_Data!S455&lt;=2,"Normal Contact","High Contact"))</f>
        <v>Normal Contact</v>
      </c>
      <c r="E455" s="1" t="str">
        <f>IF(AND(Raw_Data!G455&gt;200,Raw_Data!H455&gt;100),"High Usage","Normal Usage")</f>
        <v>Normal Usage</v>
      </c>
      <c r="F455" s="1" t="str" cm="1">
        <f t="array" ref="F455">_xlfn.IFS(B455=TRUE,"High Risk",AND(Raw_Data!S455&gt;=3,Raw_Data!G455&gt;200),"High Risk",Raw_Data!S455&gt;=2,"Medium Risk",TRUE,"Low Risk")</f>
        <v>Low Risk</v>
      </c>
      <c r="G455" s="1" t="str">
        <f>IF(OR(Raw_Data!D455="Yes",Raw_Data!E455="Yes"),"Has Plan","No Special Plan")</f>
        <v>Has Plan</v>
      </c>
      <c r="H455" s="1" t="str">
        <f>IF(NOT(Raw_Data!S455&gt;=3),"Normal Service Contact","Frequent Service Contact")</f>
        <v>Normal Service Contact</v>
      </c>
      <c r="I455" s="1" t="str" cm="1">
        <f t="array" ref="I455">_xlfn.SWITCH(Raw_Data!D455,"Yes","International Customer","No","Domestic Plan","Unknown")</f>
        <v>Domestic Plan</v>
      </c>
      <c r="J455" s="1" t="str">
        <f>IF(ISERROR(Raw_Data!G455/0),"Error","Valid")</f>
        <v>Error</v>
      </c>
      <c r="K455" s="1" t="str">
        <f>IF(ISBLANK(Raw_Data!A455),"Missing","Available")</f>
        <v>Available</v>
      </c>
      <c r="L455" s="5" t="str">
        <f>IF(ISNUMBER(Raw_Data!G455),"Numeric","Not Numeric")</f>
        <v>Numeric</v>
      </c>
    </row>
    <row r="456" spans="1:12" x14ac:dyDescent="0.25">
      <c r="A456" s="4" t="str">
        <f>Raw_Data!A456</f>
        <v>FL</v>
      </c>
      <c r="B456" s="1" t="b">
        <f>Raw_Data!T456</f>
        <v>0</v>
      </c>
      <c r="C456" s="1" t="str">
        <f t="shared" si="7"/>
        <v>Retained</v>
      </c>
      <c r="D456" s="1" t="str">
        <f>IF(Raw_Data!S456=0,"Low Contact",IF(Raw_Data!S456&lt;=2,"Normal Contact","High Contact"))</f>
        <v>Normal Contact</v>
      </c>
      <c r="E456" s="1" t="str">
        <f>IF(AND(Raw_Data!G456&gt;200,Raw_Data!H456&gt;100),"High Usage","Normal Usage")</f>
        <v>Normal Usage</v>
      </c>
      <c r="F456" s="1" t="str" cm="1">
        <f t="array" ref="F456">_xlfn.IFS(B456=TRUE,"High Risk",AND(Raw_Data!S456&gt;=3,Raw_Data!G456&gt;200),"High Risk",Raw_Data!S456&gt;=2,"Medium Risk",TRUE,"Low Risk")</f>
        <v>Low Risk</v>
      </c>
      <c r="G456" s="1" t="str">
        <f>IF(OR(Raw_Data!D456="Yes",Raw_Data!E456="Yes"),"Has Plan","No Special Plan")</f>
        <v>No Special Plan</v>
      </c>
      <c r="H456" s="1" t="str">
        <f>IF(NOT(Raw_Data!S456&gt;=3),"Normal Service Contact","Frequent Service Contact")</f>
        <v>Normal Service Contact</v>
      </c>
      <c r="I456" s="1" t="str" cm="1">
        <f t="array" ref="I456">_xlfn.SWITCH(Raw_Data!D456,"Yes","International Customer","No","Domestic Plan","Unknown")</f>
        <v>Domestic Plan</v>
      </c>
      <c r="J456" s="1" t="str">
        <f>IF(ISERROR(Raw_Data!G456/0),"Error","Valid")</f>
        <v>Error</v>
      </c>
      <c r="K456" s="1" t="str">
        <f>IF(ISBLANK(Raw_Data!A456),"Missing","Available")</f>
        <v>Available</v>
      </c>
      <c r="L456" s="5" t="str">
        <f>IF(ISNUMBER(Raw_Data!G456),"Numeric","Not Numeric")</f>
        <v>Numeric</v>
      </c>
    </row>
    <row r="457" spans="1:12" x14ac:dyDescent="0.25">
      <c r="A457" s="4" t="str">
        <f>Raw_Data!A457</f>
        <v>IL</v>
      </c>
      <c r="B457" s="1" t="b">
        <f>Raw_Data!T457</f>
        <v>1</v>
      </c>
      <c r="C457" s="1" t="str">
        <f t="shared" si="7"/>
        <v>Churned</v>
      </c>
      <c r="D457" s="1" t="str">
        <f>IF(Raw_Data!S457=0,"Low Contact",IF(Raw_Data!S457&lt;=2,"Normal Contact","High Contact"))</f>
        <v>Normal Contact</v>
      </c>
      <c r="E457" s="1" t="str">
        <f>IF(AND(Raw_Data!G457&gt;200,Raw_Data!H457&gt;100),"High Usage","Normal Usage")</f>
        <v>Normal Usage</v>
      </c>
      <c r="F457" s="1" t="str" cm="1">
        <f t="array" ref="F457">_xlfn.IFS(B457=TRUE,"High Risk",AND(Raw_Data!S457&gt;=3,Raw_Data!G457&gt;200),"High Risk",Raw_Data!S457&gt;=2,"Medium Risk",TRUE,"Low Risk")</f>
        <v>High Risk</v>
      </c>
      <c r="G457" s="1" t="str">
        <f>IF(OR(Raw_Data!D457="Yes",Raw_Data!E457="Yes"),"Has Plan","No Special Plan")</f>
        <v>Has Plan</v>
      </c>
      <c r="H457" s="1" t="str">
        <f>IF(NOT(Raw_Data!S457&gt;=3),"Normal Service Contact","Frequent Service Contact")</f>
        <v>Normal Service Contact</v>
      </c>
      <c r="I457" s="1" t="str" cm="1">
        <f t="array" ref="I457">_xlfn.SWITCH(Raw_Data!D457,"Yes","International Customer","No","Domestic Plan","Unknown")</f>
        <v>International Customer</v>
      </c>
      <c r="J457" s="1" t="str">
        <f>IF(ISERROR(Raw_Data!G457/0),"Error","Valid")</f>
        <v>Error</v>
      </c>
      <c r="K457" s="1" t="str">
        <f>IF(ISBLANK(Raw_Data!A457),"Missing","Available")</f>
        <v>Available</v>
      </c>
      <c r="L457" s="5" t="str">
        <f>IF(ISNUMBER(Raw_Data!G457),"Numeric","Not Numeric")</f>
        <v>Numeric</v>
      </c>
    </row>
    <row r="458" spans="1:12" x14ac:dyDescent="0.25">
      <c r="A458" s="4" t="str">
        <f>Raw_Data!A458</f>
        <v>AL</v>
      </c>
      <c r="B458" s="1" t="b">
        <f>Raw_Data!T458</f>
        <v>0</v>
      </c>
      <c r="C458" s="1" t="str">
        <f t="shared" si="7"/>
        <v>Retained</v>
      </c>
      <c r="D458" s="1" t="str">
        <f>IF(Raw_Data!S458=0,"Low Contact",IF(Raw_Data!S458&lt;=2,"Normal Contact","High Contact"))</f>
        <v>Normal Contact</v>
      </c>
      <c r="E458" s="1" t="str">
        <f>IF(AND(Raw_Data!G458&gt;200,Raw_Data!H458&gt;100),"High Usage","Normal Usage")</f>
        <v>High Usage</v>
      </c>
      <c r="F458" s="1" t="str" cm="1">
        <f t="array" ref="F458">_xlfn.IFS(B458=TRUE,"High Risk",AND(Raw_Data!S458&gt;=3,Raw_Data!G458&gt;200),"High Risk",Raw_Data!S458&gt;=2,"Medium Risk",TRUE,"Low Risk")</f>
        <v>Medium Risk</v>
      </c>
      <c r="G458" s="1" t="str">
        <f>IF(OR(Raw_Data!D458="Yes",Raw_Data!E458="Yes"),"Has Plan","No Special Plan")</f>
        <v>Has Plan</v>
      </c>
      <c r="H458" s="1" t="str">
        <f>IF(NOT(Raw_Data!S458&gt;=3),"Normal Service Contact","Frequent Service Contact")</f>
        <v>Normal Service Contact</v>
      </c>
      <c r="I458" s="1" t="str" cm="1">
        <f t="array" ref="I458">_xlfn.SWITCH(Raw_Data!D458,"Yes","International Customer","No","Domestic Plan","Unknown")</f>
        <v>Domestic Plan</v>
      </c>
      <c r="J458" s="1" t="str">
        <f>IF(ISERROR(Raw_Data!G458/0),"Error","Valid")</f>
        <v>Error</v>
      </c>
      <c r="K458" s="1" t="str">
        <f>IF(ISBLANK(Raw_Data!A458),"Missing","Available")</f>
        <v>Available</v>
      </c>
      <c r="L458" s="5" t="str">
        <f>IF(ISNUMBER(Raw_Data!G458),"Numeric","Not Numeric")</f>
        <v>Numeric</v>
      </c>
    </row>
    <row r="459" spans="1:12" x14ac:dyDescent="0.25">
      <c r="A459" s="4" t="str">
        <f>Raw_Data!A459</f>
        <v>MT</v>
      </c>
      <c r="B459" s="1" t="b">
        <f>Raw_Data!T459</f>
        <v>1</v>
      </c>
      <c r="C459" s="1" t="str">
        <f t="shared" si="7"/>
        <v>Churned</v>
      </c>
      <c r="D459" s="1" t="str">
        <f>IF(Raw_Data!S459=0,"Low Contact",IF(Raw_Data!S459&lt;=2,"Normal Contact","High Contact"))</f>
        <v>Normal Contact</v>
      </c>
      <c r="E459" s="1" t="str">
        <f>IF(AND(Raw_Data!G459&gt;200,Raw_Data!H459&gt;100),"High Usage","Normal Usage")</f>
        <v>Normal Usage</v>
      </c>
      <c r="F459" s="1" t="str" cm="1">
        <f t="array" ref="F459">_xlfn.IFS(B459=TRUE,"High Risk",AND(Raw_Data!S459&gt;=3,Raw_Data!G459&gt;200),"High Risk",Raw_Data!S459&gt;=2,"Medium Risk",TRUE,"Low Risk")</f>
        <v>High Risk</v>
      </c>
      <c r="G459" s="1" t="str">
        <f>IF(OR(Raw_Data!D459="Yes",Raw_Data!E459="Yes"),"Has Plan","No Special Plan")</f>
        <v>No Special Plan</v>
      </c>
      <c r="H459" s="1" t="str">
        <f>IF(NOT(Raw_Data!S459&gt;=3),"Normal Service Contact","Frequent Service Contact")</f>
        <v>Normal Service Contact</v>
      </c>
      <c r="I459" s="1" t="str" cm="1">
        <f t="array" ref="I459">_xlfn.SWITCH(Raw_Data!D459,"Yes","International Customer","No","Domestic Plan","Unknown")</f>
        <v>Domestic Plan</v>
      </c>
      <c r="J459" s="1" t="str">
        <f>IF(ISERROR(Raw_Data!G459/0),"Error","Valid")</f>
        <v>Error</v>
      </c>
      <c r="K459" s="1" t="str">
        <f>IF(ISBLANK(Raw_Data!A459),"Missing","Available")</f>
        <v>Available</v>
      </c>
      <c r="L459" s="5" t="str">
        <f>IF(ISNUMBER(Raw_Data!G459),"Numeric","Not Numeric")</f>
        <v>Numeric</v>
      </c>
    </row>
    <row r="460" spans="1:12" x14ac:dyDescent="0.25">
      <c r="A460" s="4" t="str">
        <f>Raw_Data!A460</f>
        <v>WI</v>
      </c>
      <c r="B460" s="1" t="b">
        <f>Raw_Data!T460</f>
        <v>1</v>
      </c>
      <c r="C460" s="1" t="str">
        <f t="shared" si="7"/>
        <v>Churned</v>
      </c>
      <c r="D460" s="1" t="str">
        <f>IF(Raw_Data!S460=0,"Low Contact",IF(Raw_Data!S460&lt;=2,"Normal Contact","High Contact"))</f>
        <v>Normal Contact</v>
      </c>
      <c r="E460" s="1" t="str">
        <f>IF(AND(Raw_Data!G460&gt;200,Raw_Data!H460&gt;100),"High Usage","Normal Usage")</f>
        <v>Normal Usage</v>
      </c>
      <c r="F460" s="1" t="str" cm="1">
        <f t="array" ref="F460">_xlfn.IFS(B460=TRUE,"High Risk",AND(Raw_Data!S460&gt;=3,Raw_Data!G460&gt;200),"High Risk",Raw_Data!S460&gt;=2,"Medium Risk",TRUE,"Low Risk")</f>
        <v>High Risk</v>
      </c>
      <c r="G460" s="1" t="str">
        <f>IF(OR(Raw_Data!D460="Yes",Raw_Data!E460="Yes"),"Has Plan","No Special Plan")</f>
        <v>No Special Plan</v>
      </c>
      <c r="H460" s="1" t="str">
        <f>IF(NOT(Raw_Data!S460&gt;=3),"Normal Service Contact","Frequent Service Contact")</f>
        <v>Normal Service Contact</v>
      </c>
      <c r="I460" s="1" t="str" cm="1">
        <f t="array" ref="I460">_xlfn.SWITCH(Raw_Data!D460,"Yes","International Customer","No","Domestic Plan","Unknown")</f>
        <v>Domestic Plan</v>
      </c>
      <c r="J460" s="1" t="str">
        <f>IF(ISERROR(Raw_Data!G460/0),"Error","Valid")</f>
        <v>Error</v>
      </c>
      <c r="K460" s="1" t="str">
        <f>IF(ISBLANK(Raw_Data!A460),"Missing","Available")</f>
        <v>Available</v>
      </c>
      <c r="L460" s="5" t="str">
        <f>IF(ISNUMBER(Raw_Data!G460),"Numeric","Not Numeric")</f>
        <v>Numeric</v>
      </c>
    </row>
    <row r="461" spans="1:12" x14ac:dyDescent="0.25">
      <c r="A461" s="4" t="str">
        <f>Raw_Data!A461</f>
        <v>NY</v>
      </c>
      <c r="B461" s="1" t="b">
        <f>Raw_Data!T461</f>
        <v>0</v>
      </c>
      <c r="C461" s="1" t="str">
        <f t="shared" si="7"/>
        <v>Retained</v>
      </c>
      <c r="D461" s="1" t="str">
        <f>IF(Raw_Data!S461=0,"Low Contact",IF(Raw_Data!S461&lt;=2,"Normal Contact","High Contact"))</f>
        <v>Low Contact</v>
      </c>
      <c r="E461" s="1" t="str">
        <f>IF(AND(Raw_Data!G461&gt;200,Raw_Data!H461&gt;100),"High Usage","Normal Usage")</f>
        <v>Normal Usage</v>
      </c>
      <c r="F461" s="1" t="str" cm="1">
        <f t="array" ref="F461">_xlfn.IFS(B461=TRUE,"High Risk",AND(Raw_Data!S461&gt;=3,Raw_Data!G461&gt;200),"High Risk",Raw_Data!S461&gt;=2,"Medium Risk",TRUE,"Low Risk")</f>
        <v>Low Risk</v>
      </c>
      <c r="G461" s="1" t="str">
        <f>IF(OR(Raw_Data!D461="Yes",Raw_Data!E461="Yes"),"Has Plan","No Special Plan")</f>
        <v>No Special Plan</v>
      </c>
      <c r="H461" s="1" t="str">
        <f>IF(NOT(Raw_Data!S461&gt;=3),"Normal Service Contact","Frequent Service Contact")</f>
        <v>Normal Service Contact</v>
      </c>
      <c r="I461" s="1" t="str" cm="1">
        <f t="array" ref="I461">_xlfn.SWITCH(Raw_Data!D461,"Yes","International Customer","No","Domestic Plan","Unknown")</f>
        <v>Domestic Plan</v>
      </c>
      <c r="J461" s="1" t="str">
        <f>IF(ISERROR(Raw_Data!G461/0),"Error","Valid")</f>
        <v>Error</v>
      </c>
      <c r="K461" s="1" t="str">
        <f>IF(ISBLANK(Raw_Data!A461),"Missing","Available")</f>
        <v>Available</v>
      </c>
      <c r="L461" s="5" t="str">
        <f>IF(ISNUMBER(Raw_Data!G461),"Numeric","Not Numeric")</f>
        <v>Numeric</v>
      </c>
    </row>
    <row r="462" spans="1:12" x14ac:dyDescent="0.25">
      <c r="A462" s="4" t="str">
        <f>Raw_Data!A462</f>
        <v>WY</v>
      </c>
      <c r="B462" s="1" t="b">
        <f>Raw_Data!T462</f>
        <v>0</v>
      </c>
      <c r="C462" s="1" t="str">
        <f t="shared" si="7"/>
        <v>Retained</v>
      </c>
      <c r="D462" s="1" t="str">
        <f>IF(Raw_Data!S462=0,"Low Contact",IF(Raw_Data!S462&lt;=2,"Normal Contact","High Contact"))</f>
        <v>Normal Contact</v>
      </c>
      <c r="E462" s="1" t="str">
        <f>IF(AND(Raw_Data!G462&gt;200,Raw_Data!H462&gt;100),"High Usage","Normal Usage")</f>
        <v>Normal Usage</v>
      </c>
      <c r="F462" s="1" t="str" cm="1">
        <f t="array" ref="F462">_xlfn.IFS(B462=TRUE,"High Risk",AND(Raw_Data!S462&gt;=3,Raw_Data!G462&gt;200),"High Risk",Raw_Data!S462&gt;=2,"Medium Risk",TRUE,"Low Risk")</f>
        <v>Medium Risk</v>
      </c>
      <c r="G462" s="1" t="str">
        <f>IF(OR(Raw_Data!D462="Yes",Raw_Data!E462="Yes"),"Has Plan","No Special Plan")</f>
        <v>Has Plan</v>
      </c>
      <c r="H462" s="1" t="str">
        <f>IF(NOT(Raw_Data!S462&gt;=3),"Normal Service Contact","Frequent Service Contact")</f>
        <v>Normal Service Contact</v>
      </c>
      <c r="I462" s="1" t="str" cm="1">
        <f t="array" ref="I462">_xlfn.SWITCH(Raw_Data!D462,"Yes","International Customer","No","Domestic Plan","Unknown")</f>
        <v>International Customer</v>
      </c>
      <c r="J462" s="1" t="str">
        <f>IF(ISERROR(Raw_Data!G462/0),"Error","Valid")</f>
        <v>Error</v>
      </c>
      <c r="K462" s="1" t="str">
        <f>IF(ISBLANK(Raw_Data!A462),"Missing","Available")</f>
        <v>Available</v>
      </c>
      <c r="L462" s="5" t="str">
        <f>IF(ISNUMBER(Raw_Data!G462),"Numeric","Not Numeric")</f>
        <v>Numeric</v>
      </c>
    </row>
    <row r="463" spans="1:12" x14ac:dyDescent="0.25">
      <c r="A463" s="4" t="str">
        <f>Raw_Data!A463</f>
        <v>NY</v>
      </c>
      <c r="B463" s="1" t="b">
        <f>Raw_Data!T463</f>
        <v>1</v>
      </c>
      <c r="C463" s="1" t="str">
        <f t="shared" si="7"/>
        <v>Churned</v>
      </c>
      <c r="D463" s="1" t="str">
        <f>IF(Raw_Data!S463=0,"Low Contact",IF(Raw_Data!S463&lt;=2,"Normal Contact","High Contact"))</f>
        <v>Normal Contact</v>
      </c>
      <c r="E463" s="1" t="str">
        <f>IF(AND(Raw_Data!G463&gt;200,Raw_Data!H463&gt;100),"High Usage","Normal Usage")</f>
        <v>Normal Usage</v>
      </c>
      <c r="F463" s="1" t="str" cm="1">
        <f t="array" ref="F463">_xlfn.IFS(B463=TRUE,"High Risk",AND(Raw_Data!S463&gt;=3,Raw_Data!G463&gt;200),"High Risk",Raw_Data!S463&gt;=2,"Medium Risk",TRUE,"Low Risk")</f>
        <v>High Risk</v>
      </c>
      <c r="G463" s="1" t="str">
        <f>IF(OR(Raw_Data!D463="Yes",Raw_Data!E463="Yes"),"Has Plan","No Special Plan")</f>
        <v>Has Plan</v>
      </c>
      <c r="H463" s="1" t="str">
        <f>IF(NOT(Raw_Data!S463&gt;=3),"Normal Service Contact","Frequent Service Contact")</f>
        <v>Normal Service Contact</v>
      </c>
      <c r="I463" s="1" t="str" cm="1">
        <f t="array" ref="I463">_xlfn.SWITCH(Raw_Data!D463,"Yes","International Customer","No","Domestic Plan","Unknown")</f>
        <v>International Customer</v>
      </c>
      <c r="J463" s="1" t="str">
        <f>IF(ISERROR(Raw_Data!G463/0),"Error","Valid")</f>
        <v>Error</v>
      </c>
      <c r="K463" s="1" t="str">
        <f>IF(ISBLANK(Raw_Data!A463),"Missing","Available")</f>
        <v>Available</v>
      </c>
      <c r="L463" s="5" t="str">
        <f>IF(ISNUMBER(Raw_Data!G463),"Numeric","Not Numeric")</f>
        <v>Numeric</v>
      </c>
    </row>
    <row r="464" spans="1:12" x14ac:dyDescent="0.25">
      <c r="A464" s="4" t="str">
        <f>Raw_Data!A464</f>
        <v>CO</v>
      </c>
      <c r="B464" s="1" t="b">
        <f>Raw_Data!T464</f>
        <v>0</v>
      </c>
      <c r="C464" s="1" t="str">
        <f t="shared" si="7"/>
        <v>Retained</v>
      </c>
      <c r="D464" s="1" t="str">
        <f>IF(Raw_Data!S464=0,"Low Contact",IF(Raw_Data!S464&lt;=2,"Normal Contact","High Contact"))</f>
        <v>Low Contact</v>
      </c>
      <c r="E464" s="1" t="str">
        <f>IF(AND(Raw_Data!G464&gt;200,Raw_Data!H464&gt;100),"High Usage","Normal Usage")</f>
        <v>Normal Usage</v>
      </c>
      <c r="F464" s="1" t="str" cm="1">
        <f t="array" ref="F464">_xlfn.IFS(B464=TRUE,"High Risk",AND(Raw_Data!S464&gt;=3,Raw_Data!G464&gt;200),"High Risk",Raw_Data!S464&gt;=2,"Medium Risk",TRUE,"Low Risk")</f>
        <v>Low Risk</v>
      </c>
      <c r="G464" s="1" t="str">
        <f>IF(OR(Raw_Data!D464="Yes",Raw_Data!E464="Yes"),"Has Plan","No Special Plan")</f>
        <v>No Special Plan</v>
      </c>
      <c r="H464" s="1" t="str">
        <f>IF(NOT(Raw_Data!S464&gt;=3),"Normal Service Contact","Frequent Service Contact")</f>
        <v>Normal Service Contact</v>
      </c>
      <c r="I464" s="1" t="str" cm="1">
        <f t="array" ref="I464">_xlfn.SWITCH(Raw_Data!D464,"Yes","International Customer","No","Domestic Plan","Unknown")</f>
        <v>Domestic Plan</v>
      </c>
      <c r="J464" s="1" t="str">
        <f>IF(ISERROR(Raw_Data!G464/0),"Error","Valid")</f>
        <v>Error</v>
      </c>
      <c r="K464" s="1" t="str">
        <f>IF(ISBLANK(Raw_Data!A464),"Missing","Available")</f>
        <v>Available</v>
      </c>
      <c r="L464" s="5" t="str">
        <f>IF(ISNUMBER(Raw_Data!G464),"Numeric","Not Numeric")</f>
        <v>Numeric</v>
      </c>
    </row>
    <row r="465" spans="1:12" x14ac:dyDescent="0.25">
      <c r="A465" s="4" t="str">
        <f>Raw_Data!A465</f>
        <v>CA</v>
      </c>
      <c r="B465" s="1" t="b">
        <f>Raw_Data!T465</f>
        <v>1</v>
      </c>
      <c r="C465" s="1" t="str">
        <f t="shared" si="7"/>
        <v>Churned</v>
      </c>
      <c r="D465" s="1" t="str">
        <f>IF(Raw_Data!S465=0,"Low Contact",IF(Raw_Data!S465&lt;=2,"Normal Contact","High Contact"))</f>
        <v>Normal Contact</v>
      </c>
      <c r="E465" s="1" t="str">
        <f>IF(AND(Raw_Data!G465&gt;200,Raw_Data!H465&gt;100),"High Usage","Normal Usage")</f>
        <v>High Usage</v>
      </c>
      <c r="F465" s="1" t="str" cm="1">
        <f t="array" ref="F465">_xlfn.IFS(B465=TRUE,"High Risk",AND(Raw_Data!S465&gt;=3,Raw_Data!G465&gt;200),"High Risk",Raw_Data!S465&gt;=2,"Medium Risk",TRUE,"Low Risk")</f>
        <v>High Risk</v>
      </c>
      <c r="G465" s="1" t="str">
        <f>IF(OR(Raw_Data!D465="Yes",Raw_Data!E465="Yes"),"Has Plan","No Special Plan")</f>
        <v>No Special Plan</v>
      </c>
      <c r="H465" s="1" t="str">
        <f>IF(NOT(Raw_Data!S465&gt;=3),"Normal Service Contact","Frequent Service Contact")</f>
        <v>Normal Service Contact</v>
      </c>
      <c r="I465" s="1" t="str" cm="1">
        <f t="array" ref="I465">_xlfn.SWITCH(Raw_Data!D465,"Yes","International Customer","No","Domestic Plan","Unknown")</f>
        <v>Domestic Plan</v>
      </c>
      <c r="J465" s="1" t="str">
        <f>IF(ISERROR(Raw_Data!G465/0),"Error","Valid")</f>
        <v>Error</v>
      </c>
      <c r="K465" s="1" t="str">
        <f>IF(ISBLANK(Raw_Data!A465),"Missing","Available")</f>
        <v>Available</v>
      </c>
      <c r="L465" s="5" t="str">
        <f>IF(ISNUMBER(Raw_Data!G465),"Numeric","Not Numeric")</f>
        <v>Numeric</v>
      </c>
    </row>
    <row r="466" spans="1:12" x14ac:dyDescent="0.25">
      <c r="A466" s="4" t="str">
        <f>Raw_Data!A466</f>
        <v>CO</v>
      </c>
      <c r="B466" s="1" t="b">
        <f>Raw_Data!T466</f>
        <v>1</v>
      </c>
      <c r="C466" s="1" t="str">
        <f t="shared" si="7"/>
        <v>Churned</v>
      </c>
      <c r="D466" s="1" t="str">
        <f>IF(Raw_Data!S466=0,"Low Contact",IF(Raw_Data!S466&lt;=2,"Normal Contact","High Contact"))</f>
        <v>High Contact</v>
      </c>
      <c r="E466" s="1" t="str">
        <f>IF(AND(Raw_Data!G466&gt;200,Raw_Data!H466&gt;100),"High Usage","Normal Usage")</f>
        <v>Normal Usage</v>
      </c>
      <c r="F466" s="1" t="str" cm="1">
        <f t="array" ref="F466">_xlfn.IFS(B466=TRUE,"High Risk",AND(Raw_Data!S466&gt;=3,Raw_Data!G466&gt;200),"High Risk",Raw_Data!S466&gt;=2,"Medium Risk",TRUE,"Low Risk")</f>
        <v>High Risk</v>
      </c>
      <c r="G466" s="1" t="str">
        <f>IF(OR(Raw_Data!D466="Yes",Raw_Data!E466="Yes"),"Has Plan","No Special Plan")</f>
        <v>No Special Plan</v>
      </c>
      <c r="H466" s="1" t="str">
        <f>IF(NOT(Raw_Data!S466&gt;=3),"Normal Service Contact","Frequent Service Contact")</f>
        <v>Frequent Service Contact</v>
      </c>
      <c r="I466" s="1" t="str" cm="1">
        <f t="array" ref="I466">_xlfn.SWITCH(Raw_Data!D466,"Yes","International Customer","No","Domestic Plan","Unknown")</f>
        <v>Domestic Plan</v>
      </c>
      <c r="J466" s="1" t="str">
        <f>IF(ISERROR(Raw_Data!G466/0),"Error","Valid")</f>
        <v>Error</v>
      </c>
      <c r="K466" s="1" t="str">
        <f>IF(ISBLANK(Raw_Data!A466),"Missing","Available")</f>
        <v>Available</v>
      </c>
      <c r="L466" s="5" t="str">
        <f>IF(ISNUMBER(Raw_Data!G466),"Numeric","Not Numeric")</f>
        <v>Numeric</v>
      </c>
    </row>
    <row r="467" spans="1:12" x14ac:dyDescent="0.25">
      <c r="A467" s="4" t="str">
        <f>Raw_Data!A467</f>
        <v>KY</v>
      </c>
      <c r="B467" s="1" t="b">
        <f>Raw_Data!T467</f>
        <v>0</v>
      </c>
      <c r="C467" s="1" t="str">
        <f t="shared" si="7"/>
        <v>Retained</v>
      </c>
      <c r="D467" s="1" t="str">
        <f>IF(Raw_Data!S467=0,"Low Contact",IF(Raw_Data!S467&lt;=2,"Normal Contact","High Contact"))</f>
        <v>Normal Contact</v>
      </c>
      <c r="E467" s="1" t="str">
        <f>IF(AND(Raw_Data!G467&gt;200,Raw_Data!H467&gt;100),"High Usage","Normal Usage")</f>
        <v>Normal Usage</v>
      </c>
      <c r="F467" s="1" t="str" cm="1">
        <f t="array" ref="F467">_xlfn.IFS(B467=TRUE,"High Risk",AND(Raw_Data!S467&gt;=3,Raw_Data!G467&gt;200),"High Risk",Raw_Data!S467&gt;=2,"Medium Risk",TRUE,"Low Risk")</f>
        <v>Medium Risk</v>
      </c>
      <c r="G467" s="1" t="str">
        <f>IF(OR(Raw_Data!D467="Yes",Raw_Data!E467="Yes"),"Has Plan","No Special Plan")</f>
        <v>Has Plan</v>
      </c>
      <c r="H467" s="1" t="str">
        <f>IF(NOT(Raw_Data!S467&gt;=3),"Normal Service Contact","Frequent Service Contact")</f>
        <v>Normal Service Contact</v>
      </c>
      <c r="I467" s="1" t="str" cm="1">
        <f t="array" ref="I467">_xlfn.SWITCH(Raw_Data!D467,"Yes","International Customer","No","Domestic Plan","Unknown")</f>
        <v>Domestic Plan</v>
      </c>
      <c r="J467" s="1" t="str">
        <f>IF(ISERROR(Raw_Data!G467/0),"Error","Valid")</f>
        <v>Error</v>
      </c>
      <c r="K467" s="1" t="str">
        <f>IF(ISBLANK(Raw_Data!A467),"Missing","Available")</f>
        <v>Available</v>
      </c>
      <c r="L467" s="5" t="str">
        <f>IF(ISNUMBER(Raw_Data!G467),"Numeric","Not Numeric")</f>
        <v>Numeric</v>
      </c>
    </row>
    <row r="468" spans="1:12" x14ac:dyDescent="0.25">
      <c r="A468" s="4" t="str">
        <f>Raw_Data!A468</f>
        <v>ID</v>
      </c>
      <c r="B468" s="1" t="b">
        <f>Raw_Data!T468</f>
        <v>0</v>
      </c>
      <c r="C468" s="1" t="str">
        <f t="shared" si="7"/>
        <v>Retained</v>
      </c>
      <c r="D468" s="1" t="str">
        <f>IF(Raw_Data!S468=0,"Low Contact",IF(Raw_Data!S468&lt;=2,"Normal Contact","High Contact"))</f>
        <v>Normal Contact</v>
      </c>
      <c r="E468" s="1" t="str">
        <f>IF(AND(Raw_Data!G468&gt;200,Raw_Data!H468&gt;100),"High Usage","Normal Usage")</f>
        <v>Normal Usage</v>
      </c>
      <c r="F468" s="1" t="str" cm="1">
        <f t="array" ref="F468">_xlfn.IFS(B468=TRUE,"High Risk",AND(Raw_Data!S468&gt;=3,Raw_Data!G468&gt;200),"High Risk",Raw_Data!S468&gt;=2,"Medium Risk",TRUE,"Low Risk")</f>
        <v>Medium Risk</v>
      </c>
      <c r="G468" s="1" t="str">
        <f>IF(OR(Raw_Data!D468="Yes",Raw_Data!E468="Yes"),"Has Plan","No Special Plan")</f>
        <v>No Special Plan</v>
      </c>
      <c r="H468" s="1" t="str">
        <f>IF(NOT(Raw_Data!S468&gt;=3),"Normal Service Contact","Frequent Service Contact")</f>
        <v>Normal Service Contact</v>
      </c>
      <c r="I468" s="1" t="str" cm="1">
        <f t="array" ref="I468">_xlfn.SWITCH(Raw_Data!D468,"Yes","International Customer","No","Domestic Plan","Unknown")</f>
        <v>Domestic Plan</v>
      </c>
      <c r="J468" s="1" t="str">
        <f>IF(ISERROR(Raw_Data!G468/0),"Error","Valid")</f>
        <v>Error</v>
      </c>
      <c r="K468" s="1" t="str">
        <f>IF(ISBLANK(Raw_Data!A468),"Missing","Available")</f>
        <v>Available</v>
      </c>
      <c r="L468" s="5" t="str">
        <f>IF(ISNUMBER(Raw_Data!G468),"Numeric","Not Numeric")</f>
        <v>Numeric</v>
      </c>
    </row>
    <row r="469" spans="1:12" x14ac:dyDescent="0.25">
      <c r="A469" s="4" t="str">
        <f>Raw_Data!A469</f>
        <v>HI</v>
      </c>
      <c r="B469" s="1" t="b">
        <f>Raw_Data!T469</f>
        <v>0</v>
      </c>
      <c r="C469" s="1" t="str">
        <f t="shared" si="7"/>
        <v>Retained</v>
      </c>
      <c r="D469" s="1" t="str">
        <f>IF(Raw_Data!S469=0,"Low Contact",IF(Raw_Data!S469&lt;=2,"Normal Contact","High Contact"))</f>
        <v>Normal Contact</v>
      </c>
      <c r="E469" s="1" t="str">
        <f>IF(AND(Raw_Data!G469&gt;200,Raw_Data!H469&gt;100),"High Usage","Normal Usage")</f>
        <v>Normal Usage</v>
      </c>
      <c r="F469" s="1" t="str" cm="1">
        <f t="array" ref="F469">_xlfn.IFS(B469=TRUE,"High Risk",AND(Raw_Data!S469&gt;=3,Raw_Data!G469&gt;200),"High Risk",Raw_Data!S469&gt;=2,"Medium Risk",TRUE,"Low Risk")</f>
        <v>Low Risk</v>
      </c>
      <c r="G469" s="1" t="str">
        <f>IF(OR(Raw_Data!D469="Yes",Raw_Data!E469="Yes"),"Has Plan","No Special Plan")</f>
        <v>Has Plan</v>
      </c>
      <c r="H469" s="1" t="str">
        <f>IF(NOT(Raw_Data!S469&gt;=3),"Normal Service Contact","Frequent Service Contact")</f>
        <v>Normal Service Contact</v>
      </c>
      <c r="I469" s="1" t="str" cm="1">
        <f t="array" ref="I469">_xlfn.SWITCH(Raw_Data!D469,"Yes","International Customer","No","Domestic Plan","Unknown")</f>
        <v>Domestic Plan</v>
      </c>
      <c r="J469" s="1" t="str">
        <f>IF(ISERROR(Raw_Data!G469/0),"Error","Valid")</f>
        <v>Error</v>
      </c>
      <c r="K469" s="1" t="str">
        <f>IF(ISBLANK(Raw_Data!A469),"Missing","Available")</f>
        <v>Available</v>
      </c>
      <c r="L469" s="5" t="str">
        <f>IF(ISNUMBER(Raw_Data!G469),"Numeric","Not Numeric")</f>
        <v>Numeric</v>
      </c>
    </row>
    <row r="470" spans="1:12" x14ac:dyDescent="0.25">
      <c r="A470" s="4" t="str">
        <f>Raw_Data!A470</f>
        <v>TX</v>
      </c>
      <c r="B470" s="1" t="b">
        <f>Raw_Data!T470</f>
        <v>0</v>
      </c>
      <c r="C470" s="1" t="str">
        <f t="shared" si="7"/>
        <v>Retained</v>
      </c>
      <c r="D470" s="1" t="str">
        <f>IF(Raw_Data!S470=0,"Low Contact",IF(Raw_Data!S470&lt;=2,"Normal Contact","High Contact"))</f>
        <v>High Contact</v>
      </c>
      <c r="E470" s="1" t="str">
        <f>IF(AND(Raw_Data!G470&gt;200,Raw_Data!H470&gt;100),"High Usage","Normal Usage")</f>
        <v>Normal Usage</v>
      </c>
      <c r="F470" s="1" t="str" cm="1">
        <f t="array" ref="F470">_xlfn.IFS(B470=TRUE,"High Risk",AND(Raw_Data!S470&gt;=3,Raw_Data!G470&gt;200),"High Risk",Raw_Data!S470&gt;=2,"Medium Risk",TRUE,"Low Risk")</f>
        <v>High Risk</v>
      </c>
      <c r="G470" s="1" t="str">
        <f>IF(OR(Raw_Data!D470="Yes",Raw_Data!E470="Yes"),"Has Plan","No Special Plan")</f>
        <v>Has Plan</v>
      </c>
      <c r="H470" s="1" t="str">
        <f>IF(NOT(Raw_Data!S470&gt;=3),"Normal Service Contact","Frequent Service Contact")</f>
        <v>Frequent Service Contact</v>
      </c>
      <c r="I470" s="1" t="str" cm="1">
        <f t="array" ref="I470">_xlfn.SWITCH(Raw_Data!D470,"Yes","International Customer","No","Domestic Plan","Unknown")</f>
        <v>Domestic Plan</v>
      </c>
      <c r="J470" s="1" t="str">
        <f>IF(ISERROR(Raw_Data!G470/0),"Error","Valid")</f>
        <v>Error</v>
      </c>
      <c r="K470" s="1" t="str">
        <f>IF(ISBLANK(Raw_Data!A470),"Missing","Available")</f>
        <v>Available</v>
      </c>
      <c r="L470" s="5" t="str">
        <f>IF(ISNUMBER(Raw_Data!G470),"Numeric","Not Numeric")</f>
        <v>Numeric</v>
      </c>
    </row>
    <row r="471" spans="1:12" x14ac:dyDescent="0.25">
      <c r="A471" s="4" t="str">
        <f>Raw_Data!A471</f>
        <v>GA</v>
      </c>
      <c r="B471" s="1" t="b">
        <f>Raw_Data!T471</f>
        <v>0</v>
      </c>
      <c r="C471" s="1" t="str">
        <f t="shared" si="7"/>
        <v>Retained</v>
      </c>
      <c r="D471" s="1" t="str">
        <f>IF(Raw_Data!S471=0,"Low Contact",IF(Raw_Data!S471&lt;=2,"Normal Contact","High Contact"))</f>
        <v>Normal Contact</v>
      </c>
      <c r="E471" s="1" t="str">
        <f>IF(AND(Raw_Data!G471&gt;200,Raw_Data!H471&gt;100),"High Usage","Normal Usage")</f>
        <v>Normal Usage</v>
      </c>
      <c r="F471" s="1" t="str" cm="1">
        <f t="array" ref="F471">_xlfn.IFS(B471=TRUE,"High Risk",AND(Raw_Data!S471&gt;=3,Raw_Data!G471&gt;200),"High Risk",Raw_Data!S471&gt;=2,"Medium Risk",TRUE,"Low Risk")</f>
        <v>Low Risk</v>
      </c>
      <c r="G471" s="1" t="str">
        <f>IF(OR(Raw_Data!D471="Yes",Raw_Data!E471="Yes"),"Has Plan","No Special Plan")</f>
        <v>No Special Plan</v>
      </c>
      <c r="H471" s="1" t="str">
        <f>IF(NOT(Raw_Data!S471&gt;=3),"Normal Service Contact","Frequent Service Contact")</f>
        <v>Normal Service Contact</v>
      </c>
      <c r="I471" s="1" t="str" cm="1">
        <f t="array" ref="I471">_xlfn.SWITCH(Raw_Data!D471,"Yes","International Customer","No","Domestic Plan","Unknown")</f>
        <v>Domestic Plan</v>
      </c>
      <c r="J471" s="1" t="str">
        <f>IF(ISERROR(Raw_Data!G471/0),"Error","Valid")</f>
        <v>Error</v>
      </c>
      <c r="K471" s="1" t="str">
        <f>IF(ISBLANK(Raw_Data!A471),"Missing","Available")</f>
        <v>Available</v>
      </c>
      <c r="L471" s="5" t="str">
        <f>IF(ISNUMBER(Raw_Data!G471),"Numeric","Not Numeric")</f>
        <v>Numeric</v>
      </c>
    </row>
    <row r="472" spans="1:12" x14ac:dyDescent="0.25">
      <c r="A472" s="4" t="str">
        <f>Raw_Data!A472</f>
        <v>ME</v>
      </c>
      <c r="B472" s="1" t="b">
        <f>Raw_Data!T472</f>
        <v>0</v>
      </c>
      <c r="C472" s="1" t="str">
        <f t="shared" si="7"/>
        <v>Retained</v>
      </c>
      <c r="D472" s="1" t="str">
        <f>IF(Raw_Data!S472=0,"Low Contact",IF(Raw_Data!S472&lt;=2,"Normal Contact","High Contact"))</f>
        <v>Normal Contact</v>
      </c>
      <c r="E472" s="1" t="str">
        <f>IF(AND(Raw_Data!G472&gt;200,Raw_Data!H472&gt;100),"High Usage","Normal Usage")</f>
        <v>High Usage</v>
      </c>
      <c r="F472" s="1" t="str" cm="1">
        <f t="array" ref="F472">_xlfn.IFS(B472=TRUE,"High Risk",AND(Raw_Data!S472&gt;=3,Raw_Data!G472&gt;200),"High Risk",Raw_Data!S472&gt;=2,"Medium Risk",TRUE,"Low Risk")</f>
        <v>Low Risk</v>
      </c>
      <c r="G472" s="1" t="str">
        <f>IF(OR(Raw_Data!D472="Yes",Raw_Data!E472="Yes"),"Has Plan","No Special Plan")</f>
        <v>No Special Plan</v>
      </c>
      <c r="H472" s="1" t="str">
        <f>IF(NOT(Raw_Data!S472&gt;=3),"Normal Service Contact","Frequent Service Contact")</f>
        <v>Normal Service Contact</v>
      </c>
      <c r="I472" s="1" t="str" cm="1">
        <f t="array" ref="I472">_xlfn.SWITCH(Raw_Data!D472,"Yes","International Customer","No","Domestic Plan","Unknown")</f>
        <v>Domestic Plan</v>
      </c>
      <c r="J472" s="1" t="str">
        <f>IF(ISERROR(Raw_Data!G472/0),"Error","Valid")</f>
        <v>Error</v>
      </c>
      <c r="K472" s="1" t="str">
        <f>IF(ISBLANK(Raw_Data!A472),"Missing","Available")</f>
        <v>Available</v>
      </c>
      <c r="L472" s="5" t="str">
        <f>IF(ISNUMBER(Raw_Data!G472),"Numeric","Not Numeric")</f>
        <v>Numeric</v>
      </c>
    </row>
    <row r="473" spans="1:12" x14ac:dyDescent="0.25">
      <c r="A473" s="4" t="str">
        <f>Raw_Data!A473</f>
        <v>OH</v>
      </c>
      <c r="B473" s="1" t="b">
        <f>Raw_Data!T473</f>
        <v>0</v>
      </c>
      <c r="C473" s="1" t="str">
        <f t="shared" si="7"/>
        <v>Retained</v>
      </c>
      <c r="D473" s="1" t="str">
        <f>IF(Raw_Data!S473=0,"Low Contact",IF(Raw_Data!S473&lt;=2,"Normal Contact","High Contact"))</f>
        <v>Normal Contact</v>
      </c>
      <c r="E473" s="1" t="str">
        <f>IF(AND(Raw_Data!G473&gt;200,Raw_Data!H473&gt;100),"High Usage","Normal Usage")</f>
        <v>Normal Usage</v>
      </c>
      <c r="F473" s="1" t="str" cm="1">
        <f t="array" ref="F473">_xlfn.IFS(B473=TRUE,"High Risk",AND(Raw_Data!S473&gt;=3,Raw_Data!G473&gt;200),"High Risk",Raw_Data!S473&gt;=2,"Medium Risk",TRUE,"Low Risk")</f>
        <v>Low Risk</v>
      </c>
      <c r="G473" s="1" t="str">
        <f>IF(OR(Raw_Data!D473="Yes",Raw_Data!E473="Yes"),"Has Plan","No Special Plan")</f>
        <v>No Special Plan</v>
      </c>
      <c r="H473" s="1" t="str">
        <f>IF(NOT(Raw_Data!S473&gt;=3),"Normal Service Contact","Frequent Service Contact")</f>
        <v>Normal Service Contact</v>
      </c>
      <c r="I473" s="1" t="str" cm="1">
        <f t="array" ref="I473">_xlfn.SWITCH(Raw_Data!D473,"Yes","International Customer","No","Domestic Plan","Unknown")</f>
        <v>Domestic Plan</v>
      </c>
      <c r="J473" s="1" t="str">
        <f>IF(ISERROR(Raw_Data!G473/0),"Error","Valid")</f>
        <v>Error</v>
      </c>
      <c r="K473" s="1" t="str">
        <f>IF(ISBLANK(Raw_Data!A473),"Missing","Available")</f>
        <v>Available</v>
      </c>
      <c r="L473" s="5" t="str">
        <f>IF(ISNUMBER(Raw_Data!G473),"Numeric","Not Numeric")</f>
        <v>Numeric</v>
      </c>
    </row>
    <row r="474" spans="1:12" x14ac:dyDescent="0.25">
      <c r="A474" s="4" t="str">
        <f>Raw_Data!A474</f>
        <v>TN</v>
      </c>
      <c r="B474" s="1" t="b">
        <f>Raw_Data!T474</f>
        <v>0</v>
      </c>
      <c r="C474" s="1" t="str">
        <f t="shared" si="7"/>
        <v>Retained</v>
      </c>
      <c r="D474" s="1" t="str">
        <f>IF(Raw_Data!S474=0,"Low Contact",IF(Raw_Data!S474&lt;=2,"Normal Contact","High Contact"))</f>
        <v>Normal Contact</v>
      </c>
      <c r="E474" s="1" t="str">
        <f>IF(AND(Raw_Data!G474&gt;200,Raw_Data!H474&gt;100),"High Usage","Normal Usage")</f>
        <v>Normal Usage</v>
      </c>
      <c r="F474" s="1" t="str" cm="1">
        <f t="array" ref="F474">_xlfn.IFS(B474=TRUE,"High Risk",AND(Raw_Data!S474&gt;=3,Raw_Data!G474&gt;200),"High Risk",Raw_Data!S474&gt;=2,"Medium Risk",TRUE,"Low Risk")</f>
        <v>Low Risk</v>
      </c>
      <c r="G474" s="1" t="str">
        <f>IF(OR(Raw_Data!D474="Yes",Raw_Data!E474="Yes"),"Has Plan","No Special Plan")</f>
        <v>No Special Plan</v>
      </c>
      <c r="H474" s="1" t="str">
        <f>IF(NOT(Raw_Data!S474&gt;=3),"Normal Service Contact","Frequent Service Contact")</f>
        <v>Normal Service Contact</v>
      </c>
      <c r="I474" s="1" t="str" cm="1">
        <f t="array" ref="I474">_xlfn.SWITCH(Raw_Data!D474,"Yes","International Customer","No","Domestic Plan","Unknown")</f>
        <v>Domestic Plan</v>
      </c>
      <c r="J474" s="1" t="str">
        <f>IF(ISERROR(Raw_Data!G474/0),"Error","Valid")</f>
        <v>Error</v>
      </c>
      <c r="K474" s="1" t="str">
        <f>IF(ISBLANK(Raw_Data!A474),"Missing","Available")</f>
        <v>Available</v>
      </c>
      <c r="L474" s="5" t="str">
        <f>IF(ISNUMBER(Raw_Data!G474),"Numeric","Not Numeric")</f>
        <v>Numeric</v>
      </c>
    </row>
    <row r="475" spans="1:12" x14ac:dyDescent="0.25">
      <c r="A475" s="4" t="str">
        <f>Raw_Data!A475</f>
        <v>VT</v>
      </c>
      <c r="B475" s="1" t="b">
        <f>Raw_Data!T475</f>
        <v>0</v>
      </c>
      <c r="C475" s="1" t="str">
        <f t="shared" si="7"/>
        <v>Retained</v>
      </c>
      <c r="D475" s="1" t="str">
        <f>IF(Raw_Data!S475=0,"Low Contact",IF(Raw_Data!S475&lt;=2,"Normal Contact","High Contact"))</f>
        <v>High Contact</v>
      </c>
      <c r="E475" s="1" t="str">
        <f>IF(AND(Raw_Data!G475&gt;200,Raw_Data!H475&gt;100),"High Usage","Normal Usage")</f>
        <v>Normal Usage</v>
      </c>
      <c r="F475" s="1" t="str" cm="1">
        <f t="array" ref="F475">_xlfn.IFS(B475=TRUE,"High Risk",AND(Raw_Data!S475&gt;=3,Raw_Data!G475&gt;200),"High Risk",Raw_Data!S475&gt;=2,"Medium Risk",TRUE,"Low Risk")</f>
        <v>High Risk</v>
      </c>
      <c r="G475" s="1" t="str">
        <f>IF(OR(Raw_Data!D475="Yes",Raw_Data!E475="Yes"),"Has Plan","No Special Plan")</f>
        <v>No Special Plan</v>
      </c>
      <c r="H475" s="1" t="str">
        <f>IF(NOT(Raw_Data!S475&gt;=3),"Normal Service Contact","Frequent Service Contact")</f>
        <v>Frequent Service Contact</v>
      </c>
      <c r="I475" s="1" t="str" cm="1">
        <f t="array" ref="I475">_xlfn.SWITCH(Raw_Data!D475,"Yes","International Customer","No","Domestic Plan","Unknown")</f>
        <v>Domestic Plan</v>
      </c>
      <c r="J475" s="1" t="str">
        <f>IF(ISERROR(Raw_Data!G475/0),"Error","Valid")</f>
        <v>Error</v>
      </c>
      <c r="K475" s="1" t="str">
        <f>IF(ISBLANK(Raw_Data!A475),"Missing","Available")</f>
        <v>Available</v>
      </c>
      <c r="L475" s="5" t="str">
        <f>IF(ISNUMBER(Raw_Data!G475),"Numeric","Not Numeric")</f>
        <v>Numeric</v>
      </c>
    </row>
    <row r="476" spans="1:12" x14ac:dyDescent="0.25">
      <c r="A476" s="4" t="str">
        <f>Raw_Data!A476</f>
        <v>MD</v>
      </c>
      <c r="B476" s="1" t="b">
        <f>Raw_Data!T476</f>
        <v>0</v>
      </c>
      <c r="C476" s="1" t="str">
        <f t="shared" si="7"/>
        <v>Retained</v>
      </c>
      <c r="D476" s="1" t="str">
        <f>IF(Raw_Data!S476=0,"Low Contact",IF(Raw_Data!S476&lt;=2,"Normal Contact","High Contact"))</f>
        <v>Normal Contact</v>
      </c>
      <c r="E476" s="1" t="str">
        <f>IF(AND(Raw_Data!G476&gt;200,Raw_Data!H476&gt;100),"High Usage","Normal Usage")</f>
        <v>Normal Usage</v>
      </c>
      <c r="F476" s="1" t="str" cm="1">
        <f t="array" ref="F476">_xlfn.IFS(B476=TRUE,"High Risk",AND(Raw_Data!S476&gt;=3,Raw_Data!G476&gt;200),"High Risk",Raw_Data!S476&gt;=2,"Medium Risk",TRUE,"Low Risk")</f>
        <v>Low Risk</v>
      </c>
      <c r="G476" s="1" t="str">
        <f>IF(OR(Raw_Data!D476="Yes",Raw_Data!E476="Yes"),"Has Plan","No Special Plan")</f>
        <v>Has Plan</v>
      </c>
      <c r="H476" s="1" t="str">
        <f>IF(NOT(Raw_Data!S476&gt;=3),"Normal Service Contact","Frequent Service Contact")</f>
        <v>Normal Service Contact</v>
      </c>
      <c r="I476" s="1" t="str" cm="1">
        <f t="array" ref="I476">_xlfn.SWITCH(Raw_Data!D476,"Yes","International Customer","No","Domestic Plan","Unknown")</f>
        <v>Domestic Plan</v>
      </c>
      <c r="J476" s="1" t="str">
        <f>IF(ISERROR(Raw_Data!G476/0),"Error","Valid")</f>
        <v>Error</v>
      </c>
      <c r="K476" s="1" t="str">
        <f>IF(ISBLANK(Raw_Data!A476),"Missing","Available")</f>
        <v>Available</v>
      </c>
      <c r="L476" s="5" t="str">
        <f>IF(ISNUMBER(Raw_Data!G476),"Numeric","Not Numeric")</f>
        <v>Numeric</v>
      </c>
    </row>
    <row r="477" spans="1:12" x14ac:dyDescent="0.25">
      <c r="A477" s="4" t="str">
        <f>Raw_Data!A477</f>
        <v>NE</v>
      </c>
      <c r="B477" s="1" t="b">
        <f>Raw_Data!T477</f>
        <v>0</v>
      </c>
      <c r="C477" s="1" t="str">
        <f t="shared" si="7"/>
        <v>Retained</v>
      </c>
      <c r="D477" s="1" t="str">
        <f>IF(Raw_Data!S477=0,"Low Contact",IF(Raw_Data!S477&lt;=2,"Normal Contact","High Contact"))</f>
        <v>Normal Contact</v>
      </c>
      <c r="E477" s="1" t="str">
        <f>IF(AND(Raw_Data!G477&gt;200,Raw_Data!H477&gt;100),"High Usage","Normal Usage")</f>
        <v>Normal Usage</v>
      </c>
      <c r="F477" s="1" t="str" cm="1">
        <f t="array" ref="F477">_xlfn.IFS(B477=TRUE,"High Risk",AND(Raw_Data!S477&gt;=3,Raw_Data!G477&gt;200),"High Risk",Raw_Data!S477&gt;=2,"Medium Risk",TRUE,"Low Risk")</f>
        <v>Medium Risk</v>
      </c>
      <c r="G477" s="1" t="str">
        <f>IF(OR(Raw_Data!D477="Yes",Raw_Data!E477="Yes"),"Has Plan","No Special Plan")</f>
        <v>No Special Plan</v>
      </c>
      <c r="H477" s="1" t="str">
        <f>IF(NOT(Raw_Data!S477&gt;=3),"Normal Service Contact","Frequent Service Contact")</f>
        <v>Normal Service Contact</v>
      </c>
      <c r="I477" s="1" t="str" cm="1">
        <f t="array" ref="I477">_xlfn.SWITCH(Raw_Data!D477,"Yes","International Customer","No","Domestic Plan","Unknown")</f>
        <v>Domestic Plan</v>
      </c>
      <c r="J477" s="1" t="str">
        <f>IF(ISERROR(Raw_Data!G477/0),"Error","Valid")</f>
        <v>Error</v>
      </c>
      <c r="K477" s="1" t="str">
        <f>IF(ISBLANK(Raw_Data!A477),"Missing","Available")</f>
        <v>Available</v>
      </c>
      <c r="L477" s="5" t="str">
        <f>IF(ISNUMBER(Raw_Data!G477),"Numeric","Not Numeric")</f>
        <v>Numeric</v>
      </c>
    </row>
    <row r="478" spans="1:12" x14ac:dyDescent="0.25">
      <c r="A478" s="4" t="str">
        <f>Raw_Data!A478</f>
        <v>WY</v>
      </c>
      <c r="B478" s="1" t="b">
        <f>Raw_Data!T478</f>
        <v>0</v>
      </c>
      <c r="C478" s="1" t="str">
        <f t="shared" si="7"/>
        <v>Retained</v>
      </c>
      <c r="D478" s="1" t="str">
        <f>IF(Raw_Data!S478=0,"Low Contact",IF(Raw_Data!S478&lt;=2,"Normal Contact","High Contact"))</f>
        <v>Normal Contact</v>
      </c>
      <c r="E478" s="1" t="str">
        <f>IF(AND(Raw_Data!G478&gt;200,Raw_Data!H478&gt;100),"High Usage","Normal Usage")</f>
        <v>Normal Usage</v>
      </c>
      <c r="F478" s="1" t="str" cm="1">
        <f t="array" ref="F478">_xlfn.IFS(B478=TRUE,"High Risk",AND(Raw_Data!S478&gt;=3,Raw_Data!G478&gt;200),"High Risk",Raw_Data!S478&gt;=2,"Medium Risk",TRUE,"Low Risk")</f>
        <v>Medium Risk</v>
      </c>
      <c r="G478" s="1" t="str">
        <f>IF(OR(Raw_Data!D478="Yes",Raw_Data!E478="Yes"),"Has Plan","No Special Plan")</f>
        <v>Has Plan</v>
      </c>
      <c r="H478" s="1" t="str">
        <f>IF(NOT(Raw_Data!S478&gt;=3),"Normal Service Contact","Frequent Service Contact")</f>
        <v>Normal Service Contact</v>
      </c>
      <c r="I478" s="1" t="str" cm="1">
        <f t="array" ref="I478">_xlfn.SWITCH(Raw_Data!D478,"Yes","International Customer","No","Domestic Plan","Unknown")</f>
        <v>Domestic Plan</v>
      </c>
      <c r="J478" s="1" t="str">
        <f>IF(ISERROR(Raw_Data!G478/0),"Error","Valid")</f>
        <v>Error</v>
      </c>
      <c r="K478" s="1" t="str">
        <f>IF(ISBLANK(Raw_Data!A478),"Missing","Available")</f>
        <v>Available</v>
      </c>
      <c r="L478" s="5" t="str">
        <f>IF(ISNUMBER(Raw_Data!G478),"Numeric","Not Numeric")</f>
        <v>Numeric</v>
      </c>
    </row>
    <row r="479" spans="1:12" x14ac:dyDescent="0.25">
      <c r="A479" s="4" t="str">
        <f>Raw_Data!A479</f>
        <v>WV</v>
      </c>
      <c r="B479" s="1" t="b">
        <f>Raw_Data!T479</f>
        <v>1</v>
      </c>
      <c r="C479" s="1" t="str">
        <f t="shared" si="7"/>
        <v>Churned</v>
      </c>
      <c r="D479" s="1" t="str">
        <f>IF(Raw_Data!S479=0,"Low Contact",IF(Raw_Data!S479&lt;=2,"Normal Contact","High Contact"))</f>
        <v>Normal Contact</v>
      </c>
      <c r="E479" s="1" t="str">
        <f>IF(AND(Raw_Data!G479&gt;200,Raw_Data!H479&gt;100),"High Usage","Normal Usage")</f>
        <v>Normal Usage</v>
      </c>
      <c r="F479" s="1" t="str" cm="1">
        <f t="array" ref="F479">_xlfn.IFS(B479=TRUE,"High Risk",AND(Raw_Data!S479&gt;=3,Raw_Data!G479&gt;200),"High Risk",Raw_Data!S479&gt;=2,"Medium Risk",TRUE,"Low Risk")</f>
        <v>High Risk</v>
      </c>
      <c r="G479" s="1" t="str">
        <f>IF(OR(Raw_Data!D479="Yes",Raw_Data!E479="Yes"),"Has Plan","No Special Plan")</f>
        <v>Has Plan</v>
      </c>
      <c r="H479" s="1" t="str">
        <f>IF(NOT(Raw_Data!S479&gt;=3),"Normal Service Contact","Frequent Service Contact")</f>
        <v>Normal Service Contact</v>
      </c>
      <c r="I479" s="1" t="str" cm="1">
        <f t="array" ref="I479">_xlfn.SWITCH(Raw_Data!D479,"Yes","International Customer","No","Domestic Plan","Unknown")</f>
        <v>International Customer</v>
      </c>
      <c r="J479" s="1" t="str">
        <f>IF(ISERROR(Raw_Data!G479/0),"Error","Valid")</f>
        <v>Error</v>
      </c>
      <c r="K479" s="1" t="str">
        <f>IF(ISBLANK(Raw_Data!A479),"Missing","Available")</f>
        <v>Available</v>
      </c>
      <c r="L479" s="5" t="str">
        <f>IF(ISNUMBER(Raw_Data!G479),"Numeric","Not Numeric")</f>
        <v>Numeric</v>
      </c>
    </row>
    <row r="480" spans="1:12" x14ac:dyDescent="0.25">
      <c r="A480" s="4" t="str">
        <f>Raw_Data!A480</f>
        <v>MS</v>
      </c>
      <c r="B480" s="1" t="b">
        <f>Raw_Data!T480</f>
        <v>0</v>
      </c>
      <c r="C480" s="1" t="str">
        <f t="shared" si="7"/>
        <v>Retained</v>
      </c>
      <c r="D480" s="1" t="str">
        <f>IF(Raw_Data!S480=0,"Low Contact",IF(Raw_Data!S480&lt;=2,"Normal Contact","High Contact"))</f>
        <v>High Contact</v>
      </c>
      <c r="E480" s="1" t="str">
        <f>IF(AND(Raw_Data!G480&gt;200,Raw_Data!H480&gt;100),"High Usage","Normal Usage")</f>
        <v>High Usage</v>
      </c>
      <c r="F480" s="1" t="str" cm="1">
        <f t="array" ref="F480">_xlfn.IFS(B480=TRUE,"High Risk",AND(Raw_Data!S480&gt;=3,Raw_Data!G480&gt;200),"High Risk",Raw_Data!S480&gt;=2,"Medium Risk",TRUE,"Low Risk")</f>
        <v>High Risk</v>
      </c>
      <c r="G480" s="1" t="str">
        <f>IF(OR(Raw_Data!D480="Yes",Raw_Data!E480="Yes"),"Has Plan","No Special Plan")</f>
        <v>No Special Plan</v>
      </c>
      <c r="H480" s="1" t="str">
        <f>IF(NOT(Raw_Data!S480&gt;=3),"Normal Service Contact","Frequent Service Contact")</f>
        <v>Frequent Service Contact</v>
      </c>
      <c r="I480" s="1" t="str" cm="1">
        <f t="array" ref="I480">_xlfn.SWITCH(Raw_Data!D480,"Yes","International Customer","No","Domestic Plan","Unknown")</f>
        <v>Domestic Plan</v>
      </c>
      <c r="J480" s="1" t="str">
        <f>IF(ISERROR(Raw_Data!G480/0),"Error","Valid")</f>
        <v>Error</v>
      </c>
      <c r="K480" s="1" t="str">
        <f>IF(ISBLANK(Raw_Data!A480),"Missing","Available")</f>
        <v>Available</v>
      </c>
      <c r="L480" s="5" t="str">
        <f>IF(ISNUMBER(Raw_Data!G480),"Numeric","Not Numeric")</f>
        <v>Numeric</v>
      </c>
    </row>
    <row r="481" spans="1:12" x14ac:dyDescent="0.25">
      <c r="A481" s="4" t="str">
        <f>Raw_Data!A481</f>
        <v>OH</v>
      </c>
      <c r="B481" s="1" t="b">
        <f>Raw_Data!T481</f>
        <v>0</v>
      </c>
      <c r="C481" s="1" t="str">
        <f t="shared" si="7"/>
        <v>Retained</v>
      </c>
      <c r="D481" s="1" t="str">
        <f>IF(Raw_Data!S481=0,"Low Contact",IF(Raw_Data!S481&lt;=2,"Normal Contact","High Contact"))</f>
        <v>Low Contact</v>
      </c>
      <c r="E481" s="1" t="str">
        <f>IF(AND(Raw_Data!G481&gt;200,Raw_Data!H481&gt;100),"High Usage","Normal Usage")</f>
        <v>Normal Usage</v>
      </c>
      <c r="F481" s="1" t="str" cm="1">
        <f t="array" ref="F481">_xlfn.IFS(B481=TRUE,"High Risk",AND(Raw_Data!S481&gt;=3,Raw_Data!G481&gt;200),"High Risk",Raw_Data!S481&gt;=2,"Medium Risk",TRUE,"Low Risk")</f>
        <v>Low Risk</v>
      </c>
      <c r="G481" s="1" t="str">
        <f>IF(OR(Raw_Data!D481="Yes",Raw_Data!E481="Yes"),"Has Plan","No Special Plan")</f>
        <v>Has Plan</v>
      </c>
      <c r="H481" s="1" t="str">
        <f>IF(NOT(Raw_Data!S481&gt;=3),"Normal Service Contact","Frequent Service Contact")</f>
        <v>Normal Service Contact</v>
      </c>
      <c r="I481" s="1" t="str" cm="1">
        <f t="array" ref="I481">_xlfn.SWITCH(Raw_Data!D481,"Yes","International Customer","No","Domestic Plan","Unknown")</f>
        <v>Domestic Plan</v>
      </c>
      <c r="J481" s="1" t="str">
        <f>IF(ISERROR(Raw_Data!G481/0),"Error","Valid")</f>
        <v>Error</v>
      </c>
      <c r="K481" s="1" t="str">
        <f>IF(ISBLANK(Raw_Data!A481),"Missing","Available")</f>
        <v>Available</v>
      </c>
      <c r="L481" s="5" t="str">
        <f>IF(ISNUMBER(Raw_Data!G481),"Numeric","Not Numeric")</f>
        <v>Numeric</v>
      </c>
    </row>
    <row r="482" spans="1:12" x14ac:dyDescent="0.25">
      <c r="A482" s="4" t="str">
        <f>Raw_Data!A482</f>
        <v>AK</v>
      </c>
      <c r="B482" s="1" t="b">
        <f>Raw_Data!T482</f>
        <v>0</v>
      </c>
      <c r="C482" s="1" t="str">
        <f t="shared" si="7"/>
        <v>Retained</v>
      </c>
      <c r="D482" s="1" t="str">
        <f>IF(Raw_Data!S482=0,"Low Contact",IF(Raw_Data!S482&lt;=2,"Normal Contact","High Contact"))</f>
        <v>Normal Contact</v>
      </c>
      <c r="E482" s="1" t="str">
        <f>IF(AND(Raw_Data!G482&gt;200,Raw_Data!H482&gt;100),"High Usage","Normal Usage")</f>
        <v>Normal Usage</v>
      </c>
      <c r="F482" s="1" t="str" cm="1">
        <f t="array" ref="F482">_xlfn.IFS(B482=TRUE,"High Risk",AND(Raw_Data!S482&gt;=3,Raw_Data!G482&gt;200),"High Risk",Raw_Data!S482&gt;=2,"Medium Risk",TRUE,"Low Risk")</f>
        <v>Low Risk</v>
      </c>
      <c r="G482" s="1" t="str">
        <f>IF(OR(Raw_Data!D482="Yes",Raw_Data!E482="Yes"),"Has Plan","No Special Plan")</f>
        <v>No Special Plan</v>
      </c>
      <c r="H482" s="1" t="str">
        <f>IF(NOT(Raw_Data!S482&gt;=3),"Normal Service Contact","Frequent Service Contact")</f>
        <v>Normal Service Contact</v>
      </c>
      <c r="I482" s="1" t="str" cm="1">
        <f t="array" ref="I482">_xlfn.SWITCH(Raw_Data!D482,"Yes","International Customer","No","Domestic Plan","Unknown")</f>
        <v>Domestic Plan</v>
      </c>
      <c r="J482" s="1" t="str">
        <f>IF(ISERROR(Raw_Data!G482/0),"Error","Valid")</f>
        <v>Error</v>
      </c>
      <c r="K482" s="1" t="str">
        <f>IF(ISBLANK(Raw_Data!A482),"Missing","Available")</f>
        <v>Available</v>
      </c>
      <c r="L482" s="5" t="str">
        <f>IF(ISNUMBER(Raw_Data!G482),"Numeric","Not Numeric")</f>
        <v>Numeric</v>
      </c>
    </row>
    <row r="483" spans="1:12" x14ac:dyDescent="0.25">
      <c r="A483" s="4" t="str">
        <f>Raw_Data!A483</f>
        <v>IN</v>
      </c>
      <c r="B483" s="1" t="b">
        <f>Raw_Data!T483</f>
        <v>0</v>
      </c>
      <c r="C483" s="1" t="str">
        <f t="shared" si="7"/>
        <v>Retained</v>
      </c>
      <c r="D483" s="1" t="str">
        <f>IF(Raw_Data!S483=0,"Low Contact",IF(Raw_Data!S483&lt;=2,"Normal Contact","High Contact"))</f>
        <v>Low Contact</v>
      </c>
      <c r="E483" s="1" t="str">
        <f>IF(AND(Raw_Data!G483&gt;200,Raw_Data!H483&gt;100),"High Usage","Normal Usage")</f>
        <v>Normal Usage</v>
      </c>
      <c r="F483" s="1" t="str" cm="1">
        <f t="array" ref="F483">_xlfn.IFS(B483=TRUE,"High Risk",AND(Raw_Data!S483&gt;=3,Raw_Data!G483&gt;200),"High Risk",Raw_Data!S483&gt;=2,"Medium Risk",TRUE,"Low Risk")</f>
        <v>Low Risk</v>
      </c>
      <c r="G483" s="1" t="str">
        <f>IF(OR(Raw_Data!D483="Yes",Raw_Data!E483="Yes"),"Has Plan","No Special Plan")</f>
        <v>Has Plan</v>
      </c>
      <c r="H483" s="1" t="str">
        <f>IF(NOT(Raw_Data!S483&gt;=3),"Normal Service Contact","Frequent Service Contact")</f>
        <v>Normal Service Contact</v>
      </c>
      <c r="I483" s="1" t="str" cm="1">
        <f t="array" ref="I483">_xlfn.SWITCH(Raw_Data!D483,"Yes","International Customer","No","Domestic Plan","Unknown")</f>
        <v>Domestic Plan</v>
      </c>
      <c r="J483" s="1" t="str">
        <f>IF(ISERROR(Raw_Data!G483/0),"Error","Valid")</f>
        <v>Error</v>
      </c>
      <c r="K483" s="1" t="str">
        <f>IF(ISBLANK(Raw_Data!A483),"Missing","Available")</f>
        <v>Available</v>
      </c>
      <c r="L483" s="5" t="str">
        <f>IF(ISNUMBER(Raw_Data!G483),"Numeric","Not Numeric")</f>
        <v>Numeric</v>
      </c>
    </row>
    <row r="484" spans="1:12" x14ac:dyDescent="0.25">
      <c r="A484" s="4" t="str">
        <f>Raw_Data!A484</f>
        <v>WA</v>
      </c>
      <c r="B484" s="1" t="b">
        <f>Raw_Data!T484</f>
        <v>0</v>
      </c>
      <c r="C484" s="1" t="str">
        <f t="shared" si="7"/>
        <v>Retained</v>
      </c>
      <c r="D484" s="1" t="str">
        <f>IF(Raw_Data!S484=0,"Low Contact",IF(Raw_Data!S484&lt;=2,"Normal Contact","High Contact"))</f>
        <v>Low Contact</v>
      </c>
      <c r="E484" s="1" t="str">
        <f>IF(AND(Raw_Data!G484&gt;200,Raw_Data!H484&gt;100),"High Usage","Normal Usage")</f>
        <v>Normal Usage</v>
      </c>
      <c r="F484" s="1" t="str" cm="1">
        <f t="array" ref="F484">_xlfn.IFS(B484=TRUE,"High Risk",AND(Raw_Data!S484&gt;=3,Raw_Data!G484&gt;200),"High Risk",Raw_Data!S484&gt;=2,"Medium Risk",TRUE,"Low Risk")</f>
        <v>Low Risk</v>
      </c>
      <c r="G484" s="1" t="str">
        <f>IF(OR(Raw_Data!D484="Yes",Raw_Data!E484="Yes"),"Has Plan","No Special Plan")</f>
        <v>No Special Plan</v>
      </c>
      <c r="H484" s="1" t="str">
        <f>IF(NOT(Raw_Data!S484&gt;=3),"Normal Service Contact","Frequent Service Contact")</f>
        <v>Normal Service Contact</v>
      </c>
      <c r="I484" s="1" t="str" cm="1">
        <f t="array" ref="I484">_xlfn.SWITCH(Raw_Data!D484,"Yes","International Customer","No","Domestic Plan","Unknown")</f>
        <v>Domestic Plan</v>
      </c>
      <c r="J484" s="1" t="str">
        <f>IF(ISERROR(Raw_Data!G484/0),"Error","Valid")</f>
        <v>Error</v>
      </c>
      <c r="K484" s="1" t="str">
        <f>IF(ISBLANK(Raw_Data!A484),"Missing","Available")</f>
        <v>Available</v>
      </c>
      <c r="L484" s="5" t="str">
        <f>IF(ISNUMBER(Raw_Data!G484),"Numeric","Not Numeric")</f>
        <v>Numeric</v>
      </c>
    </row>
    <row r="485" spans="1:12" x14ac:dyDescent="0.25">
      <c r="A485" s="4" t="str">
        <f>Raw_Data!A485</f>
        <v>RI</v>
      </c>
      <c r="B485" s="1" t="b">
        <f>Raw_Data!T485</f>
        <v>1</v>
      </c>
      <c r="C485" s="1" t="str">
        <f t="shared" si="7"/>
        <v>Churned</v>
      </c>
      <c r="D485" s="1" t="str">
        <f>IF(Raw_Data!S485=0,"Low Contact",IF(Raw_Data!S485&lt;=2,"Normal Contact","High Contact"))</f>
        <v>High Contact</v>
      </c>
      <c r="E485" s="1" t="str">
        <f>IF(AND(Raw_Data!G485&gt;200,Raw_Data!H485&gt;100),"High Usage","Normal Usage")</f>
        <v>Normal Usage</v>
      </c>
      <c r="F485" s="1" t="str" cm="1">
        <f t="array" ref="F485">_xlfn.IFS(B485=TRUE,"High Risk",AND(Raw_Data!S485&gt;=3,Raw_Data!G485&gt;200),"High Risk",Raw_Data!S485&gt;=2,"Medium Risk",TRUE,"Low Risk")</f>
        <v>High Risk</v>
      </c>
      <c r="G485" s="1" t="str">
        <f>IF(OR(Raw_Data!D485="Yes",Raw_Data!E485="Yes"),"Has Plan","No Special Plan")</f>
        <v>No Special Plan</v>
      </c>
      <c r="H485" s="1" t="str">
        <f>IF(NOT(Raw_Data!S485&gt;=3),"Normal Service Contact","Frequent Service Contact")</f>
        <v>Frequent Service Contact</v>
      </c>
      <c r="I485" s="1" t="str" cm="1">
        <f t="array" ref="I485">_xlfn.SWITCH(Raw_Data!D485,"Yes","International Customer","No","Domestic Plan","Unknown")</f>
        <v>Domestic Plan</v>
      </c>
      <c r="J485" s="1" t="str">
        <f>IF(ISERROR(Raw_Data!G485/0),"Error","Valid")</f>
        <v>Error</v>
      </c>
      <c r="K485" s="1" t="str">
        <f>IF(ISBLANK(Raw_Data!A485),"Missing","Available")</f>
        <v>Available</v>
      </c>
      <c r="L485" s="5" t="str">
        <f>IF(ISNUMBER(Raw_Data!G485),"Numeric","Not Numeric")</f>
        <v>Numeric</v>
      </c>
    </row>
    <row r="486" spans="1:12" x14ac:dyDescent="0.25">
      <c r="A486" s="4" t="str">
        <f>Raw_Data!A486</f>
        <v>AL</v>
      </c>
      <c r="B486" s="1" t="b">
        <f>Raw_Data!T486</f>
        <v>0</v>
      </c>
      <c r="C486" s="1" t="str">
        <f t="shared" si="7"/>
        <v>Retained</v>
      </c>
      <c r="D486" s="1" t="str">
        <f>IF(Raw_Data!S486=0,"Low Contact",IF(Raw_Data!S486&lt;=2,"Normal Contact","High Contact"))</f>
        <v>Normal Contact</v>
      </c>
      <c r="E486" s="1" t="str">
        <f>IF(AND(Raw_Data!G486&gt;200,Raw_Data!H486&gt;100),"High Usage","Normal Usage")</f>
        <v>High Usage</v>
      </c>
      <c r="F486" s="1" t="str" cm="1">
        <f t="array" ref="F486">_xlfn.IFS(B486=TRUE,"High Risk",AND(Raw_Data!S486&gt;=3,Raw_Data!G486&gt;200),"High Risk",Raw_Data!S486&gt;=2,"Medium Risk",TRUE,"Low Risk")</f>
        <v>Low Risk</v>
      </c>
      <c r="G486" s="1" t="str">
        <f>IF(OR(Raw_Data!D486="Yes",Raw_Data!E486="Yes"),"Has Plan","No Special Plan")</f>
        <v>Has Plan</v>
      </c>
      <c r="H486" s="1" t="str">
        <f>IF(NOT(Raw_Data!S486&gt;=3),"Normal Service Contact","Frequent Service Contact")</f>
        <v>Normal Service Contact</v>
      </c>
      <c r="I486" s="1" t="str" cm="1">
        <f t="array" ref="I486">_xlfn.SWITCH(Raw_Data!D486,"Yes","International Customer","No","Domestic Plan","Unknown")</f>
        <v>Domestic Plan</v>
      </c>
      <c r="J486" s="1" t="str">
        <f>IF(ISERROR(Raw_Data!G486/0),"Error","Valid")</f>
        <v>Error</v>
      </c>
      <c r="K486" s="1" t="str">
        <f>IF(ISBLANK(Raw_Data!A486),"Missing","Available")</f>
        <v>Available</v>
      </c>
      <c r="L486" s="5" t="str">
        <f>IF(ISNUMBER(Raw_Data!G486),"Numeric","Not Numeric")</f>
        <v>Numeric</v>
      </c>
    </row>
    <row r="487" spans="1:12" x14ac:dyDescent="0.25">
      <c r="A487" s="4" t="str">
        <f>Raw_Data!A487</f>
        <v>MT</v>
      </c>
      <c r="B487" s="1" t="b">
        <f>Raw_Data!T487</f>
        <v>0</v>
      </c>
      <c r="C487" s="1" t="str">
        <f t="shared" si="7"/>
        <v>Retained</v>
      </c>
      <c r="D487" s="1" t="str">
        <f>IF(Raw_Data!S487=0,"Low Contact",IF(Raw_Data!S487&lt;=2,"Normal Contact","High Contact"))</f>
        <v>Normal Contact</v>
      </c>
      <c r="E487" s="1" t="str">
        <f>IF(AND(Raw_Data!G487&gt;200,Raw_Data!H487&gt;100),"High Usage","Normal Usage")</f>
        <v>Normal Usage</v>
      </c>
      <c r="F487" s="1" t="str" cm="1">
        <f t="array" ref="F487">_xlfn.IFS(B487=TRUE,"High Risk",AND(Raw_Data!S487&gt;=3,Raw_Data!G487&gt;200),"High Risk",Raw_Data!S487&gt;=2,"Medium Risk",TRUE,"Low Risk")</f>
        <v>Low Risk</v>
      </c>
      <c r="G487" s="1" t="str">
        <f>IF(OR(Raw_Data!D487="Yes",Raw_Data!E487="Yes"),"Has Plan","No Special Plan")</f>
        <v>Has Plan</v>
      </c>
      <c r="H487" s="1" t="str">
        <f>IF(NOT(Raw_Data!S487&gt;=3),"Normal Service Contact","Frequent Service Contact")</f>
        <v>Normal Service Contact</v>
      </c>
      <c r="I487" s="1" t="str" cm="1">
        <f t="array" ref="I487">_xlfn.SWITCH(Raw_Data!D487,"Yes","International Customer","No","Domestic Plan","Unknown")</f>
        <v>Domestic Plan</v>
      </c>
      <c r="J487" s="1" t="str">
        <f>IF(ISERROR(Raw_Data!G487/0),"Error","Valid")</f>
        <v>Error</v>
      </c>
      <c r="K487" s="1" t="str">
        <f>IF(ISBLANK(Raw_Data!A487),"Missing","Available")</f>
        <v>Available</v>
      </c>
      <c r="L487" s="5" t="str">
        <f>IF(ISNUMBER(Raw_Data!G487),"Numeric","Not Numeric")</f>
        <v>Numeric</v>
      </c>
    </row>
    <row r="488" spans="1:12" x14ac:dyDescent="0.25">
      <c r="A488" s="4" t="str">
        <f>Raw_Data!A488</f>
        <v>NM</v>
      </c>
      <c r="B488" s="1" t="b">
        <f>Raw_Data!T488</f>
        <v>0</v>
      </c>
      <c r="C488" s="1" t="str">
        <f t="shared" si="7"/>
        <v>Retained</v>
      </c>
      <c r="D488" s="1" t="str">
        <f>IF(Raw_Data!S488=0,"Low Contact",IF(Raw_Data!S488&lt;=2,"Normal Contact","High Contact"))</f>
        <v>Normal Contact</v>
      </c>
      <c r="E488" s="1" t="str">
        <f>IF(AND(Raw_Data!G488&gt;200,Raw_Data!H488&gt;100),"High Usage","Normal Usage")</f>
        <v>Normal Usage</v>
      </c>
      <c r="F488" s="1" t="str" cm="1">
        <f t="array" ref="F488">_xlfn.IFS(B488=TRUE,"High Risk",AND(Raw_Data!S488&gt;=3,Raw_Data!G488&gt;200),"High Risk",Raw_Data!S488&gt;=2,"Medium Risk",TRUE,"Low Risk")</f>
        <v>Low Risk</v>
      </c>
      <c r="G488" s="1" t="str">
        <f>IF(OR(Raw_Data!D488="Yes",Raw_Data!E488="Yes"),"Has Plan","No Special Plan")</f>
        <v>No Special Plan</v>
      </c>
      <c r="H488" s="1" t="str">
        <f>IF(NOT(Raw_Data!S488&gt;=3),"Normal Service Contact","Frequent Service Contact")</f>
        <v>Normal Service Contact</v>
      </c>
      <c r="I488" s="1" t="str" cm="1">
        <f t="array" ref="I488">_xlfn.SWITCH(Raw_Data!D488,"Yes","International Customer","No","Domestic Plan","Unknown")</f>
        <v>Domestic Plan</v>
      </c>
      <c r="J488" s="1" t="str">
        <f>IF(ISERROR(Raw_Data!G488/0),"Error","Valid")</f>
        <v>Error</v>
      </c>
      <c r="K488" s="1" t="str">
        <f>IF(ISBLANK(Raw_Data!A488),"Missing","Available")</f>
        <v>Available</v>
      </c>
      <c r="L488" s="5" t="str">
        <f>IF(ISNUMBER(Raw_Data!G488),"Numeric","Not Numeric")</f>
        <v>Numeric</v>
      </c>
    </row>
    <row r="489" spans="1:12" x14ac:dyDescent="0.25">
      <c r="A489" s="4" t="str">
        <f>Raw_Data!A489</f>
        <v>OH</v>
      </c>
      <c r="B489" s="1" t="b">
        <f>Raw_Data!T489</f>
        <v>0</v>
      </c>
      <c r="C489" s="1" t="str">
        <f t="shared" si="7"/>
        <v>Retained</v>
      </c>
      <c r="D489" s="1" t="str">
        <f>IF(Raw_Data!S489=0,"Low Contact",IF(Raw_Data!S489&lt;=2,"Normal Contact","High Contact"))</f>
        <v>High Contact</v>
      </c>
      <c r="E489" s="1" t="str">
        <f>IF(AND(Raw_Data!G489&gt;200,Raw_Data!H489&gt;100),"High Usage","Normal Usage")</f>
        <v>Normal Usage</v>
      </c>
      <c r="F489" s="1" t="str" cm="1">
        <f t="array" ref="F489">_xlfn.IFS(B489=TRUE,"High Risk",AND(Raw_Data!S489&gt;=3,Raw_Data!G489&gt;200),"High Risk",Raw_Data!S489&gt;=2,"Medium Risk",TRUE,"Low Risk")</f>
        <v>Medium Risk</v>
      </c>
      <c r="G489" s="1" t="str">
        <f>IF(OR(Raw_Data!D489="Yes",Raw_Data!E489="Yes"),"Has Plan","No Special Plan")</f>
        <v>No Special Plan</v>
      </c>
      <c r="H489" s="1" t="str">
        <f>IF(NOT(Raw_Data!S489&gt;=3),"Normal Service Contact","Frequent Service Contact")</f>
        <v>Frequent Service Contact</v>
      </c>
      <c r="I489" s="1" t="str" cm="1">
        <f t="array" ref="I489">_xlfn.SWITCH(Raw_Data!D489,"Yes","International Customer","No","Domestic Plan","Unknown")</f>
        <v>Domestic Plan</v>
      </c>
      <c r="J489" s="1" t="str">
        <f>IF(ISERROR(Raw_Data!G489/0),"Error","Valid")</f>
        <v>Error</v>
      </c>
      <c r="K489" s="1" t="str">
        <f>IF(ISBLANK(Raw_Data!A489),"Missing","Available")</f>
        <v>Available</v>
      </c>
      <c r="L489" s="5" t="str">
        <f>IF(ISNUMBER(Raw_Data!G489),"Numeric","Not Numeric")</f>
        <v>Numeric</v>
      </c>
    </row>
    <row r="490" spans="1:12" x14ac:dyDescent="0.25">
      <c r="A490" s="4" t="str">
        <f>Raw_Data!A490</f>
        <v>LA</v>
      </c>
      <c r="B490" s="1" t="b">
        <f>Raw_Data!T490</f>
        <v>0</v>
      </c>
      <c r="C490" s="1" t="str">
        <f t="shared" si="7"/>
        <v>Retained</v>
      </c>
      <c r="D490" s="1" t="str">
        <f>IF(Raw_Data!S490=0,"Low Contact",IF(Raw_Data!S490&lt;=2,"Normal Contact","High Contact"))</f>
        <v>Normal Contact</v>
      </c>
      <c r="E490" s="1" t="str">
        <f>IF(AND(Raw_Data!G490&gt;200,Raw_Data!H490&gt;100),"High Usage","Normal Usage")</f>
        <v>Normal Usage</v>
      </c>
      <c r="F490" s="1" t="str" cm="1">
        <f t="array" ref="F490">_xlfn.IFS(B490=TRUE,"High Risk",AND(Raw_Data!S490&gt;=3,Raw_Data!G490&gt;200),"High Risk",Raw_Data!S490&gt;=2,"Medium Risk",TRUE,"Low Risk")</f>
        <v>Medium Risk</v>
      </c>
      <c r="G490" s="1" t="str">
        <f>IF(OR(Raw_Data!D490="Yes",Raw_Data!E490="Yes"),"Has Plan","No Special Plan")</f>
        <v>No Special Plan</v>
      </c>
      <c r="H490" s="1" t="str">
        <f>IF(NOT(Raw_Data!S490&gt;=3),"Normal Service Contact","Frequent Service Contact")</f>
        <v>Normal Service Contact</v>
      </c>
      <c r="I490" s="1" t="str" cm="1">
        <f t="array" ref="I490">_xlfn.SWITCH(Raw_Data!D490,"Yes","International Customer","No","Domestic Plan","Unknown")</f>
        <v>Domestic Plan</v>
      </c>
      <c r="J490" s="1" t="str">
        <f>IF(ISERROR(Raw_Data!G490/0),"Error","Valid")</f>
        <v>Error</v>
      </c>
      <c r="K490" s="1" t="str">
        <f>IF(ISBLANK(Raw_Data!A490),"Missing","Available")</f>
        <v>Available</v>
      </c>
      <c r="L490" s="5" t="str">
        <f>IF(ISNUMBER(Raw_Data!G490),"Numeric","Not Numeric")</f>
        <v>Numeric</v>
      </c>
    </row>
    <row r="491" spans="1:12" x14ac:dyDescent="0.25">
      <c r="A491" s="4" t="str">
        <f>Raw_Data!A491</f>
        <v>MO</v>
      </c>
      <c r="B491" s="1" t="b">
        <f>Raw_Data!T491</f>
        <v>0</v>
      </c>
      <c r="C491" s="1" t="str">
        <f t="shared" si="7"/>
        <v>Retained</v>
      </c>
      <c r="D491" s="1" t="str">
        <f>IF(Raw_Data!S491=0,"Low Contact",IF(Raw_Data!S491&lt;=2,"Normal Contact","High Contact"))</f>
        <v>Normal Contact</v>
      </c>
      <c r="E491" s="1" t="str">
        <f>IF(AND(Raw_Data!G491&gt;200,Raw_Data!H491&gt;100),"High Usage","Normal Usage")</f>
        <v>Normal Usage</v>
      </c>
      <c r="F491" s="1" t="str" cm="1">
        <f t="array" ref="F491">_xlfn.IFS(B491=TRUE,"High Risk",AND(Raw_Data!S491&gt;=3,Raw_Data!G491&gt;200),"High Risk",Raw_Data!S491&gt;=2,"Medium Risk",TRUE,"Low Risk")</f>
        <v>Medium Risk</v>
      </c>
      <c r="G491" s="1" t="str">
        <f>IF(OR(Raw_Data!D491="Yes",Raw_Data!E491="Yes"),"Has Plan","No Special Plan")</f>
        <v>No Special Plan</v>
      </c>
      <c r="H491" s="1" t="str">
        <f>IF(NOT(Raw_Data!S491&gt;=3),"Normal Service Contact","Frequent Service Contact")</f>
        <v>Normal Service Contact</v>
      </c>
      <c r="I491" s="1" t="str" cm="1">
        <f t="array" ref="I491">_xlfn.SWITCH(Raw_Data!D491,"Yes","International Customer","No","Domestic Plan","Unknown")</f>
        <v>Domestic Plan</v>
      </c>
      <c r="J491" s="1" t="str">
        <f>IF(ISERROR(Raw_Data!G491/0),"Error","Valid")</f>
        <v>Error</v>
      </c>
      <c r="K491" s="1" t="str">
        <f>IF(ISBLANK(Raw_Data!A491),"Missing","Available")</f>
        <v>Available</v>
      </c>
      <c r="L491" s="5" t="str">
        <f>IF(ISNUMBER(Raw_Data!G491),"Numeric","Not Numeric")</f>
        <v>Numeric</v>
      </c>
    </row>
    <row r="492" spans="1:12" x14ac:dyDescent="0.25">
      <c r="A492" s="4" t="str">
        <f>Raw_Data!A492</f>
        <v>DC</v>
      </c>
      <c r="B492" s="1" t="b">
        <f>Raw_Data!T492</f>
        <v>0</v>
      </c>
      <c r="C492" s="1" t="str">
        <f t="shared" si="7"/>
        <v>Retained</v>
      </c>
      <c r="D492" s="1" t="str">
        <f>IF(Raw_Data!S492=0,"Low Contact",IF(Raw_Data!S492&lt;=2,"Normal Contact","High Contact"))</f>
        <v>Normal Contact</v>
      </c>
      <c r="E492" s="1" t="str">
        <f>IF(AND(Raw_Data!G492&gt;200,Raw_Data!H492&gt;100),"High Usage","Normal Usage")</f>
        <v>Normal Usage</v>
      </c>
      <c r="F492" s="1" t="str" cm="1">
        <f t="array" ref="F492">_xlfn.IFS(B492=TRUE,"High Risk",AND(Raw_Data!S492&gt;=3,Raw_Data!G492&gt;200),"High Risk",Raw_Data!S492&gt;=2,"Medium Risk",TRUE,"Low Risk")</f>
        <v>Low Risk</v>
      </c>
      <c r="G492" s="1" t="str">
        <f>IF(OR(Raw_Data!D492="Yes",Raw_Data!E492="Yes"),"Has Plan","No Special Plan")</f>
        <v>Has Plan</v>
      </c>
      <c r="H492" s="1" t="str">
        <f>IF(NOT(Raw_Data!S492&gt;=3),"Normal Service Contact","Frequent Service Contact")</f>
        <v>Normal Service Contact</v>
      </c>
      <c r="I492" s="1" t="str" cm="1">
        <f t="array" ref="I492">_xlfn.SWITCH(Raw_Data!D492,"Yes","International Customer","No","Domestic Plan","Unknown")</f>
        <v>Domestic Plan</v>
      </c>
      <c r="J492" s="1" t="str">
        <f>IF(ISERROR(Raw_Data!G492/0),"Error","Valid")</f>
        <v>Error</v>
      </c>
      <c r="K492" s="1" t="str">
        <f>IF(ISBLANK(Raw_Data!A492),"Missing","Available")</f>
        <v>Available</v>
      </c>
      <c r="L492" s="5" t="str">
        <f>IF(ISNUMBER(Raw_Data!G492),"Numeric","Not Numeric")</f>
        <v>Numeric</v>
      </c>
    </row>
    <row r="493" spans="1:12" x14ac:dyDescent="0.25">
      <c r="A493" s="4" t="str">
        <f>Raw_Data!A493</f>
        <v>TN</v>
      </c>
      <c r="B493" s="1" t="b">
        <f>Raw_Data!T493</f>
        <v>0</v>
      </c>
      <c r="C493" s="1" t="str">
        <f t="shared" si="7"/>
        <v>Retained</v>
      </c>
      <c r="D493" s="1" t="str">
        <f>IF(Raw_Data!S493=0,"Low Contact",IF(Raw_Data!S493&lt;=2,"Normal Contact","High Contact"))</f>
        <v>Low Contact</v>
      </c>
      <c r="E493" s="1" t="str">
        <f>IF(AND(Raw_Data!G493&gt;200,Raw_Data!H493&gt;100),"High Usage","Normal Usage")</f>
        <v>Normal Usage</v>
      </c>
      <c r="F493" s="1" t="str" cm="1">
        <f t="array" ref="F493">_xlfn.IFS(B493=TRUE,"High Risk",AND(Raw_Data!S493&gt;=3,Raw_Data!G493&gt;200),"High Risk",Raw_Data!S493&gt;=2,"Medium Risk",TRUE,"Low Risk")</f>
        <v>Low Risk</v>
      </c>
      <c r="G493" s="1" t="str">
        <f>IF(OR(Raw_Data!D493="Yes",Raw_Data!E493="Yes"),"Has Plan","No Special Plan")</f>
        <v>No Special Plan</v>
      </c>
      <c r="H493" s="1" t="str">
        <f>IF(NOT(Raw_Data!S493&gt;=3),"Normal Service Contact","Frequent Service Contact")</f>
        <v>Normal Service Contact</v>
      </c>
      <c r="I493" s="1" t="str" cm="1">
        <f t="array" ref="I493">_xlfn.SWITCH(Raw_Data!D493,"Yes","International Customer","No","Domestic Plan","Unknown")</f>
        <v>Domestic Plan</v>
      </c>
      <c r="J493" s="1" t="str">
        <f>IF(ISERROR(Raw_Data!G493/0),"Error","Valid")</f>
        <v>Error</v>
      </c>
      <c r="K493" s="1" t="str">
        <f>IF(ISBLANK(Raw_Data!A493),"Missing","Available")</f>
        <v>Available</v>
      </c>
      <c r="L493" s="5" t="str">
        <f>IF(ISNUMBER(Raw_Data!G493),"Numeric","Not Numeric")</f>
        <v>Numeric</v>
      </c>
    </row>
    <row r="494" spans="1:12" x14ac:dyDescent="0.25">
      <c r="A494" s="4" t="str">
        <f>Raw_Data!A494</f>
        <v>WA</v>
      </c>
      <c r="B494" s="1" t="b">
        <f>Raw_Data!T494</f>
        <v>0</v>
      </c>
      <c r="C494" s="1" t="str">
        <f t="shared" si="7"/>
        <v>Retained</v>
      </c>
      <c r="D494" s="1" t="str">
        <f>IF(Raw_Data!S494=0,"Low Contact",IF(Raw_Data!S494&lt;=2,"Normal Contact","High Contact"))</f>
        <v>Normal Contact</v>
      </c>
      <c r="E494" s="1" t="str">
        <f>IF(AND(Raw_Data!G494&gt;200,Raw_Data!H494&gt;100),"High Usage","Normal Usage")</f>
        <v>High Usage</v>
      </c>
      <c r="F494" s="1" t="str" cm="1">
        <f t="array" ref="F494">_xlfn.IFS(B494=TRUE,"High Risk",AND(Raw_Data!S494&gt;=3,Raw_Data!G494&gt;200),"High Risk",Raw_Data!S494&gt;=2,"Medium Risk",TRUE,"Low Risk")</f>
        <v>Medium Risk</v>
      </c>
      <c r="G494" s="1" t="str">
        <f>IF(OR(Raw_Data!D494="Yes",Raw_Data!E494="Yes"),"Has Plan","No Special Plan")</f>
        <v>No Special Plan</v>
      </c>
      <c r="H494" s="1" t="str">
        <f>IF(NOT(Raw_Data!S494&gt;=3),"Normal Service Contact","Frequent Service Contact")</f>
        <v>Normal Service Contact</v>
      </c>
      <c r="I494" s="1" t="str" cm="1">
        <f t="array" ref="I494">_xlfn.SWITCH(Raw_Data!D494,"Yes","International Customer","No","Domestic Plan","Unknown")</f>
        <v>Domestic Plan</v>
      </c>
      <c r="J494" s="1" t="str">
        <f>IF(ISERROR(Raw_Data!G494/0),"Error","Valid")</f>
        <v>Error</v>
      </c>
      <c r="K494" s="1" t="str">
        <f>IF(ISBLANK(Raw_Data!A494),"Missing","Available")</f>
        <v>Available</v>
      </c>
      <c r="L494" s="5" t="str">
        <f>IF(ISNUMBER(Raw_Data!G494),"Numeric","Not Numeric")</f>
        <v>Numeric</v>
      </c>
    </row>
    <row r="495" spans="1:12" x14ac:dyDescent="0.25">
      <c r="A495" s="4" t="str">
        <f>Raw_Data!A495</f>
        <v>RI</v>
      </c>
      <c r="B495" s="1" t="b">
        <f>Raw_Data!T495</f>
        <v>0</v>
      </c>
      <c r="C495" s="1" t="str">
        <f t="shared" si="7"/>
        <v>Retained</v>
      </c>
      <c r="D495" s="1" t="str">
        <f>IF(Raw_Data!S495=0,"Low Contact",IF(Raw_Data!S495&lt;=2,"Normal Contact","High Contact"))</f>
        <v>Normal Contact</v>
      </c>
      <c r="E495" s="1" t="str">
        <f>IF(AND(Raw_Data!G495&gt;200,Raw_Data!H495&gt;100),"High Usage","Normal Usage")</f>
        <v>Normal Usage</v>
      </c>
      <c r="F495" s="1" t="str" cm="1">
        <f t="array" ref="F495">_xlfn.IFS(B495=TRUE,"High Risk",AND(Raw_Data!S495&gt;=3,Raw_Data!G495&gt;200),"High Risk",Raw_Data!S495&gt;=2,"Medium Risk",TRUE,"Low Risk")</f>
        <v>Low Risk</v>
      </c>
      <c r="G495" s="1" t="str">
        <f>IF(OR(Raw_Data!D495="Yes",Raw_Data!E495="Yes"),"Has Plan","No Special Plan")</f>
        <v>No Special Plan</v>
      </c>
      <c r="H495" s="1" t="str">
        <f>IF(NOT(Raw_Data!S495&gt;=3),"Normal Service Contact","Frequent Service Contact")</f>
        <v>Normal Service Contact</v>
      </c>
      <c r="I495" s="1" t="str" cm="1">
        <f t="array" ref="I495">_xlfn.SWITCH(Raw_Data!D495,"Yes","International Customer","No","Domestic Plan","Unknown")</f>
        <v>Domestic Plan</v>
      </c>
      <c r="J495" s="1" t="str">
        <f>IF(ISERROR(Raw_Data!G495/0),"Error","Valid")</f>
        <v>Error</v>
      </c>
      <c r="K495" s="1" t="str">
        <f>IF(ISBLANK(Raw_Data!A495),"Missing","Available")</f>
        <v>Available</v>
      </c>
      <c r="L495" s="5" t="str">
        <f>IF(ISNUMBER(Raw_Data!G495),"Numeric","Not Numeric")</f>
        <v>Numeric</v>
      </c>
    </row>
    <row r="496" spans="1:12" x14ac:dyDescent="0.25">
      <c r="A496" s="4" t="str">
        <f>Raw_Data!A496</f>
        <v>RI</v>
      </c>
      <c r="B496" s="1" t="b">
        <f>Raw_Data!T496</f>
        <v>1</v>
      </c>
      <c r="C496" s="1" t="str">
        <f t="shared" si="7"/>
        <v>Churned</v>
      </c>
      <c r="D496" s="1" t="str">
        <f>IF(Raw_Data!S496=0,"Low Contact",IF(Raw_Data!S496&lt;=2,"Normal Contact","High Contact"))</f>
        <v>Normal Contact</v>
      </c>
      <c r="E496" s="1" t="str">
        <f>IF(AND(Raw_Data!G496&gt;200,Raw_Data!H496&gt;100),"High Usage","Normal Usage")</f>
        <v>Normal Usage</v>
      </c>
      <c r="F496" s="1" t="str" cm="1">
        <f t="array" ref="F496">_xlfn.IFS(B496=TRUE,"High Risk",AND(Raw_Data!S496&gt;=3,Raw_Data!G496&gt;200),"High Risk",Raw_Data!S496&gt;=2,"Medium Risk",TRUE,"Low Risk")</f>
        <v>High Risk</v>
      </c>
      <c r="G496" s="1" t="str">
        <f>IF(OR(Raw_Data!D496="Yes",Raw_Data!E496="Yes"),"Has Plan","No Special Plan")</f>
        <v>No Special Plan</v>
      </c>
      <c r="H496" s="1" t="str">
        <f>IF(NOT(Raw_Data!S496&gt;=3),"Normal Service Contact","Frequent Service Contact")</f>
        <v>Normal Service Contact</v>
      </c>
      <c r="I496" s="1" t="str" cm="1">
        <f t="array" ref="I496">_xlfn.SWITCH(Raw_Data!D496,"Yes","International Customer","No","Domestic Plan","Unknown")</f>
        <v>Domestic Plan</v>
      </c>
      <c r="J496" s="1" t="str">
        <f>IF(ISERROR(Raw_Data!G496/0),"Error","Valid")</f>
        <v>Error</v>
      </c>
      <c r="K496" s="1" t="str">
        <f>IF(ISBLANK(Raw_Data!A496),"Missing","Available")</f>
        <v>Available</v>
      </c>
      <c r="L496" s="5" t="str">
        <f>IF(ISNUMBER(Raw_Data!G496),"Numeric","Not Numeric")</f>
        <v>Numeric</v>
      </c>
    </row>
    <row r="497" spans="1:12" x14ac:dyDescent="0.25">
      <c r="A497" s="4" t="str">
        <f>Raw_Data!A497</f>
        <v>OR</v>
      </c>
      <c r="B497" s="1" t="b">
        <f>Raw_Data!T497</f>
        <v>1</v>
      </c>
      <c r="C497" s="1" t="str">
        <f t="shared" si="7"/>
        <v>Churned</v>
      </c>
      <c r="D497" s="1" t="str">
        <f>IF(Raw_Data!S497=0,"Low Contact",IF(Raw_Data!S497&lt;=2,"Normal Contact","High Contact"))</f>
        <v>High Contact</v>
      </c>
      <c r="E497" s="1" t="str">
        <f>IF(AND(Raw_Data!G497&gt;200,Raw_Data!H497&gt;100),"High Usage","Normal Usage")</f>
        <v>High Usage</v>
      </c>
      <c r="F497" s="1" t="str" cm="1">
        <f t="array" ref="F497">_xlfn.IFS(B497=TRUE,"High Risk",AND(Raw_Data!S497&gt;=3,Raw_Data!G497&gt;200),"High Risk",Raw_Data!S497&gt;=2,"Medium Risk",TRUE,"Low Risk")</f>
        <v>High Risk</v>
      </c>
      <c r="G497" s="1" t="str">
        <f>IF(OR(Raw_Data!D497="Yes",Raw_Data!E497="Yes"),"Has Plan","No Special Plan")</f>
        <v>Has Plan</v>
      </c>
      <c r="H497" s="1" t="str">
        <f>IF(NOT(Raw_Data!S497&gt;=3),"Normal Service Contact","Frequent Service Contact")</f>
        <v>Frequent Service Contact</v>
      </c>
      <c r="I497" s="1" t="str" cm="1">
        <f t="array" ref="I497">_xlfn.SWITCH(Raw_Data!D497,"Yes","International Customer","No","Domestic Plan","Unknown")</f>
        <v>International Customer</v>
      </c>
      <c r="J497" s="1" t="str">
        <f>IF(ISERROR(Raw_Data!G497/0),"Error","Valid")</f>
        <v>Error</v>
      </c>
      <c r="K497" s="1" t="str">
        <f>IF(ISBLANK(Raw_Data!A497),"Missing","Available")</f>
        <v>Available</v>
      </c>
      <c r="L497" s="5" t="str">
        <f>IF(ISNUMBER(Raw_Data!G497),"Numeric","Not Numeric")</f>
        <v>Numeric</v>
      </c>
    </row>
    <row r="498" spans="1:12" x14ac:dyDescent="0.25">
      <c r="A498" s="4" t="str">
        <f>Raw_Data!A498</f>
        <v>MA</v>
      </c>
      <c r="B498" s="1" t="b">
        <f>Raw_Data!T498</f>
        <v>0</v>
      </c>
      <c r="C498" s="1" t="str">
        <f t="shared" si="7"/>
        <v>Retained</v>
      </c>
      <c r="D498" s="1" t="str">
        <f>IF(Raw_Data!S498=0,"Low Contact",IF(Raw_Data!S498&lt;=2,"Normal Contact","High Contact"))</f>
        <v>Normal Contact</v>
      </c>
      <c r="E498" s="1" t="str">
        <f>IF(AND(Raw_Data!G498&gt;200,Raw_Data!H498&gt;100),"High Usage","Normal Usage")</f>
        <v>Normal Usage</v>
      </c>
      <c r="F498" s="1" t="str" cm="1">
        <f t="array" ref="F498">_xlfn.IFS(B498=TRUE,"High Risk",AND(Raw_Data!S498&gt;=3,Raw_Data!G498&gt;200),"High Risk",Raw_Data!S498&gt;=2,"Medium Risk",TRUE,"Low Risk")</f>
        <v>Medium Risk</v>
      </c>
      <c r="G498" s="1" t="str">
        <f>IF(OR(Raw_Data!D498="Yes",Raw_Data!E498="Yes"),"Has Plan","No Special Plan")</f>
        <v>No Special Plan</v>
      </c>
      <c r="H498" s="1" t="str">
        <f>IF(NOT(Raw_Data!S498&gt;=3),"Normal Service Contact","Frequent Service Contact")</f>
        <v>Normal Service Contact</v>
      </c>
      <c r="I498" s="1" t="str" cm="1">
        <f t="array" ref="I498">_xlfn.SWITCH(Raw_Data!D498,"Yes","International Customer","No","Domestic Plan","Unknown")</f>
        <v>Domestic Plan</v>
      </c>
      <c r="J498" s="1" t="str">
        <f>IF(ISERROR(Raw_Data!G498/0),"Error","Valid")</f>
        <v>Error</v>
      </c>
      <c r="K498" s="1" t="str">
        <f>IF(ISBLANK(Raw_Data!A498),"Missing","Available")</f>
        <v>Available</v>
      </c>
      <c r="L498" s="5" t="str">
        <f>IF(ISNUMBER(Raw_Data!G498),"Numeric","Not Numeric")</f>
        <v>Numeric</v>
      </c>
    </row>
    <row r="499" spans="1:12" x14ac:dyDescent="0.25">
      <c r="A499" s="4" t="str">
        <f>Raw_Data!A499</f>
        <v>NC</v>
      </c>
      <c r="B499" s="1" t="b">
        <f>Raw_Data!T499</f>
        <v>0</v>
      </c>
      <c r="C499" s="1" t="str">
        <f t="shared" si="7"/>
        <v>Retained</v>
      </c>
      <c r="D499" s="1" t="str">
        <f>IF(Raw_Data!S499=0,"Low Contact",IF(Raw_Data!S499&lt;=2,"Normal Contact","High Contact"))</f>
        <v>Normal Contact</v>
      </c>
      <c r="E499" s="1" t="str">
        <f>IF(AND(Raw_Data!G499&gt;200,Raw_Data!H499&gt;100),"High Usage","Normal Usage")</f>
        <v>Normal Usage</v>
      </c>
      <c r="F499" s="1" t="str" cm="1">
        <f t="array" ref="F499">_xlfn.IFS(B499=TRUE,"High Risk",AND(Raw_Data!S499&gt;=3,Raw_Data!G499&gt;200),"High Risk",Raw_Data!S499&gt;=2,"Medium Risk",TRUE,"Low Risk")</f>
        <v>Medium Risk</v>
      </c>
      <c r="G499" s="1" t="str">
        <f>IF(OR(Raw_Data!D499="Yes",Raw_Data!E499="Yes"),"Has Plan","No Special Plan")</f>
        <v>No Special Plan</v>
      </c>
      <c r="H499" s="1" t="str">
        <f>IF(NOT(Raw_Data!S499&gt;=3),"Normal Service Contact","Frequent Service Contact")</f>
        <v>Normal Service Contact</v>
      </c>
      <c r="I499" s="1" t="str" cm="1">
        <f t="array" ref="I499">_xlfn.SWITCH(Raw_Data!D499,"Yes","International Customer","No","Domestic Plan","Unknown")</f>
        <v>Domestic Plan</v>
      </c>
      <c r="J499" s="1" t="str">
        <f>IF(ISERROR(Raw_Data!G499/0),"Error","Valid")</f>
        <v>Error</v>
      </c>
      <c r="K499" s="1" t="str">
        <f>IF(ISBLANK(Raw_Data!A499),"Missing","Available")</f>
        <v>Available</v>
      </c>
      <c r="L499" s="5" t="str">
        <f>IF(ISNUMBER(Raw_Data!G499),"Numeric","Not Numeric")</f>
        <v>Numeric</v>
      </c>
    </row>
    <row r="500" spans="1:12" x14ac:dyDescent="0.25">
      <c r="A500" s="4" t="str">
        <f>Raw_Data!A500</f>
        <v>IA</v>
      </c>
      <c r="B500" s="1" t="b">
        <f>Raw_Data!T500</f>
        <v>0</v>
      </c>
      <c r="C500" s="1" t="str">
        <f t="shared" si="7"/>
        <v>Retained</v>
      </c>
      <c r="D500" s="1" t="str">
        <f>IF(Raw_Data!S500=0,"Low Contact",IF(Raw_Data!S500&lt;=2,"Normal Contact","High Contact"))</f>
        <v>Normal Contact</v>
      </c>
      <c r="E500" s="1" t="str">
        <f>IF(AND(Raw_Data!G500&gt;200,Raw_Data!H500&gt;100),"High Usage","Normal Usage")</f>
        <v>Normal Usage</v>
      </c>
      <c r="F500" s="1" t="str" cm="1">
        <f t="array" ref="F500">_xlfn.IFS(B500=TRUE,"High Risk",AND(Raw_Data!S500&gt;=3,Raw_Data!G500&gt;200),"High Risk",Raw_Data!S500&gt;=2,"Medium Risk",TRUE,"Low Risk")</f>
        <v>Low Risk</v>
      </c>
      <c r="G500" s="1" t="str">
        <f>IF(OR(Raw_Data!D500="Yes",Raw_Data!E500="Yes"),"Has Plan","No Special Plan")</f>
        <v>Has Plan</v>
      </c>
      <c r="H500" s="1" t="str">
        <f>IF(NOT(Raw_Data!S500&gt;=3),"Normal Service Contact","Frequent Service Contact")</f>
        <v>Normal Service Contact</v>
      </c>
      <c r="I500" s="1" t="str" cm="1">
        <f t="array" ref="I500">_xlfn.SWITCH(Raw_Data!D500,"Yes","International Customer","No","Domestic Plan","Unknown")</f>
        <v>Domestic Plan</v>
      </c>
      <c r="J500" s="1" t="str">
        <f>IF(ISERROR(Raw_Data!G500/0),"Error","Valid")</f>
        <v>Error</v>
      </c>
      <c r="K500" s="1" t="str">
        <f>IF(ISBLANK(Raw_Data!A500),"Missing","Available")</f>
        <v>Available</v>
      </c>
      <c r="L500" s="5" t="str">
        <f>IF(ISNUMBER(Raw_Data!G500),"Numeric","Not Numeric")</f>
        <v>Numeric</v>
      </c>
    </row>
    <row r="501" spans="1:12" x14ac:dyDescent="0.25">
      <c r="A501" s="4" t="str">
        <f>Raw_Data!A501</f>
        <v>IL</v>
      </c>
      <c r="B501" s="1" t="b">
        <f>Raw_Data!T501</f>
        <v>0</v>
      </c>
      <c r="C501" s="1" t="str">
        <f t="shared" si="7"/>
        <v>Retained</v>
      </c>
      <c r="D501" s="1" t="str">
        <f>IF(Raw_Data!S501=0,"Low Contact",IF(Raw_Data!S501&lt;=2,"Normal Contact","High Contact"))</f>
        <v>Low Contact</v>
      </c>
      <c r="E501" s="1" t="str">
        <f>IF(AND(Raw_Data!G501&gt;200,Raw_Data!H501&gt;100),"High Usage","Normal Usage")</f>
        <v>Normal Usage</v>
      </c>
      <c r="F501" s="1" t="str" cm="1">
        <f t="array" ref="F501">_xlfn.IFS(B501=TRUE,"High Risk",AND(Raw_Data!S501&gt;=3,Raw_Data!G501&gt;200),"High Risk",Raw_Data!S501&gt;=2,"Medium Risk",TRUE,"Low Risk")</f>
        <v>Low Risk</v>
      </c>
      <c r="G501" s="1" t="str">
        <f>IF(OR(Raw_Data!D501="Yes",Raw_Data!E501="Yes"),"Has Plan","No Special Plan")</f>
        <v>No Special Plan</v>
      </c>
      <c r="H501" s="1" t="str">
        <f>IF(NOT(Raw_Data!S501&gt;=3),"Normal Service Contact","Frequent Service Contact")</f>
        <v>Normal Service Contact</v>
      </c>
      <c r="I501" s="1" t="str" cm="1">
        <f t="array" ref="I501">_xlfn.SWITCH(Raw_Data!D501,"Yes","International Customer","No","Domestic Plan","Unknown")</f>
        <v>Domestic Plan</v>
      </c>
      <c r="J501" s="1" t="str">
        <f>IF(ISERROR(Raw_Data!G501/0),"Error","Valid")</f>
        <v>Error</v>
      </c>
      <c r="K501" s="1" t="str">
        <f>IF(ISBLANK(Raw_Data!A501),"Missing","Available")</f>
        <v>Available</v>
      </c>
      <c r="L501" s="5" t="str">
        <f>IF(ISNUMBER(Raw_Data!G501),"Numeric","Not Numeric")</f>
        <v>Numeric</v>
      </c>
    </row>
    <row r="502" spans="1:12" x14ac:dyDescent="0.25">
      <c r="A502" s="4" t="str">
        <f>Raw_Data!A502</f>
        <v>KY</v>
      </c>
      <c r="B502" s="1" t="b">
        <f>Raw_Data!T502</f>
        <v>1</v>
      </c>
      <c r="C502" s="1" t="str">
        <f t="shared" si="7"/>
        <v>Churned</v>
      </c>
      <c r="D502" s="1" t="str">
        <f>IF(Raw_Data!S502=0,"Low Contact",IF(Raw_Data!S502&lt;=2,"Normal Contact","High Contact"))</f>
        <v>Normal Contact</v>
      </c>
      <c r="E502" s="1" t="str">
        <f>IF(AND(Raw_Data!G502&gt;200,Raw_Data!H502&gt;100),"High Usage","Normal Usage")</f>
        <v>High Usage</v>
      </c>
      <c r="F502" s="1" t="str" cm="1">
        <f t="array" ref="F502">_xlfn.IFS(B502=TRUE,"High Risk",AND(Raw_Data!S502&gt;=3,Raw_Data!G502&gt;200),"High Risk",Raw_Data!S502&gt;=2,"Medium Risk",TRUE,"Low Risk")</f>
        <v>High Risk</v>
      </c>
      <c r="G502" s="1" t="str">
        <f>IF(OR(Raw_Data!D502="Yes",Raw_Data!E502="Yes"),"Has Plan","No Special Plan")</f>
        <v>No Special Plan</v>
      </c>
      <c r="H502" s="1" t="str">
        <f>IF(NOT(Raw_Data!S502&gt;=3),"Normal Service Contact","Frequent Service Contact")</f>
        <v>Normal Service Contact</v>
      </c>
      <c r="I502" s="1" t="str" cm="1">
        <f t="array" ref="I502">_xlfn.SWITCH(Raw_Data!D502,"Yes","International Customer","No","Domestic Plan","Unknown")</f>
        <v>Domestic Plan</v>
      </c>
      <c r="J502" s="1" t="str">
        <f>IF(ISERROR(Raw_Data!G502/0),"Error","Valid")</f>
        <v>Error</v>
      </c>
      <c r="K502" s="1" t="str">
        <f>IF(ISBLANK(Raw_Data!A502),"Missing","Available")</f>
        <v>Available</v>
      </c>
      <c r="L502" s="5" t="str">
        <f>IF(ISNUMBER(Raw_Data!G502),"Numeric","Not Numeric")</f>
        <v>Numeric</v>
      </c>
    </row>
    <row r="503" spans="1:12" x14ac:dyDescent="0.25">
      <c r="A503" s="4" t="str">
        <f>Raw_Data!A503</f>
        <v>TN</v>
      </c>
      <c r="B503" s="1" t="b">
        <f>Raw_Data!T503</f>
        <v>0</v>
      </c>
      <c r="C503" s="1" t="str">
        <f t="shared" si="7"/>
        <v>Retained</v>
      </c>
      <c r="D503" s="1" t="str">
        <f>IF(Raw_Data!S503=0,"Low Contact",IF(Raw_Data!S503&lt;=2,"Normal Contact","High Contact"))</f>
        <v>High Contact</v>
      </c>
      <c r="E503" s="1" t="str">
        <f>IF(AND(Raw_Data!G503&gt;200,Raw_Data!H503&gt;100),"High Usage","Normal Usage")</f>
        <v>Normal Usage</v>
      </c>
      <c r="F503" s="1" t="str" cm="1">
        <f t="array" ref="F503">_xlfn.IFS(B503=TRUE,"High Risk",AND(Raw_Data!S503&gt;=3,Raw_Data!G503&gt;200),"High Risk",Raw_Data!S503&gt;=2,"Medium Risk",TRUE,"Low Risk")</f>
        <v>Medium Risk</v>
      </c>
      <c r="G503" s="1" t="str">
        <f>IF(OR(Raw_Data!D503="Yes",Raw_Data!E503="Yes"),"Has Plan","No Special Plan")</f>
        <v>No Special Plan</v>
      </c>
      <c r="H503" s="1" t="str">
        <f>IF(NOT(Raw_Data!S503&gt;=3),"Normal Service Contact","Frequent Service Contact")</f>
        <v>Frequent Service Contact</v>
      </c>
      <c r="I503" s="1" t="str" cm="1">
        <f t="array" ref="I503">_xlfn.SWITCH(Raw_Data!D503,"Yes","International Customer","No","Domestic Plan","Unknown")</f>
        <v>Domestic Plan</v>
      </c>
      <c r="J503" s="1" t="str">
        <f>IF(ISERROR(Raw_Data!G503/0),"Error","Valid")</f>
        <v>Error</v>
      </c>
      <c r="K503" s="1" t="str">
        <f>IF(ISBLANK(Raw_Data!A503),"Missing","Available")</f>
        <v>Available</v>
      </c>
      <c r="L503" s="5" t="str">
        <f>IF(ISNUMBER(Raw_Data!G503),"Numeric","Not Numeric")</f>
        <v>Numeric</v>
      </c>
    </row>
    <row r="504" spans="1:12" x14ac:dyDescent="0.25">
      <c r="A504" s="4" t="str">
        <f>Raw_Data!A504</f>
        <v>GA</v>
      </c>
      <c r="B504" s="1" t="b">
        <f>Raw_Data!T504</f>
        <v>0</v>
      </c>
      <c r="C504" s="1" t="str">
        <f t="shared" si="7"/>
        <v>Retained</v>
      </c>
      <c r="D504" s="1" t="str">
        <f>IF(Raw_Data!S504=0,"Low Contact",IF(Raw_Data!S504&lt;=2,"Normal Contact","High Contact"))</f>
        <v>Low Contact</v>
      </c>
      <c r="E504" s="1" t="str">
        <f>IF(AND(Raw_Data!G504&gt;200,Raw_Data!H504&gt;100),"High Usage","Normal Usage")</f>
        <v>Normal Usage</v>
      </c>
      <c r="F504" s="1" t="str" cm="1">
        <f t="array" ref="F504">_xlfn.IFS(B504=TRUE,"High Risk",AND(Raw_Data!S504&gt;=3,Raw_Data!G504&gt;200),"High Risk",Raw_Data!S504&gt;=2,"Medium Risk",TRUE,"Low Risk")</f>
        <v>Low Risk</v>
      </c>
      <c r="G504" s="1" t="str">
        <f>IF(OR(Raw_Data!D504="Yes",Raw_Data!E504="Yes"),"Has Plan","No Special Plan")</f>
        <v>No Special Plan</v>
      </c>
      <c r="H504" s="1" t="str">
        <f>IF(NOT(Raw_Data!S504&gt;=3),"Normal Service Contact","Frequent Service Contact")</f>
        <v>Normal Service Contact</v>
      </c>
      <c r="I504" s="1" t="str" cm="1">
        <f t="array" ref="I504">_xlfn.SWITCH(Raw_Data!D504,"Yes","International Customer","No","Domestic Plan","Unknown")</f>
        <v>Domestic Plan</v>
      </c>
      <c r="J504" s="1" t="str">
        <f>IF(ISERROR(Raw_Data!G504/0),"Error","Valid")</f>
        <v>Error</v>
      </c>
      <c r="K504" s="1" t="str">
        <f>IF(ISBLANK(Raw_Data!A504),"Missing","Available")</f>
        <v>Available</v>
      </c>
      <c r="L504" s="5" t="str">
        <f>IF(ISNUMBER(Raw_Data!G504),"Numeric","Not Numeric")</f>
        <v>Numeric</v>
      </c>
    </row>
    <row r="505" spans="1:12" x14ac:dyDescent="0.25">
      <c r="A505" s="4" t="str">
        <f>Raw_Data!A505</f>
        <v>MN</v>
      </c>
      <c r="B505" s="1" t="b">
        <f>Raw_Data!T505</f>
        <v>0</v>
      </c>
      <c r="C505" s="1" t="str">
        <f t="shared" si="7"/>
        <v>Retained</v>
      </c>
      <c r="D505" s="1" t="str">
        <f>IF(Raw_Data!S505=0,"Low Contact",IF(Raw_Data!S505&lt;=2,"Normal Contact","High Contact"))</f>
        <v>Normal Contact</v>
      </c>
      <c r="E505" s="1" t="str">
        <f>IF(AND(Raw_Data!G505&gt;200,Raw_Data!H505&gt;100),"High Usage","Normal Usage")</f>
        <v>Normal Usage</v>
      </c>
      <c r="F505" s="1" t="str" cm="1">
        <f t="array" ref="F505">_xlfn.IFS(B505=TRUE,"High Risk",AND(Raw_Data!S505&gt;=3,Raw_Data!G505&gt;200),"High Risk",Raw_Data!S505&gt;=2,"Medium Risk",TRUE,"Low Risk")</f>
        <v>Low Risk</v>
      </c>
      <c r="G505" s="1" t="str">
        <f>IF(OR(Raw_Data!D505="Yes",Raw_Data!E505="Yes"),"Has Plan","No Special Plan")</f>
        <v>No Special Plan</v>
      </c>
      <c r="H505" s="1" t="str">
        <f>IF(NOT(Raw_Data!S505&gt;=3),"Normal Service Contact","Frequent Service Contact")</f>
        <v>Normal Service Contact</v>
      </c>
      <c r="I505" s="1" t="str" cm="1">
        <f t="array" ref="I505">_xlfn.SWITCH(Raw_Data!D505,"Yes","International Customer","No","Domestic Plan","Unknown")</f>
        <v>Domestic Plan</v>
      </c>
      <c r="J505" s="1" t="str">
        <f>IF(ISERROR(Raw_Data!G505/0),"Error","Valid")</f>
        <v>Error</v>
      </c>
      <c r="K505" s="1" t="str">
        <f>IF(ISBLANK(Raw_Data!A505),"Missing","Available")</f>
        <v>Available</v>
      </c>
      <c r="L505" s="5" t="str">
        <f>IF(ISNUMBER(Raw_Data!G505),"Numeric","Not Numeric")</f>
        <v>Numeric</v>
      </c>
    </row>
    <row r="506" spans="1:12" x14ac:dyDescent="0.25">
      <c r="A506" s="4" t="str">
        <f>Raw_Data!A506</f>
        <v>MT</v>
      </c>
      <c r="B506" s="1" t="b">
        <f>Raw_Data!T506</f>
        <v>0</v>
      </c>
      <c r="C506" s="1" t="str">
        <f t="shared" si="7"/>
        <v>Retained</v>
      </c>
      <c r="D506" s="1" t="str">
        <f>IF(Raw_Data!S506=0,"Low Contact",IF(Raw_Data!S506&lt;=2,"Normal Contact","High Contact"))</f>
        <v>Normal Contact</v>
      </c>
      <c r="E506" s="1" t="str">
        <f>IF(AND(Raw_Data!G506&gt;200,Raw_Data!H506&gt;100),"High Usage","Normal Usage")</f>
        <v>Normal Usage</v>
      </c>
      <c r="F506" s="1" t="str" cm="1">
        <f t="array" ref="F506">_xlfn.IFS(B506=TRUE,"High Risk",AND(Raw_Data!S506&gt;=3,Raw_Data!G506&gt;200),"High Risk",Raw_Data!S506&gt;=2,"Medium Risk",TRUE,"Low Risk")</f>
        <v>Low Risk</v>
      </c>
      <c r="G506" s="1" t="str">
        <f>IF(OR(Raw_Data!D506="Yes",Raw_Data!E506="Yes"),"Has Plan","No Special Plan")</f>
        <v>No Special Plan</v>
      </c>
      <c r="H506" s="1" t="str">
        <f>IF(NOT(Raw_Data!S506&gt;=3),"Normal Service Contact","Frequent Service Contact")</f>
        <v>Normal Service Contact</v>
      </c>
      <c r="I506" s="1" t="str" cm="1">
        <f t="array" ref="I506">_xlfn.SWITCH(Raw_Data!D506,"Yes","International Customer","No","Domestic Plan","Unknown")</f>
        <v>Domestic Plan</v>
      </c>
      <c r="J506" s="1" t="str">
        <f>IF(ISERROR(Raw_Data!G506/0),"Error","Valid")</f>
        <v>Error</v>
      </c>
      <c r="K506" s="1" t="str">
        <f>IF(ISBLANK(Raw_Data!A506),"Missing","Available")</f>
        <v>Available</v>
      </c>
      <c r="L506" s="5" t="str">
        <f>IF(ISNUMBER(Raw_Data!G506),"Numeric","Not Numeric")</f>
        <v>Numeric</v>
      </c>
    </row>
    <row r="507" spans="1:12" x14ac:dyDescent="0.25">
      <c r="A507" s="4" t="str">
        <f>Raw_Data!A507</f>
        <v>ND</v>
      </c>
      <c r="B507" s="1" t="b">
        <f>Raw_Data!T507</f>
        <v>1</v>
      </c>
      <c r="C507" s="1" t="str">
        <f t="shared" si="7"/>
        <v>Churned</v>
      </c>
      <c r="D507" s="1" t="str">
        <f>IF(Raw_Data!S507=0,"Low Contact",IF(Raw_Data!S507&lt;=2,"Normal Contact","High Contact"))</f>
        <v>Normal Contact</v>
      </c>
      <c r="E507" s="1" t="str">
        <f>IF(AND(Raw_Data!G507&gt;200,Raw_Data!H507&gt;100),"High Usage","Normal Usage")</f>
        <v>High Usage</v>
      </c>
      <c r="F507" s="1" t="str" cm="1">
        <f t="array" ref="F507">_xlfn.IFS(B507=TRUE,"High Risk",AND(Raw_Data!S507&gt;=3,Raw_Data!G507&gt;200),"High Risk",Raw_Data!S507&gt;=2,"Medium Risk",TRUE,"Low Risk")</f>
        <v>High Risk</v>
      </c>
      <c r="G507" s="1" t="str">
        <f>IF(OR(Raw_Data!D507="Yes",Raw_Data!E507="Yes"),"Has Plan","No Special Plan")</f>
        <v>No Special Plan</v>
      </c>
      <c r="H507" s="1" t="str">
        <f>IF(NOT(Raw_Data!S507&gt;=3),"Normal Service Contact","Frequent Service Contact")</f>
        <v>Normal Service Contact</v>
      </c>
      <c r="I507" s="1" t="str" cm="1">
        <f t="array" ref="I507">_xlfn.SWITCH(Raw_Data!D507,"Yes","International Customer","No","Domestic Plan","Unknown")</f>
        <v>Domestic Plan</v>
      </c>
      <c r="J507" s="1" t="str">
        <f>IF(ISERROR(Raw_Data!G507/0),"Error","Valid")</f>
        <v>Error</v>
      </c>
      <c r="K507" s="1" t="str">
        <f>IF(ISBLANK(Raw_Data!A507),"Missing","Available")</f>
        <v>Available</v>
      </c>
      <c r="L507" s="5" t="str">
        <f>IF(ISNUMBER(Raw_Data!G507),"Numeric","Not Numeric")</f>
        <v>Numeric</v>
      </c>
    </row>
    <row r="508" spans="1:12" x14ac:dyDescent="0.25">
      <c r="A508" s="4" t="str">
        <f>Raw_Data!A508</f>
        <v>VA</v>
      </c>
      <c r="B508" s="1" t="b">
        <f>Raw_Data!T508</f>
        <v>0</v>
      </c>
      <c r="C508" s="1" t="str">
        <f t="shared" si="7"/>
        <v>Retained</v>
      </c>
      <c r="D508" s="1" t="str">
        <f>IF(Raw_Data!S508=0,"Low Contact",IF(Raw_Data!S508&lt;=2,"Normal Contact","High Contact"))</f>
        <v>High Contact</v>
      </c>
      <c r="E508" s="1" t="str">
        <f>IF(AND(Raw_Data!G508&gt;200,Raw_Data!H508&gt;100),"High Usage","Normal Usage")</f>
        <v>Normal Usage</v>
      </c>
      <c r="F508" s="1" t="str" cm="1">
        <f t="array" ref="F508">_xlfn.IFS(B508=TRUE,"High Risk",AND(Raw_Data!S508&gt;=3,Raw_Data!G508&gt;200),"High Risk",Raw_Data!S508&gt;=2,"Medium Risk",TRUE,"Low Risk")</f>
        <v>High Risk</v>
      </c>
      <c r="G508" s="1" t="str">
        <f>IF(OR(Raw_Data!D508="Yes",Raw_Data!E508="Yes"),"Has Plan","No Special Plan")</f>
        <v>No Special Plan</v>
      </c>
      <c r="H508" s="1" t="str">
        <f>IF(NOT(Raw_Data!S508&gt;=3),"Normal Service Contact","Frequent Service Contact")</f>
        <v>Frequent Service Contact</v>
      </c>
      <c r="I508" s="1" t="str" cm="1">
        <f t="array" ref="I508">_xlfn.SWITCH(Raw_Data!D508,"Yes","International Customer","No","Domestic Plan","Unknown")</f>
        <v>Domestic Plan</v>
      </c>
      <c r="J508" s="1" t="str">
        <f>IF(ISERROR(Raw_Data!G508/0),"Error","Valid")</f>
        <v>Error</v>
      </c>
      <c r="K508" s="1" t="str">
        <f>IF(ISBLANK(Raw_Data!A508),"Missing","Available")</f>
        <v>Available</v>
      </c>
      <c r="L508" s="5" t="str">
        <f>IF(ISNUMBER(Raw_Data!G508),"Numeric","Not Numeric")</f>
        <v>Numeric</v>
      </c>
    </row>
    <row r="509" spans="1:12" x14ac:dyDescent="0.25">
      <c r="A509" s="4" t="str">
        <f>Raw_Data!A509</f>
        <v>ND</v>
      </c>
      <c r="B509" s="1" t="b">
        <f>Raw_Data!T509</f>
        <v>0</v>
      </c>
      <c r="C509" s="1" t="str">
        <f t="shared" si="7"/>
        <v>Retained</v>
      </c>
      <c r="D509" s="1" t="str">
        <f>IF(Raw_Data!S509=0,"Low Contact",IF(Raw_Data!S509&lt;=2,"Normal Contact","High Contact"))</f>
        <v>Normal Contact</v>
      </c>
      <c r="E509" s="1" t="str">
        <f>IF(AND(Raw_Data!G509&gt;200,Raw_Data!H509&gt;100),"High Usage","Normal Usage")</f>
        <v>Normal Usage</v>
      </c>
      <c r="F509" s="1" t="str" cm="1">
        <f t="array" ref="F509">_xlfn.IFS(B509=TRUE,"High Risk",AND(Raw_Data!S509&gt;=3,Raw_Data!G509&gt;200),"High Risk",Raw_Data!S509&gt;=2,"Medium Risk",TRUE,"Low Risk")</f>
        <v>Medium Risk</v>
      </c>
      <c r="G509" s="1" t="str">
        <f>IF(OR(Raw_Data!D509="Yes",Raw_Data!E509="Yes"),"Has Plan","No Special Plan")</f>
        <v>No Special Plan</v>
      </c>
      <c r="H509" s="1" t="str">
        <f>IF(NOT(Raw_Data!S509&gt;=3),"Normal Service Contact","Frequent Service Contact")</f>
        <v>Normal Service Contact</v>
      </c>
      <c r="I509" s="1" t="str" cm="1">
        <f t="array" ref="I509">_xlfn.SWITCH(Raw_Data!D509,"Yes","International Customer","No","Domestic Plan","Unknown")</f>
        <v>Domestic Plan</v>
      </c>
      <c r="J509" s="1" t="str">
        <f>IF(ISERROR(Raw_Data!G509/0),"Error","Valid")</f>
        <v>Error</v>
      </c>
      <c r="K509" s="1" t="str">
        <f>IF(ISBLANK(Raw_Data!A509),"Missing","Available")</f>
        <v>Available</v>
      </c>
      <c r="L509" s="5" t="str">
        <f>IF(ISNUMBER(Raw_Data!G509),"Numeric","Not Numeric")</f>
        <v>Numeric</v>
      </c>
    </row>
    <row r="510" spans="1:12" x14ac:dyDescent="0.25">
      <c r="A510" s="4" t="str">
        <f>Raw_Data!A510</f>
        <v>TN</v>
      </c>
      <c r="B510" s="1" t="b">
        <f>Raw_Data!T510</f>
        <v>0</v>
      </c>
      <c r="C510" s="1" t="str">
        <f t="shared" si="7"/>
        <v>Retained</v>
      </c>
      <c r="D510" s="1" t="str">
        <f>IF(Raw_Data!S510=0,"Low Contact",IF(Raw_Data!S510&lt;=2,"Normal Contact","High Contact"))</f>
        <v>Normal Contact</v>
      </c>
      <c r="E510" s="1" t="str">
        <f>IF(AND(Raw_Data!G510&gt;200,Raw_Data!H510&gt;100),"High Usage","Normal Usage")</f>
        <v>Normal Usage</v>
      </c>
      <c r="F510" s="1" t="str" cm="1">
        <f t="array" ref="F510">_xlfn.IFS(B510=TRUE,"High Risk",AND(Raw_Data!S510&gt;=3,Raw_Data!G510&gt;200),"High Risk",Raw_Data!S510&gt;=2,"Medium Risk",TRUE,"Low Risk")</f>
        <v>Low Risk</v>
      </c>
      <c r="G510" s="1" t="str">
        <f>IF(OR(Raw_Data!D510="Yes",Raw_Data!E510="Yes"),"Has Plan","No Special Plan")</f>
        <v>No Special Plan</v>
      </c>
      <c r="H510" s="1" t="str">
        <f>IF(NOT(Raw_Data!S510&gt;=3),"Normal Service Contact","Frequent Service Contact")</f>
        <v>Normal Service Contact</v>
      </c>
      <c r="I510" s="1" t="str" cm="1">
        <f t="array" ref="I510">_xlfn.SWITCH(Raw_Data!D510,"Yes","International Customer","No","Domestic Plan","Unknown")</f>
        <v>Domestic Plan</v>
      </c>
      <c r="J510" s="1" t="str">
        <f>IF(ISERROR(Raw_Data!G510/0),"Error","Valid")</f>
        <v>Error</v>
      </c>
      <c r="K510" s="1" t="str">
        <f>IF(ISBLANK(Raw_Data!A510),"Missing","Available")</f>
        <v>Available</v>
      </c>
      <c r="L510" s="5" t="str">
        <f>IF(ISNUMBER(Raw_Data!G510),"Numeric","Not Numeric")</f>
        <v>Numeric</v>
      </c>
    </row>
    <row r="511" spans="1:12" x14ac:dyDescent="0.25">
      <c r="A511" s="4" t="str">
        <f>Raw_Data!A511</f>
        <v>NE</v>
      </c>
      <c r="B511" s="1" t="b">
        <f>Raw_Data!T511</f>
        <v>0</v>
      </c>
      <c r="C511" s="1" t="str">
        <f t="shared" si="7"/>
        <v>Retained</v>
      </c>
      <c r="D511" s="1" t="str">
        <f>IF(Raw_Data!S511=0,"Low Contact",IF(Raw_Data!S511&lt;=2,"Normal Contact","High Contact"))</f>
        <v>Normal Contact</v>
      </c>
      <c r="E511" s="1" t="str">
        <f>IF(AND(Raw_Data!G511&gt;200,Raw_Data!H511&gt;100),"High Usage","Normal Usage")</f>
        <v>High Usage</v>
      </c>
      <c r="F511" s="1" t="str" cm="1">
        <f t="array" ref="F511">_xlfn.IFS(B511=TRUE,"High Risk",AND(Raw_Data!S511&gt;=3,Raw_Data!G511&gt;200),"High Risk",Raw_Data!S511&gt;=2,"Medium Risk",TRUE,"Low Risk")</f>
        <v>Medium Risk</v>
      </c>
      <c r="G511" s="1" t="str">
        <f>IF(OR(Raw_Data!D511="Yes",Raw_Data!E511="Yes"),"Has Plan","No Special Plan")</f>
        <v>Has Plan</v>
      </c>
      <c r="H511" s="1" t="str">
        <f>IF(NOT(Raw_Data!S511&gt;=3),"Normal Service Contact","Frequent Service Contact")</f>
        <v>Normal Service Contact</v>
      </c>
      <c r="I511" s="1" t="str" cm="1">
        <f t="array" ref="I511">_xlfn.SWITCH(Raw_Data!D511,"Yes","International Customer","No","Domestic Plan","Unknown")</f>
        <v>Domestic Plan</v>
      </c>
      <c r="J511" s="1" t="str">
        <f>IF(ISERROR(Raw_Data!G511/0),"Error","Valid")</f>
        <v>Error</v>
      </c>
      <c r="K511" s="1" t="str">
        <f>IF(ISBLANK(Raw_Data!A511),"Missing","Available")</f>
        <v>Available</v>
      </c>
      <c r="L511" s="5" t="str">
        <f>IF(ISNUMBER(Raw_Data!G511),"Numeric","Not Numeric")</f>
        <v>Numeric</v>
      </c>
    </row>
    <row r="512" spans="1:12" x14ac:dyDescent="0.25">
      <c r="A512" s="4" t="str">
        <f>Raw_Data!A512</f>
        <v>IN</v>
      </c>
      <c r="B512" s="1" t="b">
        <f>Raw_Data!T512</f>
        <v>0</v>
      </c>
      <c r="C512" s="1" t="str">
        <f t="shared" si="7"/>
        <v>Retained</v>
      </c>
      <c r="D512" s="1" t="str">
        <f>IF(Raw_Data!S512=0,"Low Contact",IF(Raw_Data!S512&lt;=2,"Normal Contact","High Contact"))</f>
        <v>High Contact</v>
      </c>
      <c r="E512" s="1" t="str">
        <f>IF(AND(Raw_Data!G512&gt;200,Raw_Data!H512&gt;100),"High Usage","Normal Usage")</f>
        <v>Normal Usage</v>
      </c>
      <c r="F512" s="1" t="str" cm="1">
        <f t="array" ref="F512">_xlfn.IFS(B512=TRUE,"High Risk",AND(Raw_Data!S512&gt;=3,Raw_Data!G512&gt;200),"High Risk",Raw_Data!S512&gt;=2,"Medium Risk",TRUE,"Low Risk")</f>
        <v>Medium Risk</v>
      </c>
      <c r="G512" s="1" t="str">
        <f>IF(OR(Raw_Data!D512="Yes",Raw_Data!E512="Yes"),"Has Plan","No Special Plan")</f>
        <v>Has Plan</v>
      </c>
      <c r="H512" s="1" t="str">
        <f>IF(NOT(Raw_Data!S512&gt;=3),"Normal Service Contact","Frequent Service Contact")</f>
        <v>Frequent Service Contact</v>
      </c>
      <c r="I512" s="1" t="str" cm="1">
        <f t="array" ref="I512">_xlfn.SWITCH(Raw_Data!D512,"Yes","International Customer","No","Domestic Plan","Unknown")</f>
        <v>Domestic Plan</v>
      </c>
      <c r="J512" s="1" t="str">
        <f>IF(ISERROR(Raw_Data!G512/0),"Error","Valid")</f>
        <v>Error</v>
      </c>
      <c r="K512" s="1" t="str">
        <f>IF(ISBLANK(Raw_Data!A512),"Missing","Available")</f>
        <v>Available</v>
      </c>
      <c r="L512" s="5" t="str">
        <f>IF(ISNUMBER(Raw_Data!G512),"Numeric","Not Numeric")</f>
        <v>Numeric</v>
      </c>
    </row>
    <row r="513" spans="1:12" x14ac:dyDescent="0.25">
      <c r="A513" s="4" t="str">
        <f>Raw_Data!A513</f>
        <v>OR</v>
      </c>
      <c r="B513" s="1" t="b">
        <f>Raw_Data!T513</f>
        <v>0</v>
      </c>
      <c r="C513" s="1" t="str">
        <f t="shared" si="7"/>
        <v>Retained</v>
      </c>
      <c r="D513" s="1" t="str">
        <f>IF(Raw_Data!S513=0,"Low Contact",IF(Raw_Data!S513&lt;=2,"Normal Contact","High Contact"))</f>
        <v>Low Contact</v>
      </c>
      <c r="E513" s="1" t="str">
        <f>IF(AND(Raw_Data!G513&gt;200,Raw_Data!H513&gt;100),"High Usage","Normal Usage")</f>
        <v>Normal Usage</v>
      </c>
      <c r="F513" s="1" t="str" cm="1">
        <f t="array" ref="F513">_xlfn.IFS(B513=TRUE,"High Risk",AND(Raw_Data!S513&gt;=3,Raw_Data!G513&gt;200),"High Risk",Raw_Data!S513&gt;=2,"Medium Risk",TRUE,"Low Risk")</f>
        <v>Low Risk</v>
      </c>
      <c r="G513" s="1" t="str">
        <f>IF(OR(Raw_Data!D513="Yes",Raw_Data!E513="Yes"),"Has Plan","No Special Plan")</f>
        <v>Has Plan</v>
      </c>
      <c r="H513" s="1" t="str">
        <f>IF(NOT(Raw_Data!S513&gt;=3),"Normal Service Contact","Frequent Service Contact")</f>
        <v>Normal Service Contact</v>
      </c>
      <c r="I513" s="1" t="str" cm="1">
        <f t="array" ref="I513">_xlfn.SWITCH(Raw_Data!D513,"Yes","International Customer","No","Domestic Plan","Unknown")</f>
        <v>Domestic Plan</v>
      </c>
      <c r="J513" s="1" t="str">
        <f>IF(ISERROR(Raw_Data!G513/0),"Error","Valid")</f>
        <v>Error</v>
      </c>
      <c r="K513" s="1" t="str">
        <f>IF(ISBLANK(Raw_Data!A513),"Missing","Available")</f>
        <v>Available</v>
      </c>
      <c r="L513" s="5" t="str">
        <f>IF(ISNUMBER(Raw_Data!G513),"Numeric","Not Numeric")</f>
        <v>Numeric</v>
      </c>
    </row>
    <row r="514" spans="1:12" x14ac:dyDescent="0.25">
      <c r="A514" s="4" t="str">
        <f>Raw_Data!A514</f>
        <v>TN</v>
      </c>
      <c r="B514" s="1" t="b">
        <f>Raw_Data!T514</f>
        <v>0</v>
      </c>
      <c r="C514" s="1" t="str">
        <f t="shared" si="7"/>
        <v>Retained</v>
      </c>
      <c r="D514" s="1" t="str">
        <f>IF(Raw_Data!S514=0,"Low Contact",IF(Raw_Data!S514&lt;=2,"Normal Contact","High Contact"))</f>
        <v>Normal Contact</v>
      </c>
      <c r="E514" s="1" t="str">
        <f>IF(AND(Raw_Data!G514&gt;200,Raw_Data!H514&gt;100),"High Usage","Normal Usage")</f>
        <v>High Usage</v>
      </c>
      <c r="F514" s="1" t="str" cm="1">
        <f t="array" ref="F514">_xlfn.IFS(B514=TRUE,"High Risk",AND(Raw_Data!S514&gt;=3,Raw_Data!G514&gt;200),"High Risk",Raw_Data!S514&gt;=2,"Medium Risk",TRUE,"Low Risk")</f>
        <v>Low Risk</v>
      </c>
      <c r="G514" s="1" t="str">
        <f>IF(OR(Raw_Data!D514="Yes",Raw_Data!E514="Yes"),"Has Plan","No Special Plan")</f>
        <v>No Special Plan</v>
      </c>
      <c r="H514" s="1" t="str">
        <f>IF(NOT(Raw_Data!S514&gt;=3),"Normal Service Contact","Frequent Service Contact")</f>
        <v>Normal Service Contact</v>
      </c>
      <c r="I514" s="1" t="str" cm="1">
        <f t="array" ref="I514">_xlfn.SWITCH(Raw_Data!D514,"Yes","International Customer","No","Domestic Plan","Unknown")</f>
        <v>Domestic Plan</v>
      </c>
      <c r="J514" s="1" t="str">
        <f>IF(ISERROR(Raw_Data!G514/0),"Error","Valid")</f>
        <v>Error</v>
      </c>
      <c r="K514" s="1" t="str">
        <f>IF(ISBLANK(Raw_Data!A514),"Missing","Available")</f>
        <v>Available</v>
      </c>
      <c r="L514" s="5" t="str">
        <f>IF(ISNUMBER(Raw_Data!G514),"Numeric","Not Numeric")</f>
        <v>Numeric</v>
      </c>
    </row>
    <row r="515" spans="1:12" x14ac:dyDescent="0.25">
      <c r="A515" s="4" t="str">
        <f>Raw_Data!A515</f>
        <v>TX</v>
      </c>
      <c r="B515" s="1" t="b">
        <f>Raw_Data!T515</f>
        <v>0</v>
      </c>
      <c r="C515" s="1" t="str">
        <f t="shared" ref="C515:C578" si="8">IF(B515=TRUE,"Churned","Retained")</f>
        <v>Retained</v>
      </c>
      <c r="D515" s="1" t="str">
        <f>IF(Raw_Data!S515=0,"Low Contact",IF(Raw_Data!S515&lt;=2,"Normal Contact","High Contact"))</f>
        <v>Normal Contact</v>
      </c>
      <c r="E515" s="1" t="str">
        <f>IF(AND(Raw_Data!G515&gt;200,Raw_Data!H515&gt;100),"High Usage","Normal Usage")</f>
        <v>Normal Usage</v>
      </c>
      <c r="F515" s="1" t="str" cm="1">
        <f t="array" ref="F515">_xlfn.IFS(B515=TRUE,"High Risk",AND(Raw_Data!S515&gt;=3,Raw_Data!G515&gt;200),"High Risk",Raw_Data!S515&gt;=2,"Medium Risk",TRUE,"Low Risk")</f>
        <v>Medium Risk</v>
      </c>
      <c r="G515" s="1" t="str">
        <f>IF(OR(Raw_Data!D515="Yes",Raw_Data!E515="Yes"),"Has Plan","No Special Plan")</f>
        <v>Has Plan</v>
      </c>
      <c r="H515" s="1" t="str">
        <f>IF(NOT(Raw_Data!S515&gt;=3),"Normal Service Contact","Frequent Service Contact")</f>
        <v>Normal Service Contact</v>
      </c>
      <c r="I515" s="1" t="str" cm="1">
        <f t="array" ref="I515">_xlfn.SWITCH(Raw_Data!D515,"Yes","International Customer","No","Domestic Plan","Unknown")</f>
        <v>Domestic Plan</v>
      </c>
      <c r="J515" s="1" t="str">
        <f>IF(ISERROR(Raw_Data!G515/0),"Error","Valid")</f>
        <v>Error</v>
      </c>
      <c r="K515" s="1" t="str">
        <f>IF(ISBLANK(Raw_Data!A515),"Missing","Available")</f>
        <v>Available</v>
      </c>
      <c r="L515" s="5" t="str">
        <f>IF(ISNUMBER(Raw_Data!G515),"Numeric","Not Numeric")</f>
        <v>Numeric</v>
      </c>
    </row>
    <row r="516" spans="1:12" x14ac:dyDescent="0.25">
      <c r="A516" s="4" t="str">
        <f>Raw_Data!A516</f>
        <v>TN</v>
      </c>
      <c r="B516" s="1" t="b">
        <f>Raw_Data!T516</f>
        <v>0</v>
      </c>
      <c r="C516" s="1" t="str">
        <f t="shared" si="8"/>
        <v>Retained</v>
      </c>
      <c r="D516" s="1" t="str">
        <f>IF(Raw_Data!S516=0,"Low Contact",IF(Raw_Data!S516&lt;=2,"Normal Contact","High Contact"))</f>
        <v>High Contact</v>
      </c>
      <c r="E516" s="1" t="str">
        <f>IF(AND(Raw_Data!G516&gt;200,Raw_Data!H516&gt;100),"High Usage","Normal Usage")</f>
        <v>High Usage</v>
      </c>
      <c r="F516" s="1" t="str" cm="1">
        <f t="array" ref="F516">_xlfn.IFS(B516=TRUE,"High Risk",AND(Raw_Data!S516&gt;=3,Raw_Data!G516&gt;200),"High Risk",Raw_Data!S516&gt;=2,"Medium Risk",TRUE,"Low Risk")</f>
        <v>High Risk</v>
      </c>
      <c r="G516" s="1" t="str">
        <f>IF(OR(Raw_Data!D516="Yes",Raw_Data!E516="Yes"),"Has Plan","No Special Plan")</f>
        <v>No Special Plan</v>
      </c>
      <c r="H516" s="1" t="str">
        <f>IF(NOT(Raw_Data!S516&gt;=3),"Normal Service Contact","Frequent Service Contact")</f>
        <v>Frequent Service Contact</v>
      </c>
      <c r="I516" s="1" t="str" cm="1">
        <f t="array" ref="I516">_xlfn.SWITCH(Raw_Data!D516,"Yes","International Customer","No","Domestic Plan","Unknown")</f>
        <v>Domestic Plan</v>
      </c>
      <c r="J516" s="1" t="str">
        <f>IF(ISERROR(Raw_Data!G516/0),"Error","Valid")</f>
        <v>Error</v>
      </c>
      <c r="K516" s="1" t="str">
        <f>IF(ISBLANK(Raw_Data!A516),"Missing","Available")</f>
        <v>Available</v>
      </c>
      <c r="L516" s="5" t="str">
        <f>IF(ISNUMBER(Raw_Data!G516),"Numeric","Not Numeric")</f>
        <v>Numeric</v>
      </c>
    </row>
    <row r="517" spans="1:12" x14ac:dyDescent="0.25">
      <c r="A517" s="4" t="str">
        <f>Raw_Data!A517</f>
        <v>NC</v>
      </c>
      <c r="B517" s="1" t="b">
        <f>Raw_Data!T517</f>
        <v>0</v>
      </c>
      <c r="C517" s="1" t="str">
        <f t="shared" si="8"/>
        <v>Retained</v>
      </c>
      <c r="D517" s="1" t="str">
        <f>IF(Raw_Data!S517=0,"Low Contact",IF(Raw_Data!S517&lt;=2,"Normal Contact","High Contact"))</f>
        <v>Normal Contact</v>
      </c>
      <c r="E517" s="1" t="str">
        <f>IF(AND(Raw_Data!G517&gt;200,Raw_Data!H517&gt;100),"High Usage","Normal Usage")</f>
        <v>Normal Usage</v>
      </c>
      <c r="F517" s="1" t="str" cm="1">
        <f t="array" ref="F517">_xlfn.IFS(B517=TRUE,"High Risk",AND(Raw_Data!S517&gt;=3,Raw_Data!G517&gt;200),"High Risk",Raw_Data!S517&gt;=2,"Medium Risk",TRUE,"Low Risk")</f>
        <v>Low Risk</v>
      </c>
      <c r="G517" s="1" t="str">
        <f>IF(OR(Raw_Data!D517="Yes",Raw_Data!E517="Yes"),"Has Plan","No Special Plan")</f>
        <v>No Special Plan</v>
      </c>
      <c r="H517" s="1" t="str">
        <f>IF(NOT(Raw_Data!S517&gt;=3),"Normal Service Contact","Frequent Service Contact")</f>
        <v>Normal Service Contact</v>
      </c>
      <c r="I517" s="1" t="str" cm="1">
        <f t="array" ref="I517">_xlfn.SWITCH(Raw_Data!D517,"Yes","International Customer","No","Domestic Plan","Unknown")</f>
        <v>Domestic Plan</v>
      </c>
      <c r="J517" s="1" t="str">
        <f>IF(ISERROR(Raw_Data!G517/0),"Error","Valid")</f>
        <v>Error</v>
      </c>
      <c r="K517" s="1" t="str">
        <f>IF(ISBLANK(Raw_Data!A517),"Missing","Available")</f>
        <v>Available</v>
      </c>
      <c r="L517" s="5" t="str">
        <f>IF(ISNUMBER(Raw_Data!G517),"Numeric","Not Numeric")</f>
        <v>Numeric</v>
      </c>
    </row>
    <row r="518" spans="1:12" x14ac:dyDescent="0.25">
      <c r="A518" s="4" t="str">
        <f>Raw_Data!A518</f>
        <v>MT</v>
      </c>
      <c r="B518" s="1" t="b">
        <f>Raw_Data!T518</f>
        <v>0</v>
      </c>
      <c r="C518" s="1" t="str">
        <f t="shared" si="8"/>
        <v>Retained</v>
      </c>
      <c r="D518" s="1" t="str">
        <f>IF(Raw_Data!S518=0,"Low Contact",IF(Raw_Data!S518&lt;=2,"Normal Contact","High Contact"))</f>
        <v>High Contact</v>
      </c>
      <c r="E518" s="1" t="str">
        <f>IF(AND(Raw_Data!G518&gt;200,Raw_Data!H518&gt;100),"High Usage","Normal Usage")</f>
        <v>Normal Usage</v>
      </c>
      <c r="F518" s="1" t="str" cm="1">
        <f t="array" ref="F518">_xlfn.IFS(B518=TRUE,"High Risk",AND(Raw_Data!S518&gt;=3,Raw_Data!G518&gt;200),"High Risk",Raw_Data!S518&gt;=2,"Medium Risk",TRUE,"Low Risk")</f>
        <v>Medium Risk</v>
      </c>
      <c r="G518" s="1" t="str">
        <f>IF(OR(Raw_Data!D518="Yes",Raw_Data!E518="Yes"),"Has Plan","No Special Plan")</f>
        <v>No Special Plan</v>
      </c>
      <c r="H518" s="1" t="str">
        <f>IF(NOT(Raw_Data!S518&gt;=3),"Normal Service Contact","Frequent Service Contact")</f>
        <v>Frequent Service Contact</v>
      </c>
      <c r="I518" s="1" t="str" cm="1">
        <f t="array" ref="I518">_xlfn.SWITCH(Raw_Data!D518,"Yes","International Customer","No","Domestic Plan","Unknown")</f>
        <v>Domestic Plan</v>
      </c>
      <c r="J518" s="1" t="str">
        <f>IF(ISERROR(Raw_Data!G518/0),"Error","Valid")</f>
        <v>Error</v>
      </c>
      <c r="K518" s="1" t="str">
        <f>IF(ISBLANK(Raw_Data!A518),"Missing","Available")</f>
        <v>Available</v>
      </c>
      <c r="L518" s="5" t="str">
        <f>IF(ISNUMBER(Raw_Data!G518),"Numeric","Not Numeric")</f>
        <v>Numeric</v>
      </c>
    </row>
    <row r="519" spans="1:12" x14ac:dyDescent="0.25">
      <c r="A519" s="4" t="str">
        <f>Raw_Data!A519</f>
        <v>HI</v>
      </c>
      <c r="B519" s="1" t="b">
        <f>Raw_Data!T519</f>
        <v>0</v>
      </c>
      <c r="C519" s="1" t="str">
        <f t="shared" si="8"/>
        <v>Retained</v>
      </c>
      <c r="D519" s="1" t="str">
        <f>IF(Raw_Data!S519=0,"Low Contact",IF(Raw_Data!S519&lt;=2,"Normal Contact","High Contact"))</f>
        <v>Normal Contact</v>
      </c>
      <c r="E519" s="1" t="str">
        <f>IF(AND(Raw_Data!G519&gt;200,Raw_Data!H519&gt;100),"High Usage","Normal Usage")</f>
        <v>Normal Usage</v>
      </c>
      <c r="F519" s="1" t="str" cm="1">
        <f t="array" ref="F519">_xlfn.IFS(B519=TRUE,"High Risk",AND(Raw_Data!S519&gt;=3,Raw_Data!G519&gt;200),"High Risk",Raw_Data!S519&gt;=2,"Medium Risk",TRUE,"Low Risk")</f>
        <v>Medium Risk</v>
      </c>
      <c r="G519" s="1" t="str">
        <f>IF(OR(Raw_Data!D519="Yes",Raw_Data!E519="Yes"),"Has Plan","No Special Plan")</f>
        <v>No Special Plan</v>
      </c>
      <c r="H519" s="1" t="str">
        <f>IF(NOT(Raw_Data!S519&gt;=3),"Normal Service Contact","Frequent Service Contact")</f>
        <v>Normal Service Contact</v>
      </c>
      <c r="I519" s="1" t="str" cm="1">
        <f t="array" ref="I519">_xlfn.SWITCH(Raw_Data!D519,"Yes","International Customer","No","Domestic Plan","Unknown")</f>
        <v>Domestic Plan</v>
      </c>
      <c r="J519" s="1" t="str">
        <f>IF(ISERROR(Raw_Data!G519/0),"Error","Valid")</f>
        <v>Error</v>
      </c>
      <c r="K519" s="1" t="str">
        <f>IF(ISBLANK(Raw_Data!A519),"Missing","Available")</f>
        <v>Available</v>
      </c>
      <c r="L519" s="5" t="str">
        <f>IF(ISNUMBER(Raw_Data!G519),"Numeric","Not Numeric")</f>
        <v>Numeric</v>
      </c>
    </row>
    <row r="520" spans="1:12" x14ac:dyDescent="0.25">
      <c r="A520" s="4" t="str">
        <f>Raw_Data!A520</f>
        <v>MI</v>
      </c>
      <c r="B520" s="1" t="b">
        <f>Raw_Data!T520</f>
        <v>0</v>
      </c>
      <c r="C520" s="1" t="str">
        <f t="shared" si="8"/>
        <v>Retained</v>
      </c>
      <c r="D520" s="1" t="str">
        <f>IF(Raw_Data!S520=0,"Low Contact",IF(Raw_Data!S520&lt;=2,"Normal Contact","High Contact"))</f>
        <v>High Contact</v>
      </c>
      <c r="E520" s="1" t="str">
        <f>IF(AND(Raw_Data!G520&gt;200,Raw_Data!H520&gt;100),"High Usage","Normal Usage")</f>
        <v>Normal Usage</v>
      </c>
      <c r="F520" s="1" t="str" cm="1">
        <f t="array" ref="F520">_xlfn.IFS(B520=TRUE,"High Risk",AND(Raw_Data!S520&gt;=3,Raw_Data!G520&gt;200),"High Risk",Raw_Data!S520&gt;=2,"Medium Risk",TRUE,"Low Risk")</f>
        <v>Medium Risk</v>
      </c>
      <c r="G520" s="1" t="str">
        <f>IF(OR(Raw_Data!D520="Yes",Raw_Data!E520="Yes"),"Has Plan","No Special Plan")</f>
        <v>No Special Plan</v>
      </c>
      <c r="H520" s="1" t="str">
        <f>IF(NOT(Raw_Data!S520&gt;=3),"Normal Service Contact","Frequent Service Contact")</f>
        <v>Frequent Service Contact</v>
      </c>
      <c r="I520" s="1" t="str" cm="1">
        <f t="array" ref="I520">_xlfn.SWITCH(Raw_Data!D520,"Yes","International Customer","No","Domestic Plan","Unknown")</f>
        <v>Domestic Plan</v>
      </c>
      <c r="J520" s="1" t="str">
        <f>IF(ISERROR(Raw_Data!G520/0),"Error","Valid")</f>
        <v>Error</v>
      </c>
      <c r="K520" s="1" t="str">
        <f>IF(ISBLANK(Raw_Data!A520),"Missing","Available")</f>
        <v>Available</v>
      </c>
      <c r="L520" s="5" t="str">
        <f>IF(ISNUMBER(Raw_Data!G520),"Numeric","Not Numeric")</f>
        <v>Numeric</v>
      </c>
    </row>
    <row r="521" spans="1:12" x14ac:dyDescent="0.25">
      <c r="A521" s="4" t="str">
        <f>Raw_Data!A521</f>
        <v>AL</v>
      </c>
      <c r="B521" s="1" t="b">
        <f>Raw_Data!T521</f>
        <v>0</v>
      </c>
      <c r="C521" s="1" t="str">
        <f t="shared" si="8"/>
        <v>Retained</v>
      </c>
      <c r="D521" s="1" t="str">
        <f>IF(Raw_Data!S521=0,"Low Contact",IF(Raw_Data!S521&lt;=2,"Normal Contact","High Contact"))</f>
        <v>Low Contact</v>
      </c>
      <c r="E521" s="1" t="str">
        <f>IF(AND(Raw_Data!G521&gt;200,Raw_Data!H521&gt;100),"High Usage","Normal Usage")</f>
        <v>Normal Usage</v>
      </c>
      <c r="F521" s="1" t="str" cm="1">
        <f t="array" ref="F521">_xlfn.IFS(B521=TRUE,"High Risk",AND(Raw_Data!S521&gt;=3,Raw_Data!G521&gt;200),"High Risk",Raw_Data!S521&gt;=2,"Medium Risk",TRUE,"Low Risk")</f>
        <v>Low Risk</v>
      </c>
      <c r="G521" s="1" t="str">
        <f>IF(OR(Raw_Data!D521="Yes",Raw_Data!E521="Yes"),"Has Plan","No Special Plan")</f>
        <v>No Special Plan</v>
      </c>
      <c r="H521" s="1" t="str">
        <f>IF(NOT(Raw_Data!S521&gt;=3),"Normal Service Contact","Frequent Service Contact")</f>
        <v>Normal Service Contact</v>
      </c>
      <c r="I521" s="1" t="str" cm="1">
        <f t="array" ref="I521">_xlfn.SWITCH(Raw_Data!D521,"Yes","International Customer","No","Domestic Plan","Unknown")</f>
        <v>Domestic Plan</v>
      </c>
      <c r="J521" s="1" t="str">
        <f>IF(ISERROR(Raw_Data!G521/0),"Error","Valid")</f>
        <v>Error</v>
      </c>
      <c r="K521" s="1" t="str">
        <f>IF(ISBLANK(Raw_Data!A521),"Missing","Available")</f>
        <v>Available</v>
      </c>
      <c r="L521" s="5" t="str">
        <f>IF(ISNUMBER(Raw_Data!G521),"Numeric","Not Numeric")</f>
        <v>Numeric</v>
      </c>
    </row>
    <row r="522" spans="1:12" x14ac:dyDescent="0.25">
      <c r="A522" s="4" t="str">
        <f>Raw_Data!A522</f>
        <v>CT</v>
      </c>
      <c r="B522" s="1" t="b">
        <f>Raw_Data!T522</f>
        <v>0</v>
      </c>
      <c r="C522" s="1" t="str">
        <f t="shared" si="8"/>
        <v>Retained</v>
      </c>
      <c r="D522" s="1" t="str">
        <f>IF(Raw_Data!S522=0,"Low Contact",IF(Raw_Data!S522&lt;=2,"Normal Contact","High Contact"))</f>
        <v>High Contact</v>
      </c>
      <c r="E522" s="1" t="str">
        <f>IF(AND(Raw_Data!G522&gt;200,Raw_Data!H522&gt;100),"High Usage","Normal Usage")</f>
        <v>Normal Usage</v>
      </c>
      <c r="F522" s="1" t="str" cm="1">
        <f t="array" ref="F522">_xlfn.IFS(B522=TRUE,"High Risk",AND(Raw_Data!S522&gt;=3,Raw_Data!G522&gt;200),"High Risk",Raw_Data!S522&gt;=2,"Medium Risk",TRUE,"Low Risk")</f>
        <v>High Risk</v>
      </c>
      <c r="G522" s="1" t="str">
        <f>IF(OR(Raw_Data!D522="Yes",Raw_Data!E522="Yes"),"Has Plan","No Special Plan")</f>
        <v>No Special Plan</v>
      </c>
      <c r="H522" s="1" t="str">
        <f>IF(NOT(Raw_Data!S522&gt;=3),"Normal Service Contact","Frequent Service Contact")</f>
        <v>Frequent Service Contact</v>
      </c>
      <c r="I522" s="1" t="str" cm="1">
        <f t="array" ref="I522">_xlfn.SWITCH(Raw_Data!D522,"Yes","International Customer","No","Domestic Plan","Unknown")</f>
        <v>Domestic Plan</v>
      </c>
      <c r="J522" s="1" t="str">
        <f>IF(ISERROR(Raw_Data!G522/0),"Error","Valid")</f>
        <v>Error</v>
      </c>
      <c r="K522" s="1" t="str">
        <f>IF(ISBLANK(Raw_Data!A522),"Missing","Available")</f>
        <v>Available</v>
      </c>
      <c r="L522" s="5" t="str">
        <f>IF(ISNUMBER(Raw_Data!G522),"Numeric","Not Numeric")</f>
        <v>Numeric</v>
      </c>
    </row>
    <row r="523" spans="1:12" x14ac:dyDescent="0.25">
      <c r="A523" s="4" t="str">
        <f>Raw_Data!A523</f>
        <v>UT</v>
      </c>
      <c r="B523" s="1" t="b">
        <f>Raw_Data!T523</f>
        <v>0</v>
      </c>
      <c r="C523" s="1" t="str">
        <f t="shared" si="8"/>
        <v>Retained</v>
      </c>
      <c r="D523" s="1" t="str">
        <f>IF(Raw_Data!S523=0,"Low Contact",IF(Raw_Data!S523&lt;=2,"Normal Contact","High Contact"))</f>
        <v>Low Contact</v>
      </c>
      <c r="E523" s="1" t="str">
        <f>IF(AND(Raw_Data!G523&gt;200,Raw_Data!H523&gt;100),"High Usage","Normal Usage")</f>
        <v>Normal Usage</v>
      </c>
      <c r="F523" s="1" t="str" cm="1">
        <f t="array" ref="F523">_xlfn.IFS(B523=TRUE,"High Risk",AND(Raw_Data!S523&gt;=3,Raw_Data!G523&gt;200),"High Risk",Raw_Data!S523&gt;=2,"Medium Risk",TRUE,"Low Risk")</f>
        <v>Low Risk</v>
      </c>
      <c r="G523" s="1" t="str">
        <f>IF(OR(Raw_Data!D523="Yes",Raw_Data!E523="Yes"),"Has Plan","No Special Plan")</f>
        <v>No Special Plan</v>
      </c>
      <c r="H523" s="1" t="str">
        <f>IF(NOT(Raw_Data!S523&gt;=3),"Normal Service Contact","Frequent Service Contact")</f>
        <v>Normal Service Contact</v>
      </c>
      <c r="I523" s="1" t="str" cm="1">
        <f t="array" ref="I523">_xlfn.SWITCH(Raw_Data!D523,"Yes","International Customer","No","Domestic Plan","Unknown")</f>
        <v>Domestic Plan</v>
      </c>
      <c r="J523" s="1" t="str">
        <f>IF(ISERROR(Raw_Data!G523/0),"Error","Valid")</f>
        <v>Error</v>
      </c>
      <c r="K523" s="1" t="str">
        <f>IF(ISBLANK(Raw_Data!A523),"Missing","Available")</f>
        <v>Available</v>
      </c>
      <c r="L523" s="5" t="str">
        <f>IF(ISNUMBER(Raw_Data!G523),"Numeric","Not Numeric")</f>
        <v>Numeric</v>
      </c>
    </row>
    <row r="524" spans="1:12" x14ac:dyDescent="0.25">
      <c r="A524" s="4" t="str">
        <f>Raw_Data!A524</f>
        <v>DC</v>
      </c>
      <c r="B524" s="1" t="b">
        <f>Raw_Data!T524</f>
        <v>0</v>
      </c>
      <c r="C524" s="1" t="str">
        <f t="shared" si="8"/>
        <v>Retained</v>
      </c>
      <c r="D524" s="1" t="str">
        <f>IF(Raw_Data!S524=0,"Low Contact",IF(Raw_Data!S524&lt;=2,"Normal Contact","High Contact"))</f>
        <v>Normal Contact</v>
      </c>
      <c r="E524" s="1" t="str">
        <f>IF(AND(Raw_Data!G524&gt;200,Raw_Data!H524&gt;100),"High Usage","Normal Usage")</f>
        <v>Normal Usage</v>
      </c>
      <c r="F524" s="1" t="str" cm="1">
        <f t="array" ref="F524">_xlfn.IFS(B524=TRUE,"High Risk",AND(Raw_Data!S524&gt;=3,Raw_Data!G524&gt;200),"High Risk",Raw_Data!S524&gt;=2,"Medium Risk",TRUE,"Low Risk")</f>
        <v>Medium Risk</v>
      </c>
      <c r="G524" s="1" t="str">
        <f>IF(OR(Raw_Data!D524="Yes",Raw_Data!E524="Yes"),"Has Plan","No Special Plan")</f>
        <v>No Special Plan</v>
      </c>
      <c r="H524" s="1" t="str">
        <f>IF(NOT(Raw_Data!S524&gt;=3),"Normal Service Contact","Frequent Service Contact")</f>
        <v>Normal Service Contact</v>
      </c>
      <c r="I524" s="1" t="str" cm="1">
        <f t="array" ref="I524">_xlfn.SWITCH(Raw_Data!D524,"Yes","International Customer","No","Domestic Plan","Unknown")</f>
        <v>Domestic Plan</v>
      </c>
      <c r="J524" s="1" t="str">
        <f>IF(ISERROR(Raw_Data!G524/0),"Error","Valid")</f>
        <v>Error</v>
      </c>
      <c r="K524" s="1" t="str">
        <f>IF(ISBLANK(Raw_Data!A524),"Missing","Available")</f>
        <v>Available</v>
      </c>
      <c r="L524" s="5" t="str">
        <f>IF(ISNUMBER(Raw_Data!G524),"Numeric","Not Numeric")</f>
        <v>Numeric</v>
      </c>
    </row>
    <row r="525" spans="1:12" x14ac:dyDescent="0.25">
      <c r="A525" s="4" t="str">
        <f>Raw_Data!A525</f>
        <v>UT</v>
      </c>
      <c r="B525" s="1" t="b">
        <f>Raw_Data!T525</f>
        <v>0</v>
      </c>
      <c r="C525" s="1" t="str">
        <f t="shared" si="8"/>
        <v>Retained</v>
      </c>
      <c r="D525" s="1" t="str">
        <f>IF(Raw_Data!S525=0,"Low Contact",IF(Raw_Data!S525&lt;=2,"Normal Contact","High Contact"))</f>
        <v>High Contact</v>
      </c>
      <c r="E525" s="1" t="str">
        <f>IF(AND(Raw_Data!G525&gt;200,Raw_Data!H525&gt;100),"High Usage","Normal Usage")</f>
        <v>Normal Usage</v>
      </c>
      <c r="F525" s="1" t="str" cm="1">
        <f t="array" ref="F525">_xlfn.IFS(B525=TRUE,"High Risk",AND(Raw_Data!S525&gt;=3,Raw_Data!G525&gt;200),"High Risk",Raw_Data!S525&gt;=2,"Medium Risk",TRUE,"Low Risk")</f>
        <v>Medium Risk</v>
      </c>
      <c r="G525" s="1" t="str">
        <f>IF(OR(Raw_Data!D525="Yes",Raw_Data!E525="Yes"),"Has Plan","No Special Plan")</f>
        <v>No Special Plan</v>
      </c>
      <c r="H525" s="1" t="str">
        <f>IF(NOT(Raw_Data!S525&gt;=3),"Normal Service Contact","Frequent Service Contact")</f>
        <v>Frequent Service Contact</v>
      </c>
      <c r="I525" s="1" t="str" cm="1">
        <f t="array" ref="I525">_xlfn.SWITCH(Raw_Data!D525,"Yes","International Customer","No","Domestic Plan","Unknown")</f>
        <v>Domestic Plan</v>
      </c>
      <c r="J525" s="1" t="str">
        <f>IF(ISERROR(Raw_Data!G525/0),"Error","Valid")</f>
        <v>Error</v>
      </c>
      <c r="K525" s="1" t="str">
        <f>IF(ISBLANK(Raw_Data!A525),"Missing","Available")</f>
        <v>Available</v>
      </c>
      <c r="L525" s="5" t="str">
        <f>IF(ISNUMBER(Raw_Data!G525),"Numeric","Not Numeric")</f>
        <v>Numeric</v>
      </c>
    </row>
    <row r="526" spans="1:12" x14ac:dyDescent="0.25">
      <c r="A526" s="4" t="str">
        <f>Raw_Data!A526</f>
        <v>MN</v>
      </c>
      <c r="B526" s="1" t="b">
        <f>Raw_Data!T526</f>
        <v>1</v>
      </c>
      <c r="C526" s="1" t="str">
        <f t="shared" si="8"/>
        <v>Churned</v>
      </c>
      <c r="D526" s="1" t="str">
        <f>IF(Raw_Data!S526=0,"Low Contact",IF(Raw_Data!S526&lt;=2,"Normal Contact","High Contact"))</f>
        <v>Low Contact</v>
      </c>
      <c r="E526" s="1" t="str">
        <f>IF(AND(Raw_Data!G526&gt;200,Raw_Data!H526&gt;100),"High Usage","Normal Usage")</f>
        <v>Normal Usage</v>
      </c>
      <c r="F526" s="1" t="str" cm="1">
        <f t="array" ref="F526">_xlfn.IFS(B526=TRUE,"High Risk",AND(Raw_Data!S526&gt;=3,Raw_Data!G526&gt;200),"High Risk",Raw_Data!S526&gt;=2,"Medium Risk",TRUE,"Low Risk")</f>
        <v>High Risk</v>
      </c>
      <c r="G526" s="1" t="str">
        <f>IF(OR(Raw_Data!D526="Yes",Raw_Data!E526="Yes"),"Has Plan","No Special Plan")</f>
        <v>No Special Plan</v>
      </c>
      <c r="H526" s="1" t="str">
        <f>IF(NOT(Raw_Data!S526&gt;=3),"Normal Service Contact","Frequent Service Contact")</f>
        <v>Normal Service Contact</v>
      </c>
      <c r="I526" s="1" t="str" cm="1">
        <f t="array" ref="I526">_xlfn.SWITCH(Raw_Data!D526,"Yes","International Customer","No","Domestic Plan","Unknown")</f>
        <v>Domestic Plan</v>
      </c>
      <c r="J526" s="1" t="str">
        <f>IF(ISERROR(Raw_Data!G526/0),"Error","Valid")</f>
        <v>Error</v>
      </c>
      <c r="K526" s="1" t="str">
        <f>IF(ISBLANK(Raw_Data!A526),"Missing","Available")</f>
        <v>Available</v>
      </c>
      <c r="L526" s="5" t="str">
        <f>IF(ISNUMBER(Raw_Data!G526),"Numeric","Not Numeric")</f>
        <v>Numeric</v>
      </c>
    </row>
    <row r="527" spans="1:12" x14ac:dyDescent="0.25">
      <c r="A527" s="4" t="str">
        <f>Raw_Data!A527</f>
        <v>SC</v>
      </c>
      <c r="B527" s="1" t="b">
        <f>Raw_Data!T527</f>
        <v>1</v>
      </c>
      <c r="C527" s="1" t="str">
        <f t="shared" si="8"/>
        <v>Churned</v>
      </c>
      <c r="D527" s="1" t="str">
        <f>IF(Raw_Data!S527=0,"Low Contact",IF(Raw_Data!S527&lt;=2,"Normal Contact","High Contact"))</f>
        <v>High Contact</v>
      </c>
      <c r="E527" s="1" t="str">
        <f>IF(AND(Raw_Data!G527&gt;200,Raw_Data!H527&gt;100),"High Usage","Normal Usage")</f>
        <v>High Usage</v>
      </c>
      <c r="F527" s="1" t="str" cm="1">
        <f t="array" ref="F527">_xlfn.IFS(B527=TRUE,"High Risk",AND(Raw_Data!S527&gt;=3,Raw_Data!G527&gt;200),"High Risk",Raw_Data!S527&gt;=2,"Medium Risk",TRUE,"Low Risk")</f>
        <v>High Risk</v>
      </c>
      <c r="G527" s="1" t="str">
        <f>IF(OR(Raw_Data!D527="Yes",Raw_Data!E527="Yes"),"Has Plan","No Special Plan")</f>
        <v>No Special Plan</v>
      </c>
      <c r="H527" s="1" t="str">
        <f>IF(NOT(Raw_Data!S527&gt;=3),"Normal Service Contact","Frequent Service Contact")</f>
        <v>Frequent Service Contact</v>
      </c>
      <c r="I527" s="1" t="str" cm="1">
        <f t="array" ref="I527">_xlfn.SWITCH(Raw_Data!D527,"Yes","International Customer","No","Domestic Plan","Unknown")</f>
        <v>Domestic Plan</v>
      </c>
      <c r="J527" s="1" t="str">
        <f>IF(ISERROR(Raw_Data!G527/0),"Error","Valid")</f>
        <v>Error</v>
      </c>
      <c r="K527" s="1" t="str">
        <f>IF(ISBLANK(Raw_Data!A527),"Missing","Available")</f>
        <v>Available</v>
      </c>
      <c r="L527" s="5" t="str">
        <f>IF(ISNUMBER(Raw_Data!G527),"Numeric","Not Numeric")</f>
        <v>Numeric</v>
      </c>
    </row>
    <row r="528" spans="1:12" x14ac:dyDescent="0.25">
      <c r="A528" s="4" t="str">
        <f>Raw_Data!A528</f>
        <v>NH</v>
      </c>
      <c r="B528" s="1" t="b">
        <f>Raw_Data!T528</f>
        <v>0</v>
      </c>
      <c r="C528" s="1" t="str">
        <f t="shared" si="8"/>
        <v>Retained</v>
      </c>
      <c r="D528" s="1" t="str">
        <f>IF(Raw_Data!S528=0,"Low Contact",IF(Raw_Data!S528&lt;=2,"Normal Contact","High Contact"))</f>
        <v>Normal Contact</v>
      </c>
      <c r="E528" s="1" t="str">
        <f>IF(AND(Raw_Data!G528&gt;200,Raw_Data!H528&gt;100),"High Usage","Normal Usage")</f>
        <v>Normal Usage</v>
      </c>
      <c r="F528" s="1" t="str" cm="1">
        <f t="array" ref="F528">_xlfn.IFS(B528=TRUE,"High Risk",AND(Raw_Data!S528&gt;=3,Raw_Data!G528&gt;200),"High Risk",Raw_Data!S528&gt;=2,"Medium Risk",TRUE,"Low Risk")</f>
        <v>Medium Risk</v>
      </c>
      <c r="G528" s="1" t="str">
        <f>IF(OR(Raw_Data!D528="Yes",Raw_Data!E528="Yes"),"Has Plan","No Special Plan")</f>
        <v>Has Plan</v>
      </c>
      <c r="H528" s="1" t="str">
        <f>IF(NOT(Raw_Data!S528&gt;=3),"Normal Service Contact","Frequent Service Contact")</f>
        <v>Normal Service Contact</v>
      </c>
      <c r="I528" s="1" t="str" cm="1">
        <f t="array" ref="I528">_xlfn.SWITCH(Raw_Data!D528,"Yes","International Customer","No","Domestic Plan","Unknown")</f>
        <v>Domestic Plan</v>
      </c>
      <c r="J528" s="1" t="str">
        <f>IF(ISERROR(Raw_Data!G528/0),"Error","Valid")</f>
        <v>Error</v>
      </c>
      <c r="K528" s="1" t="str">
        <f>IF(ISBLANK(Raw_Data!A528),"Missing","Available")</f>
        <v>Available</v>
      </c>
      <c r="L528" s="5" t="str">
        <f>IF(ISNUMBER(Raw_Data!G528),"Numeric","Not Numeric")</f>
        <v>Numeric</v>
      </c>
    </row>
    <row r="529" spans="1:12" x14ac:dyDescent="0.25">
      <c r="A529" s="4" t="str">
        <f>Raw_Data!A529</f>
        <v>MD</v>
      </c>
      <c r="B529" s="1" t="b">
        <f>Raw_Data!T529</f>
        <v>0</v>
      </c>
      <c r="C529" s="1" t="str">
        <f t="shared" si="8"/>
        <v>Retained</v>
      </c>
      <c r="D529" s="1" t="str">
        <f>IF(Raw_Data!S529=0,"Low Contact",IF(Raw_Data!S529&lt;=2,"Normal Contact","High Contact"))</f>
        <v>Normal Contact</v>
      </c>
      <c r="E529" s="1" t="str">
        <f>IF(AND(Raw_Data!G529&gt;200,Raw_Data!H529&gt;100),"High Usage","Normal Usage")</f>
        <v>Normal Usage</v>
      </c>
      <c r="F529" s="1" t="str" cm="1">
        <f t="array" ref="F529">_xlfn.IFS(B529=TRUE,"High Risk",AND(Raw_Data!S529&gt;=3,Raw_Data!G529&gt;200),"High Risk",Raw_Data!S529&gt;=2,"Medium Risk",TRUE,"Low Risk")</f>
        <v>Low Risk</v>
      </c>
      <c r="G529" s="1" t="str">
        <f>IF(OR(Raw_Data!D529="Yes",Raw_Data!E529="Yes"),"Has Plan","No Special Plan")</f>
        <v>Has Plan</v>
      </c>
      <c r="H529" s="1" t="str">
        <f>IF(NOT(Raw_Data!S529&gt;=3),"Normal Service Contact","Frequent Service Contact")</f>
        <v>Normal Service Contact</v>
      </c>
      <c r="I529" s="1" t="str" cm="1">
        <f t="array" ref="I529">_xlfn.SWITCH(Raw_Data!D529,"Yes","International Customer","No","Domestic Plan","Unknown")</f>
        <v>Domestic Plan</v>
      </c>
      <c r="J529" s="1" t="str">
        <f>IF(ISERROR(Raw_Data!G529/0),"Error","Valid")</f>
        <v>Error</v>
      </c>
      <c r="K529" s="1" t="str">
        <f>IF(ISBLANK(Raw_Data!A529),"Missing","Available")</f>
        <v>Available</v>
      </c>
      <c r="L529" s="5" t="str">
        <f>IF(ISNUMBER(Raw_Data!G529),"Numeric","Not Numeric")</f>
        <v>Numeric</v>
      </c>
    </row>
    <row r="530" spans="1:12" x14ac:dyDescent="0.25">
      <c r="A530" s="4" t="str">
        <f>Raw_Data!A530</f>
        <v>OK</v>
      </c>
      <c r="B530" s="1" t="b">
        <f>Raw_Data!T530</f>
        <v>0</v>
      </c>
      <c r="C530" s="1" t="str">
        <f t="shared" si="8"/>
        <v>Retained</v>
      </c>
      <c r="D530" s="1" t="str">
        <f>IF(Raw_Data!S530=0,"Low Contact",IF(Raw_Data!S530&lt;=2,"Normal Contact","High Contact"))</f>
        <v>Normal Contact</v>
      </c>
      <c r="E530" s="1" t="str">
        <f>IF(AND(Raw_Data!G530&gt;200,Raw_Data!H530&gt;100),"High Usage","Normal Usage")</f>
        <v>High Usage</v>
      </c>
      <c r="F530" s="1" t="str" cm="1">
        <f t="array" ref="F530">_xlfn.IFS(B530=TRUE,"High Risk",AND(Raw_Data!S530&gt;=3,Raw_Data!G530&gt;200),"High Risk",Raw_Data!S530&gt;=2,"Medium Risk",TRUE,"Low Risk")</f>
        <v>Low Risk</v>
      </c>
      <c r="G530" s="1" t="str">
        <f>IF(OR(Raw_Data!D530="Yes",Raw_Data!E530="Yes"),"Has Plan","No Special Plan")</f>
        <v>No Special Plan</v>
      </c>
      <c r="H530" s="1" t="str">
        <f>IF(NOT(Raw_Data!S530&gt;=3),"Normal Service Contact","Frequent Service Contact")</f>
        <v>Normal Service Contact</v>
      </c>
      <c r="I530" s="1" t="str" cm="1">
        <f t="array" ref="I530">_xlfn.SWITCH(Raw_Data!D530,"Yes","International Customer","No","Domestic Plan","Unknown")</f>
        <v>Domestic Plan</v>
      </c>
      <c r="J530" s="1" t="str">
        <f>IF(ISERROR(Raw_Data!G530/0),"Error","Valid")</f>
        <v>Error</v>
      </c>
      <c r="K530" s="1" t="str">
        <f>IF(ISBLANK(Raw_Data!A530),"Missing","Available")</f>
        <v>Available</v>
      </c>
      <c r="L530" s="5" t="str">
        <f>IF(ISNUMBER(Raw_Data!G530),"Numeric","Not Numeric")</f>
        <v>Numeric</v>
      </c>
    </row>
    <row r="531" spans="1:12" x14ac:dyDescent="0.25">
      <c r="A531" s="4" t="str">
        <f>Raw_Data!A531</f>
        <v>NJ</v>
      </c>
      <c r="B531" s="1" t="b">
        <f>Raw_Data!T531</f>
        <v>1</v>
      </c>
      <c r="C531" s="1" t="str">
        <f t="shared" si="8"/>
        <v>Churned</v>
      </c>
      <c r="D531" s="1" t="str">
        <f>IF(Raw_Data!S531=0,"Low Contact",IF(Raw_Data!S531&lt;=2,"Normal Contact","High Contact"))</f>
        <v>Normal Contact</v>
      </c>
      <c r="E531" s="1" t="str">
        <f>IF(AND(Raw_Data!G531&gt;200,Raw_Data!H531&gt;100),"High Usage","Normal Usage")</f>
        <v>High Usage</v>
      </c>
      <c r="F531" s="1" t="str" cm="1">
        <f t="array" ref="F531">_xlfn.IFS(B531=TRUE,"High Risk",AND(Raw_Data!S531&gt;=3,Raw_Data!G531&gt;200),"High Risk",Raw_Data!S531&gt;=2,"Medium Risk",TRUE,"Low Risk")</f>
        <v>High Risk</v>
      </c>
      <c r="G531" s="1" t="str">
        <f>IF(OR(Raw_Data!D531="Yes",Raw_Data!E531="Yes"),"Has Plan","No Special Plan")</f>
        <v>No Special Plan</v>
      </c>
      <c r="H531" s="1" t="str">
        <f>IF(NOT(Raw_Data!S531&gt;=3),"Normal Service Contact","Frequent Service Contact")</f>
        <v>Normal Service Contact</v>
      </c>
      <c r="I531" s="1" t="str" cm="1">
        <f t="array" ref="I531">_xlfn.SWITCH(Raw_Data!D531,"Yes","International Customer","No","Domestic Plan","Unknown")</f>
        <v>Domestic Plan</v>
      </c>
      <c r="J531" s="1" t="str">
        <f>IF(ISERROR(Raw_Data!G531/0),"Error","Valid")</f>
        <v>Error</v>
      </c>
      <c r="K531" s="1" t="str">
        <f>IF(ISBLANK(Raw_Data!A531),"Missing","Available")</f>
        <v>Available</v>
      </c>
      <c r="L531" s="5" t="str">
        <f>IF(ISNUMBER(Raw_Data!G531),"Numeric","Not Numeric")</f>
        <v>Numeric</v>
      </c>
    </row>
    <row r="532" spans="1:12" x14ac:dyDescent="0.25">
      <c r="A532" s="4" t="str">
        <f>Raw_Data!A532</f>
        <v>HI</v>
      </c>
      <c r="B532" s="1" t="b">
        <f>Raw_Data!T532</f>
        <v>0</v>
      </c>
      <c r="C532" s="1" t="str">
        <f t="shared" si="8"/>
        <v>Retained</v>
      </c>
      <c r="D532" s="1" t="str">
        <f>IF(Raw_Data!S532=0,"Low Contact",IF(Raw_Data!S532&lt;=2,"Normal Contact","High Contact"))</f>
        <v>Low Contact</v>
      </c>
      <c r="E532" s="1" t="str">
        <f>IF(AND(Raw_Data!G532&gt;200,Raw_Data!H532&gt;100),"High Usage","Normal Usage")</f>
        <v>Normal Usage</v>
      </c>
      <c r="F532" s="1" t="str" cm="1">
        <f t="array" ref="F532">_xlfn.IFS(B532=TRUE,"High Risk",AND(Raw_Data!S532&gt;=3,Raw_Data!G532&gt;200),"High Risk",Raw_Data!S532&gt;=2,"Medium Risk",TRUE,"Low Risk")</f>
        <v>Low Risk</v>
      </c>
      <c r="G532" s="1" t="str">
        <f>IF(OR(Raw_Data!D532="Yes",Raw_Data!E532="Yes"),"Has Plan","No Special Plan")</f>
        <v>No Special Plan</v>
      </c>
      <c r="H532" s="1" t="str">
        <f>IF(NOT(Raw_Data!S532&gt;=3),"Normal Service Contact","Frequent Service Contact")</f>
        <v>Normal Service Contact</v>
      </c>
      <c r="I532" s="1" t="str" cm="1">
        <f t="array" ref="I532">_xlfn.SWITCH(Raw_Data!D532,"Yes","International Customer","No","Domestic Plan","Unknown")</f>
        <v>Domestic Plan</v>
      </c>
      <c r="J532" s="1" t="str">
        <f>IF(ISERROR(Raw_Data!G532/0),"Error","Valid")</f>
        <v>Error</v>
      </c>
      <c r="K532" s="1" t="str">
        <f>IF(ISBLANK(Raw_Data!A532),"Missing","Available")</f>
        <v>Available</v>
      </c>
      <c r="L532" s="5" t="str">
        <f>IF(ISNUMBER(Raw_Data!G532),"Numeric","Not Numeric")</f>
        <v>Numeric</v>
      </c>
    </row>
    <row r="533" spans="1:12" x14ac:dyDescent="0.25">
      <c r="A533" s="4" t="str">
        <f>Raw_Data!A533</f>
        <v>DE</v>
      </c>
      <c r="B533" s="1" t="b">
        <f>Raw_Data!T533</f>
        <v>0</v>
      </c>
      <c r="C533" s="1" t="str">
        <f t="shared" si="8"/>
        <v>Retained</v>
      </c>
      <c r="D533" s="1" t="str">
        <f>IF(Raw_Data!S533=0,"Low Contact",IF(Raw_Data!S533&lt;=2,"Normal Contact","High Contact"))</f>
        <v>Normal Contact</v>
      </c>
      <c r="E533" s="1" t="str">
        <f>IF(AND(Raw_Data!G533&gt;200,Raw_Data!H533&gt;100),"High Usage","Normal Usage")</f>
        <v>Normal Usage</v>
      </c>
      <c r="F533" s="1" t="str" cm="1">
        <f t="array" ref="F533">_xlfn.IFS(B533=TRUE,"High Risk",AND(Raw_Data!S533&gt;=3,Raw_Data!G533&gt;200),"High Risk",Raw_Data!S533&gt;=2,"Medium Risk",TRUE,"Low Risk")</f>
        <v>Medium Risk</v>
      </c>
      <c r="G533" s="1" t="str">
        <f>IF(OR(Raw_Data!D533="Yes",Raw_Data!E533="Yes"),"Has Plan","No Special Plan")</f>
        <v>No Special Plan</v>
      </c>
      <c r="H533" s="1" t="str">
        <f>IF(NOT(Raw_Data!S533&gt;=3),"Normal Service Contact","Frequent Service Contact")</f>
        <v>Normal Service Contact</v>
      </c>
      <c r="I533" s="1" t="str" cm="1">
        <f t="array" ref="I533">_xlfn.SWITCH(Raw_Data!D533,"Yes","International Customer","No","Domestic Plan","Unknown")</f>
        <v>Domestic Plan</v>
      </c>
      <c r="J533" s="1" t="str">
        <f>IF(ISERROR(Raw_Data!G533/0),"Error","Valid")</f>
        <v>Error</v>
      </c>
      <c r="K533" s="1" t="str">
        <f>IF(ISBLANK(Raw_Data!A533),"Missing","Available")</f>
        <v>Available</v>
      </c>
      <c r="L533" s="5" t="str">
        <f>IF(ISNUMBER(Raw_Data!G533),"Numeric","Not Numeric")</f>
        <v>Numeric</v>
      </c>
    </row>
    <row r="534" spans="1:12" x14ac:dyDescent="0.25">
      <c r="A534" s="4" t="str">
        <f>Raw_Data!A534</f>
        <v>AL</v>
      </c>
      <c r="B534" s="1" t="b">
        <f>Raw_Data!T534</f>
        <v>0</v>
      </c>
      <c r="C534" s="1" t="str">
        <f t="shared" si="8"/>
        <v>Retained</v>
      </c>
      <c r="D534" s="1" t="str">
        <f>IF(Raw_Data!S534=0,"Low Contact",IF(Raw_Data!S534&lt;=2,"Normal Contact","High Contact"))</f>
        <v>Normal Contact</v>
      </c>
      <c r="E534" s="1" t="str">
        <f>IF(AND(Raw_Data!G534&gt;200,Raw_Data!H534&gt;100),"High Usage","Normal Usage")</f>
        <v>Normal Usage</v>
      </c>
      <c r="F534" s="1" t="str" cm="1">
        <f t="array" ref="F534">_xlfn.IFS(B534=TRUE,"High Risk",AND(Raw_Data!S534&gt;=3,Raw_Data!G534&gt;200),"High Risk",Raw_Data!S534&gt;=2,"Medium Risk",TRUE,"Low Risk")</f>
        <v>Medium Risk</v>
      </c>
      <c r="G534" s="1" t="str">
        <f>IF(OR(Raw_Data!D534="Yes",Raw_Data!E534="Yes"),"Has Plan","No Special Plan")</f>
        <v>No Special Plan</v>
      </c>
      <c r="H534" s="1" t="str">
        <f>IF(NOT(Raw_Data!S534&gt;=3),"Normal Service Contact","Frequent Service Contact")</f>
        <v>Normal Service Contact</v>
      </c>
      <c r="I534" s="1" t="str" cm="1">
        <f t="array" ref="I534">_xlfn.SWITCH(Raw_Data!D534,"Yes","International Customer","No","Domestic Plan","Unknown")</f>
        <v>Domestic Plan</v>
      </c>
      <c r="J534" s="1" t="str">
        <f>IF(ISERROR(Raw_Data!G534/0),"Error","Valid")</f>
        <v>Error</v>
      </c>
      <c r="K534" s="1" t="str">
        <f>IF(ISBLANK(Raw_Data!A534),"Missing","Available")</f>
        <v>Available</v>
      </c>
      <c r="L534" s="5" t="str">
        <f>IF(ISNUMBER(Raw_Data!G534),"Numeric","Not Numeric")</f>
        <v>Numeric</v>
      </c>
    </row>
    <row r="535" spans="1:12" x14ac:dyDescent="0.25">
      <c r="A535" s="4" t="str">
        <f>Raw_Data!A535</f>
        <v>KS</v>
      </c>
      <c r="B535" s="1" t="b">
        <f>Raw_Data!T535</f>
        <v>0</v>
      </c>
      <c r="C535" s="1" t="str">
        <f t="shared" si="8"/>
        <v>Retained</v>
      </c>
      <c r="D535" s="1" t="str">
        <f>IF(Raw_Data!S535=0,"Low Contact",IF(Raw_Data!S535&lt;=2,"Normal Contact","High Contact"))</f>
        <v>Normal Contact</v>
      </c>
      <c r="E535" s="1" t="str">
        <f>IF(AND(Raw_Data!G535&gt;200,Raw_Data!H535&gt;100),"High Usage","Normal Usage")</f>
        <v>Normal Usage</v>
      </c>
      <c r="F535" s="1" t="str" cm="1">
        <f t="array" ref="F535">_xlfn.IFS(B535=TRUE,"High Risk",AND(Raw_Data!S535&gt;=3,Raw_Data!G535&gt;200),"High Risk",Raw_Data!S535&gt;=2,"Medium Risk",TRUE,"Low Risk")</f>
        <v>Low Risk</v>
      </c>
      <c r="G535" s="1" t="str">
        <f>IF(OR(Raw_Data!D535="Yes",Raw_Data!E535="Yes"),"Has Plan","No Special Plan")</f>
        <v>No Special Plan</v>
      </c>
      <c r="H535" s="1" t="str">
        <f>IF(NOT(Raw_Data!S535&gt;=3),"Normal Service Contact","Frequent Service Contact")</f>
        <v>Normal Service Contact</v>
      </c>
      <c r="I535" s="1" t="str" cm="1">
        <f t="array" ref="I535">_xlfn.SWITCH(Raw_Data!D535,"Yes","International Customer","No","Domestic Plan","Unknown")</f>
        <v>Domestic Plan</v>
      </c>
      <c r="J535" s="1" t="str">
        <f>IF(ISERROR(Raw_Data!G535/0),"Error","Valid")</f>
        <v>Error</v>
      </c>
      <c r="K535" s="1" t="str">
        <f>IF(ISBLANK(Raw_Data!A535),"Missing","Available")</f>
        <v>Available</v>
      </c>
      <c r="L535" s="5" t="str">
        <f>IF(ISNUMBER(Raw_Data!G535),"Numeric","Not Numeric")</f>
        <v>Numeric</v>
      </c>
    </row>
    <row r="536" spans="1:12" x14ac:dyDescent="0.25">
      <c r="A536" s="4" t="str">
        <f>Raw_Data!A536</f>
        <v>AK</v>
      </c>
      <c r="B536" s="1" t="b">
        <f>Raw_Data!T536</f>
        <v>0</v>
      </c>
      <c r="C536" s="1" t="str">
        <f t="shared" si="8"/>
        <v>Retained</v>
      </c>
      <c r="D536" s="1" t="str">
        <f>IF(Raw_Data!S536=0,"Low Contact",IF(Raw_Data!S536&lt;=2,"Normal Contact","High Contact"))</f>
        <v>High Contact</v>
      </c>
      <c r="E536" s="1" t="str">
        <f>IF(AND(Raw_Data!G536&gt;200,Raw_Data!H536&gt;100),"High Usage","Normal Usage")</f>
        <v>Normal Usage</v>
      </c>
      <c r="F536" s="1" t="str" cm="1">
        <f t="array" ref="F536">_xlfn.IFS(B536=TRUE,"High Risk",AND(Raw_Data!S536&gt;=3,Raw_Data!G536&gt;200),"High Risk",Raw_Data!S536&gt;=2,"Medium Risk",TRUE,"Low Risk")</f>
        <v>Medium Risk</v>
      </c>
      <c r="G536" s="1" t="str">
        <f>IF(OR(Raw_Data!D536="Yes",Raw_Data!E536="Yes"),"Has Plan","No Special Plan")</f>
        <v>Has Plan</v>
      </c>
      <c r="H536" s="1" t="str">
        <f>IF(NOT(Raw_Data!S536&gt;=3),"Normal Service Contact","Frequent Service Contact")</f>
        <v>Frequent Service Contact</v>
      </c>
      <c r="I536" s="1" t="str" cm="1">
        <f t="array" ref="I536">_xlfn.SWITCH(Raw_Data!D536,"Yes","International Customer","No","Domestic Plan","Unknown")</f>
        <v>Domestic Plan</v>
      </c>
      <c r="J536" s="1" t="str">
        <f>IF(ISERROR(Raw_Data!G536/0),"Error","Valid")</f>
        <v>Error</v>
      </c>
      <c r="K536" s="1" t="str">
        <f>IF(ISBLANK(Raw_Data!A536),"Missing","Available")</f>
        <v>Available</v>
      </c>
      <c r="L536" s="5" t="str">
        <f>IF(ISNUMBER(Raw_Data!G536),"Numeric","Not Numeric")</f>
        <v>Numeric</v>
      </c>
    </row>
    <row r="537" spans="1:12" x14ac:dyDescent="0.25">
      <c r="A537" s="4" t="str">
        <f>Raw_Data!A537</f>
        <v>WI</v>
      </c>
      <c r="B537" s="1" t="b">
        <f>Raw_Data!T537</f>
        <v>0</v>
      </c>
      <c r="C537" s="1" t="str">
        <f t="shared" si="8"/>
        <v>Retained</v>
      </c>
      <c r="D537" s="1" t="str">
        <f>IF(Raw_Data!S537=0,"Low Contact",IF(Raw_Data!S537&lt;=2,"Normal Contact","High Contact"))</f>
        <v>Low Contact</v>
      </c>
      <c r="E537" s="1" t="str">
        <f>IF(AND(Raw_Data!G537&gt;200,Raw_Data!H537&gt;100),"High Usage","Normal Usage")</f>
        <v>Normal Usage</v>
      </c>
      <c r="F537" s="1" t="str" cm="1">
        <f t="array" ref="F537">_xlfn.IFS(B537=TRUE,"High Risk",AND(Raw_Data!S537&gt;=3,Raw_Data!G537&gt;200),"High Risk",Raw_Data!S537&gt;=2,"Medium Risk",TRUE,"Low Risk")</f>
        <v>Low Risk</v>
      </c>
      <c r="G537" s="1" t="str">
        <f>IF(OR(Raw_Data!D537="Yes",Raw_Data!E537="Yes"),"Has Plan","No Special Plan")</f>
        <v>No Special Plan</v>
      </c>
      <c r="H537" s="1" t="str">
        <f>IF(NOT(Raw_Data!S537&gt;=3),"Normal Service Contact","Frequent Service Contact")</f>
        <v>Normal Service Contact</v>
      </c>
      <c r="I537" s="1" t="str" cm="1">
        <f t="array" ref="I537">_xlfn.SWITCH(Raw_Data!D537,"Yes","International Customer","No","Domestic Plan","Unknown")</f>
        <v>Domestic Plan</v>
      </c>
      <c r="J537" s="1" t="str">
        <f>IF(ISERROR(Raw_Data!G537/0),"Error","Valid")</f>
        <v>Error</v>
      </c>
      <c r="K537" s="1" t="str">
        <f>IF(ISBLANK(Raw_Data!A537),"Missing","Available")</f>
        <v>Available</v>
      </c>
      <c r="L537" s="5" t="str">
        <f>IF(ISNUMBER(Raw_Data!G537),"Numeric","Not Numeric")</f>
        <v>Numeric</v>
      </c>
    </row>
    <row r="538" spans="1:12" x14ac:dyDescent="0.25">
      <c r="A538" s="4" t="str">
        <f>Raw_Data!A538</f>
        <v>IN</v>
      </c>
      <c r="B538" s="1" t="b">
        <f>Raw_Data!T538</f>
        <v>0</v>
      </c>
      <c r="C538" s="1" t="str">
        <f t="shared" si="8"/>
        <v>Retained</v>
      </c>
      <c r="D538" s="1" t="str">
        <f>IF(Raw_Data!S538=0,"Low Contact",IF(Raw_Data!S538&lt;=2,"Normal Contact","High Contact"))</f>
        <v>Normal Contact</v>
      </c>
      <c r="E538" s="1" t="str">
        <f>IF(AND(Raw_Data!G538&gt;200,Raw_Data!H538&gt;100),"High Usage","Normal Usage")</f>
        <v>Normal Usage</v>
      </c>
      <c r="F538" s="1" t="str" cm="1">
        <f t="array" ref="F538">_xlfn.IFS(B538=TRUE,"High Risk",AND(Raw_Data!S538&gt;=3,Raw_Data!G538&gt;200),"High Risk",Raw_Data!S538&gt;=2,"Medium Risk",TRUE,"Low Risk")</f>
        <v>Low Risk</v>
      </c>
      <c r="G538" s="1" t="str">
        <f>IF(OR(Raw_Data!D538="Yes",Raw_Data!E538="Yes"),"Has Plan","No Special Plan")</f>
        <v>No Special Plan</v>
      </c>
      <c r="H538" s="1" t="str">
        <f>IF(NOT(Raw_Data!S538&gt;=3),"Normal Service Contact","Frequent Service Contact")</f>
        <v>Normal Service Contact</v>
      </c>
      <c r="I538" s="1" t="str" cm="1">
        <f t="array" ref="I538">_xlfn.SWITCH(Raw_Data!D538,"Yes","International Customer","No","Domestic Plan","Unknown")</f>
        <v>Domestic Plan</v>
      </c>
      <c r="J538" s="1" t="str">
        <f>IF(ISERROR(Raw_Data!G538/0),"Error","Valid")</f>
        <v>Error</v>
      </c>
      <c r="K538" s="1" t="str">
        <f>IF(ISBLANK(Raw_Data!A538),"Missing","Available")</f>
        <v>Available</v>
      </c>
      <c r="L538" s="5" t="str">
        <f>IF(ISNUMBER(Raw_Data!G538),"Numeric","Not Numeric")</f>
        <v>Numeric</v>
      </c>
    </row>
    <row r="539" spans="1:12" x14ac:dyDescent="0.25">
      <c r="A539" s="4" t="str">
        <f>Raw_Data!A539</f>
        <v>DC</v>
      </c>
      <c r="B539" s="1" t="b">
        <f>Raw_Data!T539</f>
        <v>0</v>
      </c>
      <c r="C539" s="1" t="str">
        <f t="shared" si="8"/>
        <v>Retained</v>
      </c>
      <c r="D539" s="1" t="str">
        <f>IF(Raw_Data!S539=0,"Low Contact",IF(Raw_Data!S539&lt;=2,"Normal Contact","High Contact"))</f>
        <v>High Contact</v>
      </c>
      <c r="E539" s="1" t="str">
        <f>IF(AND(Raw_Data!G539&gt;200,Raw_Data!H539&gt;100),"High Usage","Normal Usage")</f>
        <v>Normal Usage</v>
      </c>
      <c r="F539" s="1" t="str" cm="1">
        <f t="array" ref="F539">_xlfn.IFS(B539=TRUE,"High Risk",AND(Raw_Data!S539&gt;=3,Raw_Data!G539&gt;200),"High Risk",Raw_Data!S539&gt;=2,"Medium Risk",TRUE,"Low Risk")</f>
        <v>Medium Risk</v>
      </c>
      <c r="G539" s="1" t="str">
        <f>IF(OR(Raw_Data!D539="Yes",Raw_Data!E539="Yes"),"Has Plan","No Special Plan")</f>
        <v>No Special Plan</v>
      </c>
      <c r="H539" s="1" t="str">
        <f>IF(NOT(Raw_Data!S539&gt;=3),"Normal Service Contact","Frequent Service Contact")</f>
        <v>Frequent Service Contact</v>
      </c>
      <c r="I539" s="1" t="str" cm="1">
        <f t="array" ref="I539">_xlfn.SWITCH(Raw_Data!D539,"Yes","International Customer","No","Domestic Plan","Unknown")</f>
        <v>Domestic Plan</v>
      </c>
      <c r="J539" s="1" t="str">
        <f>IF(ISERROR(Raw_Data!G539/0),"Error","Valid")</f>
        <v>Error</v>
      </c>
      <c r="K539" s="1" t="str">
        <f>IF(ISBLANK(Raw_Data!A539),"Missing","Available")</f>
        <v>Available</v>
      </c>
      <c r="L539" s="5" t="str">
        <f>IF(ISNUMBER(Raw_Data!G539),"Numeric","Not Numeric")</f>
        <v>Numeric</v>
      </c>
    </row>
    <row r="540" spans="1:12" x14ac:dyDescent="0.25">
      <c r="A540" s="4" t="str">
        <f>Raw_Data!A540</f>
        <v>MS</v>
      </c>
      <c r="B540" s="1" t="b">
        <f>Raw_Data!T540</f>
        <v>0</v>
      </c>
      <c r="C540" s="1" t="str">
        <f t="shared" si="8"/>
        <v>Retained</v>
      </c>
      <c r="D540" s="1" t="str">
        <f>IF(Raw_Data!S540=0,"Low Contact",IF(Raw_Data!S540&lt;=2,"Normal Contact","High Contact"))</f>
        <v>Normal Contact</v>
      </c>
      <c r="E540" s="1" t="str">
        <f>IF(AND(Raw_Data!G540&gt;200,Raw_Data!H540&gt;100),"High Usage","Normal Usage")</f>
        <v>Normal Usage</v>
      </c>
      <c r="F540" s="1" t="str" cm="1">
        <f t="array" ref="F540">_xlfn.IFS(B540=TRUE,"High Risk",AND(Raw_Data!S540&gt;=3,Raw_Data!G540&gt;200),"High Risk",Raw_Data!S540&gt;=2,"Medium Risk",TRUE,"Low Risk")</f>
        <v>Low Risk</v>
      </c>
      <c r="G540" s="1" t="str">
        <f>IF(OR(Raw_Data!D540="Yes",Raw_Data!E540="Yes"),"Has Plan","No Special Plan")</f>
        <v>No Special Plan</v>
      </c>
      <c r="H540" s="1" t="str">
        <f>IF(NOT(Raw_Data!S540&gt;=3),"Normal Service Contact","Frequent Service Contact")</f>
        <v>Normal Service Contact</v>
      </c>
      <c r="I540" s="1" t="str" cm="1">
        <f t="array" ref="I540">_xlfn.SWITCH(Raw_Data!D540,"Yes","International Customer","No","Domestic Plan","Unknown")</f>
        <v>Domestic Plan</v>
      </c>
      <c r="J540" s="1" t="str">
        <f>IF(ISERROR(Raw_Data!G540/0),"Error","Valid")</f>
        <v>Error</v>
      </c>
      <c r="K540" s="1" t="str">
        <f>IF(ISBLANK(Raw_Data!A540),"Missing","Available")</f>
        <v>Available</v>
      </c>
      <c r="L540" s="5" t="str">
        <f>IF(ISNUMBER(Raw_Data!G540),"Numeric","Not Numeric")</f>
        <v>Numeric</v>
      </c>
    </row>
    <row r="541" spans="1:12" x14ac:dyDescent="0.25">
      <c r="A541" s="4" t="str">
        <f>Raw_Data!A541</f>
        <v>NH</v>
      </c>
      <c r="B541" s="1" t="b">
        <f>Raw_Data!T541</f>
        <v>0</v>
      </c>
      <c r="C541" s="1" t="str">
        <f t="shared" si="8"/>
        <v>Retained</v>
      </c>
      <c r="D541" s="1" t="str">
        <f>IF(Raw_Data!S541=0,"Low Contact",IF(Raw_Data!S541&lt;=2,"Normal Contact","High Contact"))</f>
        <v>Normal Contact</v>
      </c>
      <c r="E541" s="1" t="str">
        <f>IF(AND(Raw_Data!G541&gt;200,Raw_Data!H541&gt;100),"High Usage","Normal Usage")</f>
        <v>Normal Usage</v>
      </c>
      <c r="F541" s="1" t="str" cm="1">
        <f t="array" ref="F541">_xlfn.IFS(B541=TRUE,"High Risk",AND(Raw_Data!S541&gt;=3,Raw_Data!G541&gt;200),"High Risk",Raw_Data!S541&gt;=2,"Medium Risk",TRUE,"Low Risk")</f>
        <v>Medium Risk</v>
      </c>
      <c r="G541" s="1" t="str">
        <f>IF(OR(Raw_Data!D541="Yes",Raw_Data!E541="Yes"),"Has Plan","No Special Plan")</f>
        <v>Has Plan</v>
      </c>
      <c r="H541" s="1" t="str">
        <f>IF(NOT(Raw_Data!S541&gt;=3),"Normal Service Contact","Frequent Service Contact")</f>
        <v>Normal Service Contact</v>
      </c>
      <c r="I541" s="1" t="str" cm="1">
        <f t="array" ref="I541">_xlfn.SWITCH(Raw_Data!D541,"Yes","International Customer","No","Domestic Plan","Unknown")</f>
        <v>Domestic Plan</v>
      </c>
      <c r="J541" s="1" t="str">
        <f>IF(ISERROR(Raw_Data!G541/0),"Error","Valid")</f>
        <v>Error</v>
      </c>
      <c r="K541" s="1" t="str">
        <f>IF(ISBLANK(Raw_Data!A541),"Missing","Available")</f>
        <v>Available</v>
      </c>
      <c r="L541" s="5" t="str">
        <f>IF(ISNUMBER(Raw_Data!G541),"Numeric","Not Numeric")</f>
        <v>Numeric</v>
      </c>
    </row>
    <row r="542" spans="1:12" x14ac:dyDescent="0.25">
      <c r="A542" s="4" t="str">
        <f>Raw_Data!A542</f>
        <v>NJ</v>
      </c>
      <c r="B542" s="1" t="b">
        <f>Raw_Data!T542</f>
        <v>1</v>
      </c>
      <c r="C542" s="1" t="str">
        <f t="shared" si="8"/>
        <v>Churned</v>
      </c>
      <c r="D542" s="1" t="str">
        <f>IF(Raw_Data!S542=0,"Low Contact",IF(Raw_Data!S542&lt;=2,"Normal Contact","High Contact"))</f>
        <v>Normal Contact</v>
      </c>
      <c r="E542" s="1" t="str">
        <f>IF(AND(Raw_Data!G542&gt;200,Raw_Data!H542&gt;100),"High Usage","Normal Usage")</f>
        <v>High Usage</v>
      </c>
      <c r="F542" s="1" t="str" cm="1">
        <f t="array" ref="F542">_xlfn.IFS(B542=TRUE,"High Risk",AND(Raw_Data!S542&gt;=3,Raw_Data!G542&gt;200),"High Risk",Raw_Data!S542&gt;=2,"Medium Risk",TRUE,"Low Risk")</f>
        <v>High Risk</v>
      </c>
      <c r="G542" s="1" t="str">
        <f>IF(OR(Raw_Data!D542="Yes",Raw_Data!E542="Yes"),"Has Plan","No Special Plan")</f>
        <v>Has Plan</v>
      </c>
      <c r="H542" s="1" t="str">
        <f>IF(NOT(Raw_Data!S542&gt;=3),"Normal Service Contact","Frequent Service Contact")</f>
        <v>Normal Service Contact</v>
      </c>
      <c r="I542" s="1" t="str" cm="1">
        <f t="array" ref="I542">_xlfn.SWITCH(Raw_Data!D542,"Yes","International Customer","No","Domestic Plan","Unknown")</f>
        <v>Domestic Plan</v>
      </c>
      <c r="J542" s="1" t="str">
        <f>IF(ISERROR(Raw_Data!G542/0),"Error","Valid")</f>
        <v>Error</v>
      </c>
      <c r="K542" s="1" t="str">
        <f>IF(ISBLANK(Raw_Data!A542),"Missing","Available")</f>
        <v>Available</v>
      </c>
      <c r="L542" s="5" t="str">
        <f>IF(ISNUMBER(Raw_Data!G542),"Numeric","Not Numeric")</f>
        <v>Numeric</v>
      </c>
    </row>
    <row r="543" spans="1:12" x14ac:dyDescent="0.25">
      <c r="A543" s="4" t="str">
        <f>Raw_Data!A543</f>
        <v>VT</v>
      </c>
      <c r="B543" s="1" t="b">
        <f>Raw_Data!T543</f>
        <v>0</v>
      </c>
      <c r="C543" s="1" t="str">
        <f t="shared" si="8"/>
        <v>Retained</v>
      </c>
      <c r="D543" s="1" t="str">
        <f>IF(Raw_Data!S543=0,"Low Contact",IF(Raw_Data!S543&lt;=2,"Normal Contact","High Contact"))</f>
        <v>Normal Contact</v>
      </c>
      <c r="E543" s="1" t="str">
        <f>IF(AND(Raw_Data!G543&gt;200,Raw_Data!H543&gt;100),"High Usage","Normal Usage")</f>
        <v>Normal Usage</v>
      </c>
      <c r="F543" s="1" t="str" cm="1">
        <f t="array" ref="F543">_xlfn.IFS(B543=TRUE,"High Risk",AND(Raw_Data!S543&gt;=3,Raw_Data!G543&gt;200),"High Risk",Raw_Data!S543&gt;=2,"Medium Risk",TRUE,"Low Risk")</f>
        <v>Low Risk</v>
      </c>
      <c r="G543" s="1" t="str">
        <f>IF(OR(Raw_Data!D543="Yes",Raw_Data!E543="Yes"),"Has Plan","No Special Plan")</f>
        <v>No Special Plan</v>
      </c>
      <c r="H543" s="1" t="str">
        <f>IF(NOT(Raw_Data!S543&gt;=3),"Normal Service Contact","Frequent Service Contact")</f>
        <v>Normal Service Contact</v>
      </c>
      <c r="I543" s="1" t="str" cm="1">
        <f t="array" ref="I543">_xlfn.SWITCH(Raw_Data!D543,"Yes","International Customer","No","Domestic Plan","Unknown")</f>
        <v>Domestic Plan</v>
      </c>
      <c r="J543" s="1" t="str">
        <f>IF(ISERROR(Raw_Data!G543/0),"Error","Valid")</f>
        <v>Error</v>
      </c>
      <c r="K543" s="1" t="str">
        <f>IF(ISBLANK(Raw_Data!A543),"Missing","Available")</f>
        <v>Available</v>
      </c>
      <c r="L543" s="5" t="str">
        <f>IF(ISNUMBER(Raw_Data!G543),"Numeric","Not Numeric")</f>
        <v>Numeric</v>
      </c>
    </row>
    <row r="544" spans="1:12" x14ac:dyDescent="0.25">
      <c r="A544" s="4" t="str">
        <f>Raw_Data!A544</f>
        <v>MD</v>
      </c>
      <c r="B544" s="1" t="b">
        <f>Raw_Data!T544</f>
        <v>1</v>
      </c>
      <c r="C544" s="1" t="str">
        <f t="shared" si="8"/>
        <v>Churned</v>
      </c>
      <c r="D544" s="1" t="str">
        <f>IF(Raw_Data!S544=0,"Low Contact",IF(Raw_Data!S544&lt;=2,"Normal Contact","High Contact"))</f>
        <v>High Contact</v>
      </c>
      <c r="E544" s="1" t="str">
        <f>IF(AND(Raw_Data!G544&gt;200,Raw_Data!H544&gt;100),"High Usage","Normal Usage")</f>
        <v>Normal Usage</v>
      </c>
      <c r="F544" s="1" t="str" cm="1">
        <f t="array" ref="F544">_xlfn.IFS(B544=TRUE,"High Risk",AND(Raw_Data!S544&gt;=3,Raw_Data!G544&gt;200),"High Risk",Raw_Data!S544&gt;=2,"Medium Risk",TRUE,"Low Risk")</f>
        <v>High Risk</v>
      </c>
      <c r="G544" s="1" t="str">
        <f>IF(OR(Raw_Data!D544="Yes",Raw_Data!E544="Yes"),"Has Plan","No Special Plan")</f>
        <v>No Special Plan</v>
      </c>
      <c r="H544" s="1" t="str">
        <f>IF(NOT(Raw_Data!S544&gt;=3),"Normal Service Contact","Frequent Service Contact")</f>
        <v>Frequent Service Contact</v>
      </c>
      <c r="I544" s="1" t="str" cm="1">
        <f t="array" ref="I544">_xlfn.SWITCH(Raw_Data!D544,"Yes","International Customer","No","Domestic Plan","Unknown")</f>
        <v>Domestic Plan</v>
      </c>
      <c r="J544" s="1" t="str">
        <f>IF(ISERROR(Raw_Data!G544/0),"Error","Valid")</f>
        <v>Error</v>
      </c>
      <c r="K544" s="1" t="str">
        <f>IF(ISBLANK(Raw_Data!A544),"Missing","Available")</f>
        <v>Available</v>
      </c>
      <c r="L544" s="5" t="str">
        <f>IF(ISNUMBER(Raw_Data!G544),"Numeric","Not Numeric")</f>
        <v>Numeric</v>
      </c>
    </row>
    <row r="545" spans="1:12" x14ac:dyDescent="0.25">
      <c r="A545" s="4" t="str">
        <f>Raw_Data!A545</f>
        <v>KS</v>
      </c>
      <c r="B545" s="1" t="b">
        <f>Raw_Data!T545</f>
        <v>0</v>
      </c>
      <c r="C545" s="1" t="str">
        <f t="shared" si="8"/>
        <v>Retained</v>
      </c>
      <c r="D545" s="1" t="str">
        <f>IF(Raw_Data!S545=0,"Low Contact",IF(Raw_Data!S545&lt;=2,"Normal Contact","High Contact"))</f>
        <v>Normal Contact</v>
      </c>
      <c r="E545" s="1" t="str">
        <f>IF(AND(Raw_Data!G545&gt;200,Raw_Data!H545&gt;100),"High Usage","Normal Usage")</f>
        <v>Normal Usage</v>
      </c>
      <c r="F545" s="1" t="str" cm="1">
        <f t="array" ref="F545">_xlfn.IFS(B545=TRUE,"High Risk",AND(Raw_Data!S545&gt;=3,Raw_Data!G545&gt;200),"High Risk",Raw_Data!S545&gt;=2,"Medium Risk",TRUE,"Low Risk")</f>
        <v>Low Risk</v>
      </c>
      <c r="G545" s="1" t="str">
        <f>IF(OR(Raw_Data!D545="Yes",Raw_Data!E545="Yes"),"Has Plan","No Special Plan")</f>
        <v>Has Plan</v>
      </c>
      <c r="H545" s="1" t="str">
        <f>IF(NOT(Raw_Data!S545&gt;=3),"Normal Service Contact","Frequent Service Contact")</f>
        <v>Normal Service Contact</v>
      </c>
      <c r="I545" s="1" t="str" cm="1">
        <f t="array" ref="I545">_xlfn.SWITCH(Raw_Data!D545,"Yes","International Customer","No","Domestic Plan","Unknown")</f>
        <v>International Customer</v>
      </c>
      <c r="J545" s="1" t="str">
        <f>IF(ISERROR(Raw_Data!G545/0),"Error","Valid")</f>
        <v>Error</v>
      </c>
      <c r="K545" s="1" t="str">
        <f>IF(ISBLANK(Raw_Data!A545),"Missing","Available")</f>
        <v>Available</v>
      </c>
      <c r="L545" s="5" t="str">
        <f>IF(ISNUMBER(Raw_Data!G545),"Numeric","Not Numeric")</f>
        <v>Numeric</v>
      </c>
    </row>
    <row r="546" spans="1:12" x14ac:dyDescent="0.25">
      <c r="A546" s="4" t="str">
        <f>Raw_Data!A546</f>
        <v>NH</v>
      </c>
      <c r="B546" s="1" t="b">
        <f>Raw_Data!T546</f>
        <v>0</v>
      </c>
      <c r="C546" s="1" t="str">
        <f t="shared" si="8"/>
        <v>Retained</v>
      </c>
      <c r="D546" s="1" t="str">
        <f>IF(Raw_Data!S546=0,"Low Contact",IF(Raw_Data!S546&lt;=2,"Normal Contact","High Contact"))</f>
        <v>Low Contact</v>
      </c>
      <c r="E546" s="1" t="str">
        <f>IF(AND(Raw_Data!G546&gt;200,Raw_Data!H546&gt;100),"High Usage","Normal Usage")</f>
        <v>Normal Usage</v>
      </c>
      <c r="F546" s="1" t="str" cm="1">
        <f t="array" ref="F546">_xlfn.IFS(B546=TRUE,"High Risk",AND(Raw_Data!S546&gt;=3,Raw_Data!G546&gt;200),"High Risk",Raw_Data!S546&gt;=2,"Medium Risk",TRUE,"Low Risk")</f>
        <v>Low Risk</v>
      </c>
      <c r="G546" s="1" t="str">
        <f>IF(OR(Raw_Data!D546="Yes",Raw_Data!E546="Yes"),"Has Plan","No Special Plan")</f>
        <v>Has Plan</v>
      </c>
      <c r="H546" s="1" t="str">
        <f>IF(NOT(Raw_Data!S546&gt;=3),"Normal Service Contact","Frequent Service Contact")</f>
        <v>Normal Service Contact</v>
      </c>
      <c r="I546" s="1" t="str" cm="1">
        <f t="array" ref="I546">_xlfn.SWITCH(Raw_Data!D546,"Yes","International Customer","No","Domestic Plan","Unknown")</f>
        <v>Domestic Plan</v>
      </c>
      <c r="J546" s="1" t="str">
        <f>IF(ISERROR(Raw_Data!G546/0),"Error","Valid")</f>
        <v>Error</v>
      </c>
      <c r="K546" s="1" t="str">
        <f>IF(ISBLANK(Raw_Data!A546),"Missing","Available")</f>
        <v>Available</v>
      </c>
      <c r="L546" s="5" t="str">
        <f>IF(ISNUMBER(Raw_Data!G546),"Numeric","Not Numeric")</f>
        <v>Numeric</v>
      </c>
    </row>
    <row r="547" spans="1:12" x14ac:dyDescent="0.25">
      <c r="A547" s="4" t="str">
        <f>Raw_Data!A547</f>
        <v>AZ</v>
      </c>
      <c r="B547" s="1" t="b">
        <f>Raw_Data!T547</f>
        <v>0</v>
      </c>
      <c r="C547" s="1" t="str">
        <f t="shared" si="8"/>
        <v>Retained</v>
      </c>
      <c r="D547" s="1" t="str">
        <f>IF(Raw_Data!S547=0,"Low Contact",IF(Raw_Data!S547&lt;=2,"Normal Contact","High Contact"))</f>
        <v>Normal Contact</v>
      </c>
      <c r="E547" s="1" t="str">
        <f>IF(AND(Raw_Data!G547&gt;200,Raw_Data!H547&gt;100),"High Usage","Normal Usage")</f>
        <v>Normal Usage</v>
      </c>
      <c r="F547" s="1" t="str" cm="1">
        <f t="array" ref="F547">_xlfn.IFS(B547=TRUE,"High Risk",AND(Raw_Data!S547&gt;=3,Raw_Data!G547&gt;200),"High Risk",Raw_Data!S547&gt;=2,"Medium Risk",TRUE,"Low Risk")</f>
        <v>Medium Risk</v>
      </c>
      <c r="G547" s="1" t="str">
        <f>IF(OR(Raw_Data!D547="Yes",Raw_Data!E547="Yes"),"Has Plan","No Special Plan")</f>
        <v>Has Plan</v>
      </c>
      <c r="H547" s="1" t="str">
        <f>IF(NOT(Raw_Data!S547&gt;=3),"Normal Service Contact","Frequent Service Contact")</f>
        <v>Normal Service Contact</v>
      </c>
      <c r="I547" s="1" t="str" cm="1">
        <f t="array" ref="I547">_xlfn.SWITCH(Raw_Data!D547,"Yes","International Customer","No","Domestic Plan","Unknown")</f>
        <v>Domestic Plan</v>
      </c>
      <c r="J547" s="1" t="str">
        <f>IF(ISERROR(Raw_Data!G547/0),"Error","Valid")</f>
        <v>Error</v>
      </c>
      <c r="K547" s="1" t="str">
        <f>IF(ISBLANK(Raw_Data!A547),"Missing","Available")</f>
        <v>Available</v>
      </c>
      <c r="L547" s="5" t="str">
        <f>IF(ISNUMBER(Raw_Data!G547),"Numeric","Not Numeric")</f>
        <v>Numeric</v>
      </c>
    </row>
    <row r="548" spans="1:12" x14ac:dyDescent="0.25">
      <c r="A548" s="4" t="str">
        <f>Raw_Data!A548</f>
        <v>ID</v>
      </c>
      <c r="B548" s="1" t="b">
        <f>Raw_Data!T548</f>
        <v>1</v>
      </c>
      <c r="C548" s="1" t="str">
        <f t="shared" si="8"/>
        <v>Churned</v>
      </c>
      <c r="D548" s="1" t="str">
        <f>IF(Raw_Data!S548=0,"Low Contact",IF(Raw_Data!S548&lt;=2,"Normal Contact","High Contact"))</f>
        <v>Normal Contact</v>
      </c>
      <c r="E548" s="1" t="str">
        <f>IF(AND(Raw_Data!G548&gt;200,Raw_Data!H548&gt;100),"High Usage","Normal Usage")</f>
        <v>High Usage</v>
      </c>
      <c r="F548" s="1" t="str" cm="1">
        <f t="array" ref="F548">_xlfn.IFS(B548=TRUE,"High Risk",AND(Raw_Data!S548&gt;=3,Raw_Data!G548&gt;200),"High Risk",Raw_Data!S548&gt;=2,"Medium Risk",TRUE,"Low Risk")</f>
        <v>High Risk</v>
      </c>
      <c r="G548" s="1" t="str">
        <f>IF(OR(Raw_Data!D548="Yes",Raw_Data!E548="Yes"),"Has Plan","No Special Plan")</f>
        <v>No Special Plan</v>
      </c>
      <c r="H548" s="1" t="str">
        <f>IF(NOT(Raw_Data!S548&gt;=3),"Normal Service Contact","Frequent Service Contact")</f>
        <v>Normal Service Contact</v>
      </c>
      <c r="I548" s="1" t="str" cm="1">
        <f t="array" ref="I548">_xlfn.SWITCH(Raw_Data!D548,"Yes","International Customer","No","Domestic Plan","Unknown")</f>
        <v>Domestic Plan</v>
      </c>
      <c r="J548" s="1" t="str">
        <f>IF(ISERROR(Raw_Data!G548/0),"Error","Valid")</f>
        <v>Error</v>
      </c>
      <c r="K548" s="1" t="str">
        <f>IF(ISBLANK(Raw_Data!A548),"Missing","Available")</f>
        <v>Available</v>
      </c>
      <c r="L548" s="5" t="str">
        <f>IF(ISNUMBER(Raw_Data!G548),"Numeric","Not Numeric")</f>
        <v>Numeric</v>
      </c>
    </row>
    <row r="549" spans="1:12" x14ac:dyDescent="0.25">
      <c r="A549" s="4" t="str">
        <f>Raw_Data!A549</f>
        <v>TX</v>
      </c>
      <c r="B549" s="1" t="b">
        <f>Raw_Data!T549</f>
        <v>0</v>
      </c>
      <c r="C549" s="1" t="str">
        <f t="shared" si="8"/>
        <v>Retained</v>
      </c>
      <c r="D549" s="1" t="str">
        <f>IF(Raw_Data!S549=0,"Low Contact",IF(Raw_Data!S549&lt;=2,"Normal Contact","High Contact"))</f>
        <v>Low Contact</v>
      </c>
      <c r="E549" s="1" t="str">
        <f>IF(AND(Raw_Data!G549&gt;200,Raw_Data!H549&gt;100),"High Usage","Normal Usage")</f>
        <v>High Usage</v>
      </c>
      <c r="F549" s="1" t="str" cm="1">
        <f t="array" ref="F549">_xlfn.IFS(B549=TRUE,"High Risk",AND(Raw_Data!S549&gt;=3,Raw_Data!G549&gt;200),"High Risk",Raw_Data!S549&gt;=2,"Medium Risk",TRUE,"Low Risk")</f>
        <v>Low Risk</v>
      </c>
      <c r="G549" s="1" t="str">
        <f>IF(OR(Raw_Data!D549="Yes",Raw_Data!E549="Yes"),"Has Plan","No Special Plan")</f>
        <v>No Special Plan</v>
      </c>
      <c r="H549" s="1" t="str">
        <f>IF(NOT(Raw_Data!S549&gt;=3),"Normal Service Contact","Frequent Service Contact")</f>
        <v>Normal Service Contact</v>
      </c>
      <c r="I549" s="1" t="str" cm="1">
        <f t="array" ref="I549">_xlfn.SWITCH(Raw_Data!D549,"Yes","International Customer","No","Domestic Plan","Unknown")</f>
        <v>Domestic Plan</v>
      </c>
      <c r="J549" s="1" t="str">
        <f>IF(ISERROR(Raw_Data!G549/0),"Error","Valid")</f>
        <v>Error</v>
      </c>
      <c r="K549" s="1" t="str">
        <f>IF(ISBLANK(Raw_Data!A549),"Missing","Available")</f>
        <v>Available</v>
      </c>
      <c r="L549" s="5" t="str">
        <f>IF(ISNUMBER(Raw_Data!G549),"Numeric","Not Numeric")</f>
        <v>Numeric</v>
      </c>
    </row>
    <row r="550" spans="1:12" x14ac:dyDescent="0.25">
      <c r="A550" s="4" t="str">
        <f>Raw_Data!A550</f>
        <v>RI</v>
      </c>
      <c r="B550" s="1" t="b">
        <f>Raw_Data!T550</f>
        <v>0</v>
      </c>
      <c r="C550" s="1" t="str">
        <f t="shared" si="8"/>
        <v>Retained</v>
      </c>
      <c r="D550" s="1" t="str">
        <f>IF(Raw_Data!S550=0,"Low Contact",IF(Raw_Data!S550&lt;=2,"Normal Contact","High Contact"))</f>
        <v>Low Contact</v>
      </c>
      <c r="E550" s="1" t="str">
        <f>IF(AND(Raw_Data!G550&gt;200,Raw_Data!H550&gt;100),"High Usage","Normal Usage")</f>
        <v>Normal Usage</v>
      </c>
      <c r="F550" s="1" t="str" cm="1">
        <f t="array" ref="F550">_xlfn.IFS(B550=TRUE,"High Risk",AND(Raw_Data!S550&gt;=3,Raw_Data!G550&gt;200),"High Risk",Raw_Data!S550&gt;=2,"Medium Risk",TRUE,"Low Risk")</f>
        <v>Low Risk</v>
      </c>
      <c r="G550" s="1" t="str">
        <f>IF(OR(Raw_Data!D550="Yes",Raw_Data!E550="Yes"),"Has Plan","No Special Plan")</f>
        <v>Has Plan</v>
      </c>
      <c r="H550" s="1" t="str">
        <f>IF(NOT(Raw_Data!S550&gt;=3),"Normal Service Contact","Frequent Service Contact")</f>
        <v>Normal Service Contact</v>
      </c>
      <c r="I550" s="1" t="str" cm="1">
        <f t="array" ref="I550">_xlfn.SWITCH(Raw_Data!D550,"Yes","International Customer","No","Domestic Plan","Unknown")</f>
        <v>International Customer</v>
      </c>
      <c r="J550" s="1" t="str">
        <f>IF(ISERROR(Raw_Data!G550/0),"Error","Valid")</f>
        <v>Error</v>
      </c>
      <c r="K550" s="1" t="str">
        <f>IF(ISBLANK(Raw_Data!A550),"Missing","Available")</f>
        <v>Available</v>
      </c>
      <c r="L550" s="5" t="str">
        <f>IF(ISNUMBER(Raw_Data!G550),"Numeric","Not Numeric")</f>
        <v>Numeric</v>
      </c>
    </row>
    <row r="551" spans="1:12" x14ac:dyDescent="0.25">
      <c r="A551" s="4" t="str">
        <f>Raw_Data!A551</f>
        <v>OR</v>
      </c>
      <c r="B551" s="1" t="b">
        <f>Raw_Data!T551</f>
        <v>1</v>
      </c>
      <c r="C551" s="1" t="str">
        <f t="shared" si="8"/>
        <v>Churned</v>
      </c>
      <c r="D551" s="1" t="str">
        <f>IF(Raw_Data!S551=0,"Low Contact",IF(Raw_Data!S551&lt;=2,"Normal Contact","High Contact"))</f>
        <v>Low Contact</v>
      </c>
      <c r="E551" s="1" t="str">
        <f>IF(AND(Raw_Data!G551&gt;200,Raw_Data!H551&gt;100),"High Usage","Normal Usage")</f>
        <v>Normal Usage</v>
      </c>
      <c r="F551" s="1" t="str" cm="1">
        <f t="array" ref="F551">_xlfn.IFS(B551=TRUE,"High Risk",AND(Raw_Data!S551&gt;=3,Raw_Data!G551&gt;200),"High Risk",Raw_Data!S551&gt;=2,"Medium Risk",TRUE,"Low Risk")</f>
        <v>High Risk</v>
      </c>
      <c r="G551" s="1" t="str">
        <f>IF(OR(Raw_Data!D551="Yes",Raw_Data!E551="Yes"),"Has Plan","No Special Plan")</f>
        <v>No Special Plan</v>
      </c>
      <c r="H551" s="1" t="str">
        <f>IF(NOT(Raw_Data!S551&gt;=3),"Normal Service Contact","Frequent Service Contact")</f>
        <v>Normal Service Contact</v>
      </c>
      <c r="I551" s="1" t="str" cm="1">
        <f t="array" ref="I551">_xlfn.SWITCH(Raw_Data!D551,"Yes","International Customer","No","Domestic Plan","Unknown")</f>
        <v>Domestic Plan</v>
      </c>
      <c r="J551" s="1" t="str">
        <f>IF(ISERROR(Raw_Data!G551/0),"Error","Valid")</f>
        <v>Error</v>
      </c>
      <c r="K551" s="1" t="str">
        <f>IF(ISBLANK(Raw_Data!A551),"Missing","Available")</f>
        <v>Available</v>
      </c>
      <c r="L551" s="5" t="str">
        <f>IF(ISNUMBER(Raw_Data!G551),"Numeric","Not Numeric")</f>
        <v>Numeric</v>
      </c>
    </row>
    <row r="552" spans="1:12" x14ac:dyDescent="0.25">
      <c r="A552" s="4" t="str">
        <f>Raw_Data!A552</f>
        <v>NC</v>
      </c>
      <c r="B552" s="1" t="b">
        <f>Raw_Data!T552</f>
        <v>0</v>
      </c>
      <c r="C552" s="1" t="str">
        <f t="shared" si="8"/>
        <v>Retained</v>
      </c>
      <c r="D552" s="1" t="str">
        <f>IF(Raw_Data!S552=0,"Low Contact",IF(Raw_Data!S552&lt;=2,"Normal Contact","High Contact"))</f>
        <v>Normal Contact</v>
      </c>
      <c r="E552" s="1" t="str">
        <f>IF(AND(Raw_Data!G552&gt;200,Raw_Data!H552&gt;100),"High Usage","Normal Usage")</f>
        <v>Normal Usage</v>
      </c>
      <c r="F552" s="1" t="str" cm="1">
        <f t="array" ref="F552">_xlfn.IFS(B552=TRUE,"High Risk",AND(Raw_Data!S552&gt;=3,Raw_Data!G552&gt;200),"High Risk",Raw_Data!S552&gt;=2,"Medium Risk",TRUE,"Low Risk")</f>
        <v>Low Risk</v>
      </c>
      <c r="G552" s="1" t="str">
        <f>IF(OR(Raw_Data!D552="Yes",Raw_Data!E552="Yes"),"Has Plan","No Special Plan")</f>
        <v>No Special Plan</v>
      </c>
      <c r="H552" s="1" t="str">
        <f>IF(NOT(Raw_Data!S552&gt;=3),"Normal Service Contact","Frequent Service Contact")</f>
        <v>Normal Service Contact</v>
      </c>
      <c r="I552" s="1" t="str" cm="1">
        <f t="array" ref="I552">_xlfn.SWITCH(Raw_Data!D552,"Yes","International Customer","No","Domestic Plan","Unknown")</f>
        <v>Domestic Plan</v>
      </c>
      <c r="J552" s="1" t="str">
        <f>IF(ISERROR(Raw_Data!G552/0),"Error","Valid")</f>
        <v>Error</v>
      </c>
      <c r="K552" s="1" t="str">
        <f>IF(ISBLANK(Raw_Data!A552),"Missing","Available")</f>
        <v>Available</v>
      </c>
      <c r="L552" s="5" t="str">
        <f>IF(ISNUMBER(Raw_Data!G552),"Numeric","Not Numeric")</f>
        <v>Numeric</v>
      </c>
    </row>
    <row r="553" spans="1:12" x14ac:dyDescent="0.25">
      <c r="A553" s="4" t="str">
        <f>Raw_Data!A553</f>
        <v>NM</v>
      </c>
      <c r="B553" s="1" t="b">
        <f>Raw_Data!T553</f>
        <v>0</v>
      </c>
      <c r="C553" s="1" t="str">
        <f t="shared" si="8"/>
        <v>Retained</v>
      </c>
      <c r="D553" s="1" t="str">
        <f>IF(Raw_Data!S553=0,"Low Contact",IF(Raw_Data!S553&lt;=2,"Normal Contact","High Contact"))</f>
        <v>Normal Contact</v>
      </c>
      <c r="E553" s="1" t="str">
        <f>IF(AND(Raw_Data!G553&gt;200,Raw_Data!H553&gt;100),"High Usage","Normal Usage")</f>
        <v>Normal Usage</v>
      </c>
      <c r="F553" s="1" t="str" cm="1">
        <f t="array" ref="F553">_xlfn.IFS(B553=TRUE,"High Risk",AND(Raw_Data!S553&gt;=3,Raw_Data!G553&gt;200),"High Risk",Raw_Data!S553&gt;=2,"Medium Risk",TRUE,"Low Risk")</f>
        <v>Medium Risk</v>
      </c>
      <c r="G553" s="1" t="str">
        <f>IF(OR(Raw_Data!D553="Yes",Raw_Data!E553="Yes"),"Has Plan","No Special Plan")</f>
        <v>Has Plan</v>
      </c>
      <c r="H553" s="1" t="str">
        <f>IF(NOT(Raw_Data!S553&gt;=3),"Normal Service Contact","Frequent Service Contact")</f>
        <v>Normal Service Contact</v>
      </c>
      <c r="I553" s="1" t="str" cm="1">
        <f t="array" ref="I553">_xlfn.SWITCH(Raw_Data!D553,"Yes","International Customer","No","Domestic Plan","Unknown")</f>
        <v>Domestic Plan</v>
      </c>
      <c r="J553" s="1" t="str">
        <f>IF(ISERROR(Raw_Data!G553/0),"Error","Valid")</f>
        <v>Error</v>
      </c>
      <c r="K553" s="1" t="str">
        <f>IF(ISBLANK(Raw_Data!A553),"Missing","Available")</f>
        <v>Available</v>
      </c>
      <c r="L553" s="5" t="str">
        <f>IF(ISNUMBER(Raw_Data!G553),"Numeric","Not Numeric")</f>
        <v>Numeric</v>
      </c>
    </row>
    <row r="554" spans="1:12" x14ac:dyDescent="0.25">
      <c r="A554" s="4" t="str">
        <f>Raw_Data!A554</f>
        <v>SC</v>
      </c>
      <c r="B554" s="1" t="b">
        <f>Raw_Data!T554</f>
        <v>1</v>
      </c>
      <c r="C554" s="1" t="str">
        <f t="shared" si="8"/>
        <v>Churned</v>
      </c>
      <c r="D554" s="1" t="str">
        <f>IF(Raw_Data!S554=0,"Low Contact",IF(Raw_Data!S554&lt;=2,"Normal Contact","High Contact"))</f>
        <v>Normal Contact</v>
      </c>
      <c r="E554" s="1" t="str">
        <f>IF(AND(Raw_Data!G554&gt;200,Raw_Data!H554&gt;100),"High Usage","Normal Usage")</f>
        <v>Normal Usage</v>
      </c>
      <c r="F554" s="1" t="str" cm="1">
        <f t="array" ref="F554">_xlfn.IFS(B554=TRUE,"High Risk",AND(Raw_Data!S554&gt;=3,Raw_Data!G554&gt;200),"High Risk",Raw_Data!S554&gt;=2,"Medium Risk",TRUE,"Low Risk")</f>
        <v>High Risk</v>
      </c>
      <c r="G554" s="1" t="str">
        <f>IF(OR(Raw_Data!D554="Yes",Raw_Data!E554="Yes"),"Has Plan","No Special Plan")</f>
        <v>No Special Plan</v>
      </c>
      <c r="H554" s="1" t="str">
        <f>IF(NOT(Raw_Data!S554&gt;=3),"Normal Service Contact","Frequent Service Contact")</f>
        <v>Normal Service Contact</v>
      </c>
      <c r="I554" s="1" t="str" cm="1">
        <f t="array" ref="I554">_xlfn.SWITCH(Raw_Data!D554,"Yes","International Customer","No","Domestic Plan","Unknown")</f>
        <v>Domestic Plan</v>
      </c>
      <c r="J554" s="1" t="str">
        <f>IF(ISERROR(Raw_Data!G554/0),"Error","Valid")</f>
        <v>Error</v>
      </c>
      <c r="K554" s="1" t="str">
        <f>IF(ISBLANK(Raw_Data!A554),"Missing","Available")</f>
        <v>Available</v>
      </c>
      <c r="L554" s="5" t="str">
        <f>IF(ISNUMBER(Raw_Data!G554),"Numeric","Not Numeric")</f>
        <v>Numeric</v>
      </c>
    </row>
    <row r="555" spans="1:12" x14ac:dyDescent="0.25">
      <c r="A555" s="4" t="str">
        <f>Raw_Data!A555</f>
        <v>AZ</v>
      </c>
      <c r="B555" s="1" t="b">
        <f>Raw_Data!T555</f>
        <v>0</v>
      </c>
      <c r="C555" s="1" t="str">
        <f t="shared" si="8"/>
        <v>Retained</v>
      </c>
      <c r="D555" s="1" t="str">
        <f>IF(Raw_Data!S555=0,"Low Contact",IF(Raw_Data!S555&lt;=2,"Normal Contact","High Contact"))</f>
        <v>Low Contact</v>
      </c>
      <c r="E555" s="1" t="str">
        <f>IF(AND(Raw_Data!G555&gt;200,Raw_Data!H555&gt;100),"High Usage","Normal Usage")</f>
        <v>Normal Usage</v>
      </c>
      <c r="F555" s="1" t="str" cm="1">
        <f t="array" ref="F555">_xlfn.IFS(B555=TRUE,"High Risk",AND(Raw_Data!S555&gt;=3,Raw_Data!G555&gt;200),"High Risk",Raw_Data!S555&gt;=2,"Medium Risk",TRUE,"Low Risk")</f>
        <v>Low Risk</v>
      </c>
      <c r="G555" s="1" t="str">
        <f>IF(OR(Raw_Data!D555="Yes",Raw_Data!E555="Yes"),"Has Plan","No Special Plan")</f>
        <v>No Special Plan</v>
      </c>
      <c r="H555" s="1" t="str">
        <f>IF(NOT(Raw_Data!S555&gt;=3),"Normal Service Contact","Frequent Service Contact")</f>
        <v>Normal Service Contact</v>
      </c>
      <c r="I555" s="1" t="str" cm="1">
        <f t="array" ref="I555">_xlfn.SWITCH(Raw_Data!D555,"Yes","International Customer","No","Domestic Plan","Unknown")</f>
        <v>Domestic Plan</v>
      </c>
      <c r="J555" s="1" t="str">
        <f>IF(ISERROR(Raw_Data!G555/0),"Error","Valid")</f>
        <v>Error</v>
      </c>
      <c r="K555" s="1" t="str">
        <f>IF(ISBLANK(Raw_Data!A555),"Missing","Available")</f>
        <v>Available</v>
      </c>
      <c r="L555" s="5" t="str">
        <f>IF(ISNUMBER(Raw_Data!G555),"Numeric","Not Numeric")</f>
        <v>Numeric</v>
      </c>
    </row>
    <row r="556" spans="1:12" x14ac:dyDescent="0.25">
      <c r="A556" s="4" t="str">
        <f>Raw_Data!A556</f>
        <v>WV</v>
      </c>
      <c r="B556" s="1" t="b">
        <f>Raw_Data!T556</f>
        <v>0</v>
      </c>
      <c r="C556" s="1" t="str">
        <f t="shared" si="8"/>
        <v>Retained</v>
      </c>
      <c r="D556" s="1" t="str">
        <f>IF(Raw_Data!S556=0,"Low Contact",IF(Raw_Data!S556&lt;=2,"Normal Contact","High Contact"))</f>
        <v>Normal Contact</v>
      </c>
      <c r="E556" s="1" t="str">
        <f>IF(AND(Raw_Data!G556&gt;200,Raw_Data!H556&gt;100),"High Usage","Normal Usage")</f>
        <v>High Usage</v>
      </c>
      <c r="F556" s="1" t="str" cm="1">
        <f t="array" ref="F556">_xlfn.IFS(B556=TRUE,"High Risk",AND(Raw_Data!S556&gt;=3,Raw_Data!G556&gt;200),"High Risk",Raw_Data!S556&gt;=2,"Medium Risk",TRUE,"Low Risk")</f>
        <v>Low Risk</v>
      </c>
      <c r="G556" s="1" t="str">
        <f>IF(OR(Raw_Data!D556="Yes",Raw_Data!E556="Yes"),"Has Plan","No Special Plan")</f>
        <v>No Special Plan</v>
      </c>
      <c r="H556" s="1" t="str">
        <f>IF(NOT(Raw_Data!S556&gt;=3),"Normal Service Contact","Frequent Service Contact")</f>
        <v>Normal Service Contact</v>
      </c>
      <c r="I556" s="1" t="str" cm="1">
        <f t="array" ref="I556">_xlfn.SWITCH(Raw_Data!D556,"Yes","International Customer","No","Domestic Plan","Unknown")</f>
        <v>Domestic Plan</v>
      </c>
      <c r="J556" s="1" t="str">
        <f>IF(ISERROR(Raw_Data!G556/0),"Error","Valid")</f>
        <v>Error</v>
      </c>
      <c r="K556" s="1" t="str">
        <f>IF(ISBLANK(Raw_Data!A556),"Missing","Available")</f>
        <v>Available</v>
      </c>
      <c r="L556" s="5" t="str">
        <f>IF(ISNUMBER(Raw_Data!G556),"Numeric","Not Numeric")</f>
        <v>Numeric</v>
      </c>
    </row>
    <row r="557" spans="1:12" x14ac:dyDescent="0.25">
      <c r="A557" s="4" t="str">
        <f>Raw_Data!A557</f>
        <v>NY</v>
      </c>
      <c r="B557" s="1" t="b">
        <f>Raw_Data!T557</f>
        <v>0</v>
      </c>
      <c r="C557" s="1" t="str">
        <f t="shared" si="8"/>
        <v>Retained</v>
      </c>
      <c r="D557" s="1" t="str">
        <f>IF(Raw_Data!S557=0,"Low Contact",IF(Raw_Data!S557&lt;=2,"Normal Contact","High Contact"))</f>
        <v>Normal Contact</v>
      </c>
      <c r="E557" s="1" t="str">
        <f>IF(AND(Raw_Data!G557&gt;200,Raw_Data!H557&gt;100),"High Usage","Normal Usage")</f>
        <v>Normal Usage</v>
      </c>
      <c r="F557" s="1" t="str" cm="1">
        <f t="array" ref="F557">_xlfn.IFS(B557=TRUE,"High Risk",AND(Raw_Data!S557&gt;=3,Raw_Data!G557&gt;200),"High Risk",Raw_Data!S557&gt;=2,"Medium Risk",TRUE,"Low Risk")</f>
        <v>Low Risk</v>
      </c>
      <c r="G557" s="1" t="str">
        <f>IF(OR(Raw_Data!D557="Yes",Raw_Data!E557="Yes"),"Has Plan","No Special Plan")</f>
        <v>No Special Plan</v>
      </c>
      <c r="H557" s="1" t="str">
        <f>IF(NOT(Raw_Data!S557&gt;=3),"Normal Service Contact","Frequent Service Contact")</f>
        <v>Normal Service Contact</v>
      </c>
      <c r="I557" s="1" t="str" cm="1">
        <f t="array" ref="I557">_xlfn.SWITCH(Raw_Data!D557,"Yes","International Customer","No","Domestic Plan","Unknown")</f>
        <v>Domestic Plan</v>
      </c>
      <c r="J557" s="1" t="str">
        <f>IF(ISERROR(Raw_Data!G557/0),"Error","Valid")</f>
        <v>Error</v>
      </c>
      <c r="K557" s="1" t="str">
        <f>IF(ISBLANK(Raw_Data!A557),"Missing","Available")</f>
        <v>Available</v>
      </c>
      <c r="L557" s="5" t="str">
        <f>IF(ISNUMBER(Raw_Data!G557),"Numeric","Not Numeric")</f>
        <v>Numeric</v>
      </c>
    </row>
    <row r="558" spans="1:12" x14ac:dyDescent="0.25">
      <c r="A558" s="4" t="str">
        <f>Raw_Data!A558</f>
        <v>WV</v>
      </c>
      <c r="B558" s="1" t="b">
        <f>Raw_Data!T558</f>
        <v>0</v>
      </c>
      <c r="C558" s="1" t="str">
        <f t="shared" si="8"/>
        <v>Retained</v>
      </c>
      <c r="D558" s="1" t="str">
        <f>IF(Raw_Data!S558=0,"Low Contact",IF(Raw_Data!S558&lt;=2,"Normal Contact","High Contact"))</f>
        <v>Low Contact</v>
      </c>
      <c r="E558" s="1" t="str">
        <f>IF(AND(Raw_Data!G558&gt;200,Raw_Data!H558&gt;100),"High Usage","Normal Usage")</f>
        <v>Normal Usage</v>
      </c>
      <c r="F558" s="1" t="str" cm="1">
        <f t="array" ref="F558">_xlfn.IFS(B558=TRUE,"High Risk",AND(Raw_Data!S558&gt;=3,Raw_Data!G558&gt;200),"High Risk",Raw_Data!S558&gt;=2,"Medium Risk",TRUE,"Low Risk")</f>
        <v>Low Risk</v>
      </c>
      <c r="G558" s="1" t="str">
        <f>IF(OR(Raw_Data!D558="Yes",Raw_Data!E558="Yes"),"Has Plan","No Special Plan")</f>
        <v>No Special Plan</v>
      </c>
      <c r="H558" s="1" t="str">
        <f>IF(NOT(Raw_Data!S558&gt;=3),"Normal Service Contact","Frequent Service Contact")</f>
        <v>Normal Service Contact</v>
      </c>
      <c r="I558" s="1" t="str" cm="1">
        <f t="array" ref="I558">_xlfn.SWITCH(Raw_Data!D558,"Yes","International Customer","No","Domestic Plan","Unknown")</f>
        <v>Domestic Plan</v>
      </c>
      <c r="J558" s="1" t="str">
        <f>IF(ISERROR(Raw_Data!G558/0),"Error","Valid")</f>
        <v>Error</v>
      </c>
      <c r="K558" s="1" t="str">
        <f>IF(ISBLANK(Raw_Data!A558),"Missing","Available")</f>
        <v>Available</v>
      </c>
      <c r="L558" s="5" t="str">
        <f>IF(ISNUMBER(Raw_Data!G558),"Numeric","Not Numeric")</f>
        <v>Numeric</v>
      </c>
    </row>
    <row r="559" spans="1:12" x14ac:dyDescent="0.25">
      <c r="A559" s="4" t="str">
        <f>Raw_Data!A559</f>
        <v>NM</v>
      </c>
      <c r="B559" s="1" t="b">
        <f>Raw_Data!T559</f>
        <v>0</v>
      </c>
      <c r="C559" s="1" t="str">
        <f t="shared" si="8"/>
        <v>Retained</v>
      </c>
      <c r="D559" s="1" t="str">
        <f>IF(Raw_Data!S559=0,"Low Contact",IF(Raw_Data!S559&lt;=2,"Normal Contact","High Contact"))</f>
        <v>Normal Contact</v>
      </c>
      <c r="E559" s="1" t="str">
        <f>IF(AND(Raw_Data!G559&gt;200,Raw_Data!H559&gt;100),"High Usage","Normal Usage")</f>
        <v>Normal Usage</v>
      </c>
      <c r="F559" s="1" t="str" cm="1">
        <f t="array" ref="F559">_xlfn.IFS(B559=TRUE,"High Risk",AND(Raw_Data!S559&gt;=3,Raw_Data!G559&gt;200),"High Risk",Raw_Data!S559&gt;=2,"Medium Risk",TRUE,"Low Risk")</f>
        <v>Medium Risk</v>
      </c>
      <c r="G559" s="1" t="str">
        <f>IF(OR(Raw_Data!D559="Yes",Raw_Data!E559="Yes"),"Has Plan","No Special Plan")</f>
        <v>No Special Plan</v>
      </c>
      <c r="H559" s="1" t="str">
        <f>IF(NOT(Raw_Data!S559&gt;=3),"Normal Service Contact","Frequent Service Contact")</f>
        <v>Normal Service Contact</v>
      </c>
      <c r="I559" s="1" t="str" cm="1">
        <f t="array" ref="I559">_xlfn.SWITCH(Raw_Data!D559,"Yes","International Customer","No","Domestic Plan","Unknown")</f>
        <v>Domestic Plan</v>
      </c>
      <c r="J559" s="1" t="str">
        <f>IF(ISERROR(Raw_Data!G559/0),"Error","Valid")</f>
        <v>Error</v>
      </c>
      <c r="K559" s="1" t="str">
        <f>IF(ISBLANK(Raw_Data!A559),"Missing","Available")</f>
        <v>Available</v>
      </c>
      <c r="L559" s="5" t="str">
        <f>IF(ISNUMBER(Raw_Data!G559),"Numeric","Not Numeric")</f>
        <v>Numeric</v>
      </c>
    </row>
    <row r="560" spans="1:12" x14ac:dyDescent="0.25">
      <c r="A560" s="4" t="str">
        <f>Raw_Data!A560</f>
        <v>ME</v>
      </c>
      <c r="B560" s="1" t="b">
        <f>Raw_Data!T560</f>
        <v>0</v>
      </c>
      <c r="C560" s="1" t="str">
        <f t="shared" si="8"/>
        <v>Retained</v>
      </c>
      <c r="D560" s="1" t="str">
        <f>IF(Raw_Data!S560=0,"Low Contact",IF(Raw_Data!S560&lt;=2,"Normal Contact","High Contact"))</f>
        <v>High Contact</v>
      </c>
      <c r="E560" s="1" t="str">
        <f>IF(AND(Raw_Data!G560&gt;200,Raw_Data!H560&gt;100),"High Usage","Normal Usage")</f>
        <v>High Usage</v>
      </c>
      <c r="F560" s="1" t="str" cm="1">
        <f t="array" ref="F560">_xlfn.IFS(B560=TRUE,"High Risk",AND(Raw_Data!S560&gt;=3,Raw_Data!G560&gt;200),"High Risk",Raw_Data!S560&gt;=2,"Medium Risk",TRUE,"Low Risk")</f>
        <v>High Risk</v>
      </c>
      <c r="G560" s="1" t="str">
        <f>IF(OR(Raw_Data!D560="Yes",Raw_Data!E560="Yes"),"Has Plan","No Special Plan")</f>
        <v>No Special Plan</v>
      </c>
      <c r="H560" s="1" t="str">
        <f>IF(NOT(Raw_Data!S560&gt;=3),"Normal Service Contact","Frequent Service Contact")</f>
        <v>Frequent Service Contact</v>
      </c>
      <c r="I560" s="1" t="str" cm="1">
        <f t="array" ref="I560">_xlfn.SWITCH(Raw_Data!D560,"Yes","International Customer","No","Domestic Plan","Unknown")</f>
        <v>Domestic Plan</v>
      </c>
      <c r="J560" s="1" t="str">
        <f>IF(ISERROR(Raw_Data!G560/0),"Error","Valid")</f>
        <v>Error</v>
      </c>
      <c r="K560" s="1" t="str">
        <f>IF(ISBLANK(Raw_Data!A560),"Missing","Available")</f>
        <v>Available</v>
      </c>
      <c r="L560" s="5" t="str">
        <f>IF(ISNUMBER(Raw_Data!G560),"Numeric","Not Numeric")</f>
        <v>Numeric</v>
      </c>
    </row>
    <row r="561" spans="1:12" x14ac:dyDescent="0.25">
      <c r="A561" s="4" t="str">
        <f>Raw_Data!A561</f>
        <v>WI</v>
      </c>
      <c r="B561" s="1" t="b">
        <f>Raw_Data!T561</f>
        <v>0</v>
      </c>
      <c r="C561" s="1" t="str">
        <f t="shared" si="8"/>
        <v>Retained</v>
      </c>
      <c r="D561" s="1" t="str">
        <f>IF(Raw_Data!S561=0,"Low Contact",IF(Raw_Data!S561&lt;=2,"Normal Contact","High Contact"))</f>
        <v>Normal Contact</v>
      </c>
      <c r="E561" s="1" t="str">
        <f>IF(AND(Raw_Data!G561&gt;200,Raw_Data!H561&gt;100),"High Usage","Normal Usage")</f>
        <v>Normal Usage</v>
      </c>
      <c r="F561" s="1" t="str" cm="1">
        <f t="array" ref="F561">_xlfn.IFS(B561=TRUE,"High Risk",AND(Raw_Data!S561&gt;=3,Raw_Data!G561&gt;200),"High Risk",Raw_Data!S561&gt;=2,"Medium Risk",TRUE,"Low Risk")</f>
        <v>Low Risk</v>
      </c>
      <c r="G561" s="1" t="str">
        <f>IF(OR(Raw_Data!D561="Yes",Raw_Data!E561="Yes"),"Has Plan","No Special Plan")</f>
        <v>No Special Plan</v>
      </c>
      <c r="H561" s="1" t="str">
        <f>IF(NOT(Raw_Data!S561&gt;=3),"Normal Service Contact","Frequent Service Contact")</f>
        <v>Normal Service Contact</v>
      </c>
      <c r="I561" s="1" t="str" cm="1">
        <f t="array" ref="I561">_xlfn.SWITCH(Raw_Data!D561,"Yes","International Customer","No","Domestic Plan","Unknown")</f>
        <v>Domestic Plan</v>
      </c>
      <c r="J561" s="1" t="str">
        <f>IF(ISERROR(Raw_Data!G561/0),"Error","Valid")</f>
        <v>Error</v>
      </c>
      <c r="K561" s="1" t="str">
        <f>IF(ISBLANK(Raw_Data!A561),"Missing","Available")</f>
        <v>Available</v>
      </c>
      <c r="L561" s="5" t="str">
        <f>IF(ISNUMBER(Raw_Data!G561),"Numeric","Not Numeric")</f>
        <v>Numeric</v>
      </c>
    </row>
    <row r="562" spans="1:12" x14ac:dyDescent="0.25">
      <c r="A562" s="4" t="str">
        <f>Raw_Data!A562</f>
        <v>NJ</v>
      </c>
      <c r="B562" s="1" t="b">
        <f>Raw_Data!T562</f>
        <v>0</v>
      </c>
      <c r="C562" s="1" t="str">
        <f t="shared" si="8"/>
        <v>Retained</v>
      </c>
      <c r="D562" s="1" t="str">
        <f>IF(Raw_Data!S562=0,"Low Contact",IF(Raw_Data!S562&lt;=2,"Normal Contact","High Contact"))</f>
        <v>Normal Contact</v>
      </c>
      <c r="E562" s="1" t="str">
        <f>IF(AND(Raw_Data!G562&gt;200,Raw_Data!H562&gt;100),"High Usage","Normal Usage")</f>
        <v>Normal Usage</v>
      </c>
      <c r="F562" s="1" t="str" cm="1">
        <f t="array" ref="F562">_xlfn.IFS(B562=TRUE,"High Risk",AND(Raw_Data!S562&gt;=3,Raw_Data!G562&gt;200),"High Risk",Raw_Data!S562&gt;=2,"Medium Risk",TRUE,"Low Risk")</f>
        <v>Medium Risk</v>
      </c>
      <c r="G562" s="1" t="str">
        <f>IF(OR(Raw_Data!D562="Yes",Raw_Data!E562="Yes"),"Has Plan","No Special Plan")</f>
        <v>No Special Plan</v>
      </c>
      <c r="H562" s="1" t="str">
        <f>IF(NOT(Raw_Data!S562&gt;=3),"Normal Service Contact","Frequent Service Contact")</f>
        <v>Normal Service Contact</v>
      </c>
      <c r="I562" s="1" t="str" cm="1">
        <f t="array" ref="I562">_xlfn.SWITCH(Raw_Data!D562,"Yes","International Customer","No","Domestic Plan","Unknown")</f>
        <v>Domestic Plan</v>
      </c>
      <c r="J562" s="1" t="str">
        <f>IF(ISERROR(Raw_Data!G562/0),"Error","Valid")</f>
        <v>Error</v>
      </c>
      <c r="K562" s="1" t="str">
        <f>IF(ISBLANK(Raw_Data!A562),"Missing","Available")</f>
        <v>Available</v>
      </c>
      <c r="L562" s="5" t="str">
        <f>IF(ISNUMBER(Raw_Data!G562),"Numeric","Not Numeric")</f>
        <v>Numeric</v>
      </c>
    </row>
    <row r="563" spans="1:12" x14ac:dyDescent="0.25">
      <c r="A563" s="4" t="str">
        <f>Raw_Data!A563</f>
        <v>WY</v>
      </c>
      <c r="B563" s="1" t="b">
        <f>Raw_Data!T563</f>
        <v>1</v>
      </c>
      <c r="C563" s="1" t="str">
        <f t="shared" si="8"/>
        <v>Churned</v>
      </c>
      <c r="D563" s="1" t="str">
        <f>IF(Raw_Data!S563=0,"Low Contact",IF(Raw_Data!S563&lt;=2,"Normal Contact","High Contact"))</f>
        <v>Low Contact</v>
      </c>
      <c r="E563" s="1" t="str">
        <f>IF(AND(Raw_Data!G563&gt;200,Raw_Data!H563&gt;100),"High Usage","Normal Usage")</f>
        <v>Normal Usage</v>
      </c>
      <c r="F563" s="1" t="str" cm="1">
        <f t="array" ref="F563">_xlfn.IFS(B563=TRUE,"High Risk",AND(Raw_Data!S563&gt;=3,Raw_Data!G563&gt;200),"High Risk",Raw_Data!S563&gt;=2,"Medium Risk",TRUE,"Low Risk")</f>
        <v>High Risk</v>
      </c>
      <c r="G563" s="1" t="str">
        <f>IF(OR(Raw_Data!D563="Yes",Raw_Data!E563="Yes"),"Has Plan","No Special Plan")</f>
        <v>No Special Plan</v>
      </c>
      <c r="H563" s="1" t="str">
        <f>IF(NOT(Raw_Data!S563&gt;=3),"Normal Service Contact","Frequent Service Contact")</f>
        <v>Normal Service Contact</v>
      </c>
      <c r="I563" s="1" t="str" cm="1">
        <f t="array" ref="I563">_xlfn.SWITCH(Raw_Data!D563,"Yes","International Customer","No","Domestic Plan","Unknown")</f>
        <v>Domestic Plan</v>
      </c>
      <c r="J563" s="1" t="str">
        <f>IF(ISERROR(Raw_Data!G563/0),"Error","Valid")</f>
        <v>Error</v>
      </c>
      <c r="K563" s="1" t="str">
        <f>IF(ISBLANK(Raw_Data!A563),"Missing","Available")</f>
        <v>Available</v>
      </c>
      <c r="L563" s="5" t="str">
        <f>IF(ISNUMBER(Raw_Data!G563),"Numeric","Not Numeric")</f>
        <v>Numeric</v>
      </c>
    </row>
    <row r="564" spans="1:12" x14ac:dyDescent="0.25">
      <c r="A564" s="4" t="str">
        <f>Raw_Data!A564</f>
        <v>AR</v>
      </c>
      <c r="B564" s="1" t="b">
        <f>Raw_Data!T564</f>
        <v>0</v>
      </c>
      <c r="C564" s="1" t="str">
        <f t="shared" si="8"/>
        <v>Retained</v>
      </c>
      <c r="D564" s="1" t="str">
        <f>IF(Raw_Data!S564=0,"Low Contact",IF(Raw_Data!S564&lt;=2,"Normal Contact","High Contact"))</f>
        <v>Low Contact</v>
      </c>
      <c r="E564" s="1" t="str">
        <f>IF(AND(Raw_Data!G564&gt;200,Raw_Data!H564&gt;100),"High Usage","Normal Usage")</f>
        <v>Normal Usage</v>
      </c>
      <c r="F564" s="1" t="str" cm="1">
        <f t="array" ref="F564">_xlfn.IFS(B564=TRUE,"High Risk",AND(Raw_Data!S564&gt;=3,Raw_Data!G564&gt;200),"High Risk",Raw_Data!S564&gt;=2,"Medium Risk",TRUE,"Low Risk")</f>
        <v>Low Risk</v>
      </c>
      <c r="G564" s="1" t="str">
        <f>IF(OR(Raw_Data!D564="Yes",Raw_Data!E564="Yes"),"Has Plan","No Special Plan")</f>
        <v>Has Plan</v>
      </c>
      <c r="H564" s="1" t="str">
        <f>IF(NOT(Raw_Data!S564&gt;=3),"Normal Service Contact","Frequent Service Contact")</f>
        <v>Normal Service Contact</v>
      </c>
      <c r="I564" s="1" t="str" cm="1">
        <f t="array" ref="I564">_xlfn.SWITCH(Raw_Data!D564,"Yes","International Customer","No","Domestic Plan","Unknown")</f>
        <v>Domestic Plan</v>
      </c>
      <c r="J564" s="1" t="str">
        <f>IF(ISERROR(Raw_Data!G564/0),"Error","Valid")</f>
        <v>Error</v>
      </c>
      <c r="K564" s="1" t="str">
        <f>IF(ISBLANK(Raw_Data!A564),"Missing","Available")</f>
        <v>Available</v>
      </c>
      <c r="L564" s="5" t="str">
        <f>IF(ISNUMBER(Raw_Data!G564),"Numeric","Not Numeric")</f>
        <v>Numeric</v>
      </c>
    </row>
    <row r="565" spans="1:12" x14ac:dyDescent="0.25">
      <c r="A565" s="4" t="str">
        <f>Raw_Data!A565</f>
        <v>PA</v>
      </c>
      <c r="B565" s="1" t="b">
        <f>Raw_Data!T565</f>
        <v>0</v>
      </c>
      <c r="C565" s="1" t="str">
        <f t="shared" si="8"/>
        <v>Retained</v>
      </c>
      <c r="D565" s="1" t="str">
        <f>IF(Raw_Data!S565=0,"Low Contact",IF(Raw_Data!S565&lt;=2,"Normal Contact","High Contact"))</f>
        <v>Normal Contact</v>
      </c>
      <c r="E565" s="1" t="str">
        <f>IF(AND(Raw_Data!G565&gt;200,Raw_Data!H565&gt;100),"High Usage","Normal Usage")</f>
        <v>Normal Usage</v>
      </c>
      <c r="F565" s="1" t="str" cm="1">
        <f t="array" ref="F565">_xlfn.IFS(B565=TRUE,"High Risk",AND(Raw_Data!S565&gt;=3,Raw_Data!G565&gt;200),"High Risk",Raw_Data!S565&gt;=2,"Medium Risk",TRUE,"Low Risk")</f>
        <v>Low Risk</v>
      </c>
      <c r="G565" s="1" t="str">
        <f>IF(OR(Raw_Data!D565="Yes",Raw_Data!E565="Yes"),"Has Plan","No Special Plan")</f>
        <v>No Special Plan</v>
      </c>
      <c r="H565" s="1" t="str">
        <f>IF(NOT(Raw_Data!S565&gt;=3),"Normal Service Contact","Frequent Service Contact")</f>
        <v>Normal Service Contact</v>
      </c>
      <c r="I565" s="1" t="str" cm="1">
        <f t="array" ref="I565">_xlfn.SWITCH(Raw_Data!D565,"Yes","International Customer","No","Domestic Plan","Unknown")</f>
        <v>Domestic Plan</v>
      </c>
      <c r="J565" s="1" t="str">
        <f>IF(ISERROR(Raw_Data!G565/0),"Error","Valid")</f>
        <v>Error</v>
      </c>
      <c r="K565" s="1" t="str">
        <f>IF(ISBLANK(Raw_Data!A565),"Missing","Available")</f>
        <v>Available</v>
      </c>
      <c r="L565" s="5" t="str">
        <f>IF(ISNUMBER(Raw_Data!G565),"Numeric","Not Numeric")</f>
        <v>Numeric</v>
      </c>
    </row>
    <row r="566" spans="1:12" x14ac:dyDescent="0.25">
      <c r="A566" s="4" t="str">
        <f>Raw_Data!A566</f>
        <v>TN</v>
      </c>
      <c r="B566" s="1" t="b">
        <f>Raw_Data!T566</f>
        <v>0</v>
      </c>
      <c r="C566" s="1" t="str">
        <f t="shared" si="8"/>
        <v>Retained</v>
      </c>
      <c r="D566" s="1" t="str">
        <f>IF(Raw_Data!S566=0,"Low Contact",IF(Raw_Data!S566&lt;=2,"Normal Contact","High Contact"))</f>
        <v>Normal Contact</v>
      </c>
      <c r="E566" s="1" t="str">
        <f>IF(AND(Raw_Data!G566&gt;200,Raw_Data!H566&gt;100),"High Usage","Normal Usage")</f>
        <v>Normal Usage</v>
      </c>
      <c r="F566" s="1" t="str" cm="1">
        <f t="array" ref="F566">_xlfn.IFS(B566=TRUE,"High Risk",AND(Raw_Data!S566&gt;=3,Raw_Data!G566&gt;200),"High Risk",Raw_Data!S566&gt;=2,"Medium Risk",TRUE,"Low Risk")</f>
        <v>Low Risk</v>
      </c>
      <c r="G566" s="1" t="str">
        <f>IF(OR(Raw_Data!D566="Yes",Raw_Data!E566="Yes"),"Has Plan","No Special Plan")</f>
        <v>Has Plan</v>
      </c>
      <c r="H566" s="1" t="str">
        <f>IF(NOT(Raw_Data!S566&gt;=3),"Normal Service Contact","Frequent Service Contact")</f>
        <v>Normal Service Contact</v>
      </c>
      <c r="I566" s="1" t="str" cm="1">
        <f t="array" ref="I566">_xlfn.SWITCH(Raw_Data!D566,"Yes","International Customer","No","Domestic Plan","Unknown")</f>
        <v>Domestic Plan</v>
      </c>
      <c r="J566" s="1" t="str">
        <f>IF(ISERROR(Raw_Data!G566/0),"Error","Valid")</f>
        <v>Error</v>
      </c>
      <c r="K566" s="1" t="str">
        <f>IF(ISBLANK(Raw_Data!A566),"Missing","Available")</f>
        <v>Available</v>
      </c>
      <c r="L566" s="5" t="str">
        <f>IF(ISNUMBER(Raw_Data!G566),"Numeric","Not Numeric")</f>
        <v>Numeric</v>
      </c>
    </row>
    <row r="567" spans="1:12" x14ac:dyDescent="0.25">
      <c r="A567" s="4" t="str">
        <f>Raw_Data!A567</f>
        <v>CT</v>
      </c>
      <c r="B567" s="1" t="b">
        <f>Raw_Data!T567</f>
        <v>0</v>
      </c>
      <c r="C567" s="1" t="str">
        <f t="shared" si="8"/>
        <v>Retained</v>
      </c>
      <c r="D567" s="1" t="str">
        <f>IF(Raw_Data!S567=0,"Low Contact",IF(Raw_Data!S567&lt;=2,"Normal Contact","High Contact"))</f>
        <v>Low Contact</v>
      </c>
      <c r="E567" s="1" t="str">
        <f>IF(AND(Raw_Data!G567&gt;200,Raw_Data!H567&gt;100),"High Usage","Normal Usage")</f>
        <v>Normal Usage</v>
      </c>
      <c r="F567" s="1" t="str" cm="1">
        <f t="array" ref="F567">_xlfn.IFS(B567=TRUE,"High Risk",AND(Raw_Data!S567&gt;=3,Raw_Data!G567&gt;200),"High Risk",Raw_Data!S567&gt;=2,"Medium Risk",TRUE,"Low Risk")</f>
        <v>Low Risk</v>
      </c>
      <c r="G567" s="1" t="str">
        <f>IF(OR(Raw_Data!D567="Yes",Raw_Data!E567="Yes"),"Has Plan","No Special Plan")</f>
        <v>Has Plan</v>
      </c>
      <c r="H567" s="1" t="str">
        <f>IF(NOT(Raw_Data!S567&gt;=3),"Normal Service Contact","Frequent Service Contact")</f>
        <v>Normal Service Contact</v>
      </c>
      <c r="I567" s="1" t="str" cm="1">
        <f t="array" ref="I567">_xlfn.SWITCH(Raw_Data!D567,"Yes","International Customer","No","Domestic Plan","Unknown")</f>
        <v>Domestic Plan</v>
      </c>
      <c r="J567" s="1" t="str">
        <f>IF(ISERROR(Raw_Data!G567/0),"Error","Valid")</f>
        <v>Error</v>
      </c>
      <c r="K567" s="1" t="str">
        <f>IF(ISBLANK(Raw_Data!A567),"Missing","Available")</f>
        <v>Available</v>
      </c>
      <c r="L567" s="5" t="str">
        <f>IF(ISNUMBER(Raw_Data!G567),"Numeric","Not Numeric")</f>
        <v>Numeric</v>
      </c>
    </row>
    <row r="568" spans="1:12" x14ac:dyDescent="0.25">
      <c r="A568" s="4" t="str">
        <f>Raw_Data!A568</f>
        <v>MA</v>
      </c>
      <c r="B568" s="1" t="b">
        <f>Raw_Data!T568</f>
        <v>0</v>
      </c>
      <c r="C568" s="1" t="str">
        <f t="shared" si="8"/>
        <v>Retained</v>
      </c>
      <c r="D568" s="1" t="str">
        <f>IF(Raw_Data!S568=0,"Low Contact",IF(Raw_Data!S568&lt;=2,"Normal Contact","High Contact"))</f>
        <v>Normal Contact</v>
      </c>
      <c r="E568" s="1" t="str">
        <f>IF(AND(Raw_Data!G568&gt;200,Raw_Data!H568&gt;100),"High Usage","Normal Usage")</f>
        <v>Normal Usage</v>
      </c>
      <c r="F568" s="1" t="str" cm="1">
        <f t="array" ref="F568">_xlfn.IFS(B568=TRUE,"High Risk",AND(Raw_Data!S568&gt;=3,Raw_Data!G568&gt;200),"High Risk",Raw_Data!S568&gt;=2,"Medium Risk",TRUE,"Low Risk")</f>
        <v>Low Risk</v>
      </c>
      <c r="G568" s="1" t="str">
        <f>IF(OR(Raw_Data!D568="Yes",Raw_Data!E568="Yes"),"Has Plan","No Special Plan")</f>
        <v>Has Plan</v>
      </c>
      <c r="H568" s="1" t="str">
        <f>IF(NOT(Raw_Data!S568&gt;=3),"Normal Service Contact","Frequent Service Contact")</f>
        <v>Normal Service Contact</v>
      </c>
      <c r="I568" s="1" t="str" cm="1">
        <f t="array" ref="I568">_xlfn.SWITCH(Raw_Data!D568,"Yes","International Customer","No","Domestic Plan","Unknown")</f>
        <v>Domestic Plan</v>
      </c>
      <c r="J568" s="1" t="str">
        <f>IF(ISERROR(Raw_Data!G568/0),"Error","Valid")</f>
        <v>Error</v>
      </c>
      <c r="K568" s="1" t="str">
        <f>IF(ISBLANK(Raw_Data!A568),"Missing","Available")</f>
        <v>Available</v>
      </c>
      <c r="L568" s="5" t="str">
        <f>IF(ISNUMBER(Raw_Data!G568),"Numeric","Not Numeric")</f>
        <v>Numeric</v>
      </c>
    </row>
    <row r="569" spans="1:12" x14ac:dyDescent="0.25">
      <c r="A569" s="4" t="str">
        <f>Raw_Data!A569</f>
        <v>OH</v>
      </c>
      <c r="B569" s="1" t="b">
        <f>Raw_Data!T569</f>
        <v>0</v>
      </c>
      <c r="C569" s="1" t="str">
        <f t="shared" si="8"/>
        <v>Retained</v>
      </c>
      <c r="D569" s="1" t="str">
        <f>IF(Raw_Data!S569=0,"Low Contact",IF(Raw_Data!S569&lt;=2,"Normal Contact","High Contact"))</f>
        <v>Low Contact</v>
      </c>
      <c r="E569" s="1" t="str">
        <f>IF(AND(Raw_Data!G569&gt;200,Raw_Data!H569&gt;100),"High Usage","Normal Usage")</f>
        <v>Normal Usage</v>
      </c>
      <c r="F569" s="1" t="str" cm="1">
        <f t="array" ref="F569">_xlfn.IFS(B569=TRUE,"High Risk",AND(Raw_Data!S569&gt;=3,Raw_Data!G569&gt;200),"High Risk",Raw_Data!S569&gt;=2,"Medium Risk",TRUE,"Low Risk")</f>
        <v>Low Risk</v>
      </c>
      <c r="G569" s="1" t="str">
        <f>IF(OR(Raw_Data!D569="Yes",Raw_Data!E569="Yes"),"Has Plan","No Special Plan")</f>
        <v>No Special Plan</v>
      </c>
      <c r="H569" s="1" t="str">
        <f>IF(NOT(Raw_Data!S569&gt;=3),"Normal Service Contact","Frequent Service Contact")</f>
        <v>Normal Service Contact</v>
      </c>
      <c r="I569" s="1" t="str" cm="1">
        <f t="array" ref="I569">_xlfn.SWITCH(Raw_Data!D569,"Yes","International Customer","No","Domestic Plan","Unknown")</f>
        <v>Domestic Plan</v>
      </c>
      <c r="J569" s="1" t="str">
        <f>IF(ISERROR(Raw_Data!G569/0),"Error","Valid")</f>
        <v>Error</v>
      </c>
      <c r="K569" s="1" t="str">
        <f>IF(ISBLANK(Raw_Data!A569),"Missing","Available")</f>
        <v>Available</v>
      </c>
      <c r="L569" s="5" t="str">
        <f>IF(ISNUMBER(Raw_Data!G569),"Numeric","Not Numeric")</f>
        <v>Numeric</v>
      </c>
    </row>
    <row r="570" spans="1:12" x14ac:dyDescent="0.25">
      <c r="A570" s="4" t="str">
        <f>Raw_Data!A570</f>
        <v>KS</v>
      </c>
      <c r="B570" s="1" t="b">
        <f>Raw_Data!T570</f>
        <v>0</v>
      </c>
      <c r="C570" s="1" t="str">
        <f t="shared" si="8"/>
        <v>Retained</v>
      </c>
      <c r="D570" s="1" t="str">
        <f>IF(Raw_Data!S570=0,"Low Contact",IF(Raw_Data!S570&lt;=2,"Normal Contact","High Contact"))</f>
        <v>High Contact</v>
      </c>
      <c r="E570" s="1" t="str">
        <f>IF(AND(Raw_Data!G570&gt;200,Raw_Data!H570&gt;100),"High Usage","Normal Usage")</f>
        <v>High Usage</v>
      </c>
      <c r="F570" s="1" t="str" cm="1">
        <f t="array" ref="F570">_xlfn.IFS(B570=TRUE,"High Risk",AND(Raw_Data!S570&gt;=3,Raw_Data!G570&gt;200),"High Risk",Raw_Data!S570&gt;=2,"Medium Risk",TRUE,"Low Risk")</f>
        <v>High Risk</v>
      </c>
      <c r="G570" s="1" t="str">
        <f>IF(OR(Raw_Data!D570="Yes",Raw_Data!E570="Yes"),"Has Plan","No Special Plan")</f>
        <v>Has Plan</v>
      </c>
      <c r="H570" s="1" t="str">
        <f>IF(NOT(Raw_Data!S570&gt;=3),"Normal Service Contact","Frequent Service Contact")</f>
        <v>Frequent Service Contact</v>
      </c>
      <c r="I570" s="1" t="str" cm="1">
        <f t="array" ref="I570">_xlfn.SWITCH(Raw_Data!D570,"Yes","International Customer","No","Domestic Plan","Unknown")</f>
        <v>Domestic Plan</v>
      </c>
      <c r="J570" s="1" t="str">
        <f>IF(ISERROR(Raw_Data!G570/0),"Error","Valid")</f>
        <v>Error</v>
      </c>
      <c r="K570" s="1" t="str">
        <f>IF(ISBLANK(Raw_Data!A570),"Missing","Available")</f>
        <v>Available</v>
      </c>
      <c r="L570" s="5" t="str">
        <f>IF(ISNUMBER(Raw_Data!G570),"Numeric","Not Numeric")</f>
        <v>Numeric</v>
      </c>
    </row>
    <row r="571" spans="1:12" x14ac:dyDescent="0.25">
      <c r="A571" s="4" t="str">
        <f>Raw_Data!A571</f>
        <v>OK</v>
      </c>
      <c r="B571" s="1" t="b">
        <f>Raw_Data!T571</f>
        <v>0</v>
      </c>
      <c r="C571" s="1" t="str">
        <f t="shared" si="8"/>
        <v>Retained</v>
      </c>
      <c r="D571" s="1" t="str">
        <f>IF(Raw_Data!S571=0,"Low Contact",IF(Raw_Data!S571&lt;=2,"Normal Contact","High Contact"))</f>
        <v>Normal Contact</v>
      </c>
      <c r="E571" s="1" t="str">
        <f>IF(AND(Raw_Data!G571&gt;200,Raw_Data!H571&gt;100),"High Usage","Normal Usage")</f>
        <v>Normal Usage</v>
      </c>
      <c r="F571" s="1" t="str" cm="1">
        <f t="array" ref="F571">_xlfn.IFS(B571=TRUE,"High Risk",AND(Raw_Data!S571&gt;=3,Raw_Data!G571&gt;200),"High Risk",Raw_Data!S571&gt;=2,"Medium Risk",TRUE,"Low Risk")</f>
        <v>Medium Risk</v>
      </c>
      <c r="G571" s="1" t="str">
        <f>IF(OR(Raw_Data!D571="Yes",Raw_Data!E571="Yes"),"Has Plan","No Special Plan")</f>
        <v>No Special Plan</v>
      </c>
      <c r="H571" s="1" t="str">
        <f>IF(NOT(Raw_Data!S571&gt;=3),"Normal Service Contact","Frequent Service Contact")</f>
        <v>Normal Service Contact</v>
      </c>
      <c r="I571" s="1" t="str" cm="1">
        <f t="array" ref="I571">_xlfn.SWITCH(Raw_Data!D571,"Yes","International Customer","No","Domestic Plan","Unknown")</f>
        <v>Domestic Plan</v>
      </c>
      <c r="J571" s="1" t="str">
        <f>IF(ISERROR(Raw_Data!G571/0),"Error","Valid")</f>
        <v>Error</v>
      </c>
      <c r="K571" s="1" t="str">
        <f>IF(ISBLANK(Raw_Data!A571),"Missing","Available")</f>
        <v>Available</v>
      </c>
      <c r="L571" s="5" t="str">
        <f>IF(ISNUMBER(Raw_Data!G571),"Numeric","Not Numeric")</f>
        <v>Numeric</v>
      </c>
    </row>
    <row r="572" spans="1:12" x14ac:dyDescent="0.25">
      <c r="A572" s="4" t="str">
        <f>Raw_Data!A572</f>
        <v>UT</v>
      </c>
      <c r="B572" s="1" t="b">
        <f>Raw_Data!T572</f>
        <v>0</v>
      </c>
      <c r="C572" s="1" t="str">
        <f t="shared" si="8"/>
        <v>Retained</v>
      </c>
      <c r="D572" s="1" t="str">
        <f>IF(Raw_Data!S572=0,"Low Contact",IF(Raw_Data!S572&lt;=2,"Normal Contact","High Contact"))</f>
        <v>Low Contact</v>
      </c>
      <c r="E572" s="1" t="str">
        <f>IF(AND(Raw_Data!G572&gt;200,Raw_Data!H572&gt;100),"High Usage","Normal Usage")</f>
        <v>Normal Usage</v>
      </c>
      <c r="F572" s="1" t="str" cm="1">
        <f t="array" ref="F572">_xlfn.IFS(B572=TRUE,"High Risk",AND(Raw_Data!S572&gt;=3,Raw_Data!G572&gt;200),"High Risk",Raw_Data!S572&gt;=2,"Medium Risk",TRUE,"Low Risk")</f>
        <v>Low Risk</v>
      </c>
      <c r="G572" s="1" t="str">
        <f>IF(OR(Raw_Data!D572="Yes",Raw_Data!E572="Yes"),"Has Plan","No Special Plan")</f>
        <v>No Special Plan</v>
      </c>
      <c r="H572" s="1" t="str">
        <f>IF(NOT(Raw_Data!S572&gt;=3),"Normal Service Contact","Frequent Service Contact")</f>
        <v>Normal Service Contact</v>
      </c>
      <c r="I572" s="1" t="str" cm="1">
        <f t="array" ref="I572">_xlfn.SWITCH(Raw_Data!D572,"Yes","International Customer","No","Domestic Plan","Unknown")</f>
        <v>Domestic Plan</v>
      </c>
      <c r="J572" s="1" t="str">
        <f>IF(ISERROR(Raw_Data!G572/0),"Error","Valid")</f>
        <v>Error</v>
      </c>
      <c r="K572" s="1" t="str">
        <f>IF(ISBLANK(Raw_Data!A572),"Missing","Available")</f>
        <v>Available</v>
      </c>
      <c r="L572" s="5" t="str">
        <f>IF(ISNUMBER(Raw_Data!G572),"Numeric","Not Numeric")</f>
        <v>Numeric</v>
      </c>
    </row>
    <row r="573" spans="1:12" x14ac:dyDescent="0.25">
      <c r="A573" s="4" t="str">
        <f>Raw_Data!A573</f>
        <v>OH</v>
      </c>
      <c r="B573" s="1" t="b">
        <f>Raw_Data!T573</f>
        <v>0</v>
      </c>
      <c r="C573" s="1" t="str">
        <f t="shared" si="8"/>
        <v>Retained</v>
      </c>
      <c r="D573" s="1" t="str">
        <f>IF(Raw_Data!S573=0,"Low Contact",IF(Raw_Data!S573&lt;=2,"Normal Contact","High Contact"))</f>
        <v>Normal Contact</v>
      </c>
      <c r="E573" s="1" t="str">
        <f>IF(AND(Raw_Data!G573&gt;200,Raw_Data!H573&gt;100),"High Usage","Normal Usage")</f>
        <v>Normal Usage</v>
      </c>
      <c r="F573" s="1" t="str" cm="1">
        <f t="array" ref="F573">_xlfn.IFS(B573=TRUE,"High Risk",AND(Raw_Data!S573&gt;=3,Raw_Data!G573&gt;200),"High Risk",Raw_Data!S573&gt;=2,"Medium Risk",TRUE,"Low Risk")</f>
        <v>Medium Risk</v>
      </c>
      <c r="G573" s="1" t="str">
        <f>IF(OR(Raw_Data!D573="Yes",Raw_Data!E573="Yes"),"Has Plan","No Special Plan")</f>
        <v>No Special Plan</v>
      </c>
      <c r="H573" s="1" t="str">
        <f>IF(NOT(Raw_Data!S573&gt;=3),"Normal Service Contact","Frequent Service Contact")</f>
        <v>Normal Service Contact</v>
      </c>
      <c r="I573" s="1" t="str" cm="1">
        <f t="array" ref="I573">_xlfn.SWITCH(Raw_Data!D573,"Yes","International Customer","No","Domestic Plan","Unknown")</f>
        <v>Domestic Plan</v>
      </c>
      <c r="J573" s="1" t="str">
        <f>IF(ISERROR(Raw_Data!G573/0),"Error","Valid")</f>
        <v>Error</v>
      </c>
      <c r="K573" s="1" t="str">
        <f>IF(ISBLANK(Raw_Data!A573),"Missing","Available")</f>
        <v>Available</v>
      </c>
      <c r="L573" s="5" t="str">
        <f>IF(ISNUMBER(Raw_Data!G573),"Numeric","Not Numeric")</f>
        <v>Numeric</v>
      </c>
    </row>
    <row r="574" spans="1:12" x14ac:dyDescent="0.25">
      <c r="A574" s="4" t="str">
        <f>Raw_Data!A574</f>
        <v>WA</v>
      </c>
      <c r="B574" s="1" t="b">
        <f>Raw_Data!T574</f>
        <v>1</v>
      </c>
      <c r="C574" s="1" t="str">
        <f t="shared" si="8"/>
        <v>Churned</v>
      </c>
      <c r="D574" s="1" t="str">
        <f>IF(Raw_Data!S574=0,"Low Contact",IF(Raw_Data!S574&lt;=2,"Normal Contact","High Contact"))</f>
        <v>Normal Contact</v>
      </c>
      <c r="E574" s="1" t="str">
        <f>IF(AND(Raw_Data!G574&gt;200,Raw_Data!H574&gt;100),"High Usage","Normal Usage")</f>
        <v>High Usage</v>
      </c>
      <c r="F574" s="1" t="str" cm="1">
        <f t="array" ref="F574">_xlfn.IFS(B574=TRUE,"High Risk",AND(Raw_Data!S574&gt;=3,Raw_Data!G574&gt;200),"High Risk",Raw_Data!S574&gt;=2,"Medium Risk",TRUE,"Low Risk")</f>
        <v>High Risk</v>
      </c>
      <c r="G574" s="1" t="str">
        <f>IF(OR(Raw_Data!D574="Yes",Raw_Data!E574="Yes"),"Has Plan","No Special Plan")</f>
        <v>No Special Plan</v>
      </c>
      <c r="H574" s="1" t="str">
        <f>IF(NOT(Raw_Data!S574&gt;=3),"Normal Service Contact","Frequent Service Contact")</f>
        <v>Normal Service Contact</v>
      </c>
      <c r="I574" s="1" t="str" cm="1">
        <f t="array" ref="I574">_xlfn.SWITCH(Raw_Data!D574,"Yes","International Customer","No","Domestic Plan","Unknown")</f>
        <v>Domestic Plan</v>
      </c>
      <c r="J574" s="1" t="str">
        <f>IF(ISERROR(Raw_Data!G574/0),"Error","Valid")</f>
        <v>Error</v>
      </c>
      <c r="K574" s="1" t="str">
        <f>IF(ISBLANK(Raw_Data!A574),"Missing","Available")</f>
        <v>Available</v>
      </c>
      <c r="L574" s="5" t="str">
        <f>IF(ISNUMBER(Raw_Data!G574),"Numeric","Not Numeric")</f>
        <v>Numeric</v>
      </c>
    </row>
    <row r="575" spans="1:12" x14ac:dyDescent="0.25">
      <c r="A575" s="4" t="str">
        <f>Raw_Data!A575</f>
        <v>IN</v>
      </c>
      <c r="B575" s="1" t="b">
        <f>Raw_Data!T575</f>
        <v>1</v>
      </c>
      <c r="C575" s="1" t="str">
        <f t="shared" si="8"/>
        <v>Churned</v>
      </c>
      <c r="D575" s="1" t="str">
        <f>IF(Raw_Data!S575=0,"Low Contact",IF(Raw_Data!S575&lt;=2,"Normal Contact","High Contact"))</f>
        <v>High Contact</v>
      </c>
      <c r="E575" s="1" t="str">
        <f>IF(AND(Raw_Data!G575&gt;200,Raw_Data!H575&gt;100),"High Usage","Normal Usage")</f>
        <v>High Usage</v>
      </c>
      <c r="F575" s="1" t="str" cm="1">
        <f t="array" ref="F575">_xlfn.IFS(B575=TRUE,"High Risk",AND(Raw_Data!S575&gt;=3,Raw_Data!G575&gt;200),"High Risk",Raw_Data!S575&gt;=2,"Medium Risk",TRUE,"Low Risk")</f>
        <v>High Risk</v>
      </c>
      <c r="G575" s="1" t="str">
        <f>IF(OR(Raw_Data!D575="Yes",Raw_Data!E575="Yes"),"Has Plan","No Special Plan")</f>
        <v>No Special Plan</v>
      </c>
      <c r="H575" s="1" t="str">
        <f>IF(NOT(Raw_Data!S575&gt;=3),"Normal Service Contact","Frequent Service Contact")</f>
        <v>Frequent Service Contact</v>
      </c>
      <c r="I575" s="1" t="str" cm="1">
        <f t="array" ref="I575">_xlfn.SWITCH(Raw_Data!D575,"Yes","International Customer","No","Domestic Plan","Unknown")</f>
        <v>Domestic Plan</v>
      </c>
      <c r="J575" s="1" t="str">
        <f>IF(ISERROR(Raw_Data!G575/0),"Error","Valid")</f>
        <v>Error</v>
      </c>
      <c r="K575" s="1" t="str">
        <f>IF(ISBLANK(Raw_Data!A575),"Missing","Available")</f>
        <v>Available</v>
      </c>
      <c r="L575" s="5" t="str">
        <f>IF(ISNUMBER(Raw_Data!G575),"Numeric","Not Numeric")</f>
        <v>Numeric</v>
      </c>
    </row>
    <row r="576" spans="1:12" x14ac:dyDescent="0.25">
      <c r="A576" s="4" t="str">
        <f>Raw_Data!A576</f>
        <v>NE</v>
      </c>
      <c r="B576" s="1" t="b">
        <f>Raw_Data!T576</f>
        <v>0</v>
      </c>
      <c r="C576" s="1" t="str">
        <f t="shared" si="8"/>
        <v>Retained</v>
      </c>
      <c r="D576" s="1" t="str">
        <f>IF(Raw_Data!S576=0,"Low Contact",IF(Raw_Data!S576&lt;=2,"Normal Contact","High Contact"))</f>
        <v>Normal Contact</v>
      </c>
      <c r="E576" s="1" t="str">
        <f>IF(AND(Raw_Data!G576&gt;200,Raw_Data!H576&gt;100),"High Usage","Normal Usage")</f>
        <v>Normal Usage</v>
      </c>
      <c r="F576" s="1" t="str" cm="1">
        <f t="array" ref="F576">_xlfn.IFS(B576=TRUE,"High Risk",AND(Raw_Data!S576&gt;=3,Raw_Data!G576&gt;200),"High Risk",Raw_Data!S576&gt;=2,"Medium Risk",TRUE,"Low Risk")</f>
        <v>Low Risk</v>
      </c>
      <c r="G576" s="1" t="str">
        <f>IF(OR(Raw_Data!D576="Yes",Raw_Data!E576="Yes"),"Has Plan","No Special Plan")</f>
        <v>No Special Plan</v>
      </c>
      <c r="H576" s="1" t="str">
        <f>IF(NOT(Raw_Data!S576&gt;=3),"Normal Service Contact","Frequent Service Contact")</f>
        <v>Normal Service Contact</v>
      </c>
      <c r="I576" s="1" t="str" cm="1">
        <f t="array" ref="I576">_xlfn.SWITCH(Raw_Data!D576,"Yes","International Customer","No","Domestic Plan","Unknown")</f>
        <v>Domestic Plan</v>
      </c>
      <c r="J576" s="1" t="str">
        <f>IF(ISERROR(Raw_Data!G576/0),"Error","Valid")</f>
        <v>Error</v>
      </c>
      <c r="K576" s="1" t="str">
        <f>IF(ISBLANK(Raw_Data!A576),"Missing","Available")</f>
        <v>Available</v>
      </c>
      <c r="L576" s="5" t="str">
        <f>IF(ISNUMBER(Raw_Data!G576),"Numeric","Not Numeric")</f>
        <v>Numeric</v>
      </c>
    </row>
    <row r="577" spans="1:12" x14ac:dyDescent="0.25">
      <c r="A577" s="4" t="str">
        <f>Raw_Data!A577</f>
        <v>AL</v>
      </c>
      <c r="B577" s="1" t="b">
        <f>Raw_Data!T577</f>
        <v>0</v>
      </c>
      <c r="C577" s="1" t="str">
        <f t="shared" si="8"/>
        <v>Retained</v>
      </c>
      <c r="D577" s="1" t="str">
        <f>IF(Raw_Data!S577=0,"Low Contact",IF(Raw_Data!S577&lt;=2,"Normal Contact","High Contact"))</f>
        <v>Low Contact</v>
      </c>
      <c r="E577" s="1" t="str">
        <f>IF(AND(Raw_Data!G577&gt;200,Raw_Data!H577&gt;100),"High Usage","Normal Usage")</f>
        <v>Normal Usage</v>
      </c>
      <c r="F577" s="1" t="str" cm="1">
        <f t="array" ref="F577">_xlfn.IFS(B577=TRUE,"High Risk",AND(Raw_Data!S577&gt;=3,Raw_Data!G577&gt;200),"High Risk",Raw_Data!S577&gt;=2,"Medium Risk",TRUE,"Low Risk")</f>
        <v>Low Risk</v>
      </c>
      <c r="G577" s="1" t="str">
        <f>IF(OR(Raw_Data!D577="Yes",Raw_Data!E577="Yes"),"Has Plan","No Special Plan")</f>
        <v>No Special Plan</v>
      </c>
      <c r="H577" s="1" t="str">
        <f>IF(NOT(Raw_Data!S577&gt;=3),"Normal Service Contact","Frequent Service Contact")</f>
        <v>Normal Service Contact</v>
      </c>
      <c r="I577" s="1" t="str" cm="1">
        <f t="array" ref="I577">_xlfn.SWITCH(Raw_Data!D577,"Yes","International Customer","No","Domestic Plan","Unknown")</f>
        <v>Domestic Plan</v>
      </c>
      <c r="J577" s="1" t="str">
        <f>IF(ISERROR(Raw_Data!G577/0),"Error","Valid")</f>
        <v>Error</v>
      </c>
      <c r="K577" s="1" t="str">
        <f>IF(ISBLANK(Raw_Data!A577),"Missing","Available")</f>
        <v>Available</v>
      </c>
      <c r="L577" s="5" t="str">
        <f>IF(ISNUMBER(Raw_Data!G577),"Numeric","Not Numeric")</f>
        <v>Numeric</v>
      </c>
    </row>
    <row r="578" spans="1:12" x14ac:dyDescent="0.25">
      <c r="A578" s="4" t="str">
        <f>Raw_Data!A578</f>
        <v>PA</v>
      </c>
      <c r="B578" s="1" t="b">
        <f>Raw_Data!T578</f>
        <v>0</v>
      </c>
      <c r="C578" s="1" t="str">
        <f t="shared" si="8"/>
        <v>Retained</v>
      </c>
      <c r="D578" s="1" t="str">
        <f>IF(Raw_Data!S578=0,"Low Contact",IF(Raw_Data!S578&lt;=2,"Normal Contact","High Contact"))</f>
        <v>Low Contact</v>
      </c>
      <c r="E578" s="1" t="str">
        <f>IF(AND(Raw_Data!G578&gt;200,Raw_Data!H578&gt;100),"High Usage","Normal Usage")</f>
        <v>Normal Usage</v>
      </c>
      <c r="F578" s="1" t="str" cm="1">
        <f t="array" ref="F578">_xlfn.IFS(B578=TRUE,"High Risk",AND(Raw_Data!S578&gt;=3,Raw_Data!G578&gt;200),"High Risk",Raw_Data!S578&gt;=2,"Medium Risk",TRUE,"Low Risk")</f>
        <v>Low Risk</v>
      </c>
      <c r="G578" s="1" t="str">
        <f>IF(OR(Raw_Data!D578="Yes",Raw_Data!E578="Yes"),"Has Plan","No Special Plan")</f>
        <v>No Special Plan</v>
      </c>
      <c r="H578" s="1" t="str">
        <f>IF(NOT(Raw_Data!S578&gt;=3),"Normal Service Contact","Frequent Service Contact")</f>
        <v>Normal Service Contact</v>
      </c>
      <c r="I578" s="1" t="str" cm="1">
        <f t="array" ref="I578">_xlfn.SWITCH(Raw_Data!D578,"Yes","International Customer","No","Domestic Plan","Unknown")</f>
        <v>Domestic Plan</v>
      </c>
      <c r="J578" s="1" t="str">
        <f>IF(ISERROR(Raw_Data!G578/0),"Error","Valid")</f>
        <v>Error</v>
      </c>
      <c r="K578" s="1" t="str">
        <f>IF(ISBLANK(Raw_Data!A578),"Missing","Available")</f>
        <v>Available</v>
      </c>
      <c r="L578" s="5" t="str">
        <f>IF(ISNUMBER(Raw_Data!G578),"Numeric","Not Numeric")</f>
        <v>Numeric</v>
      </c>
    </row>
    <row r="579" spans="1:12" x14ac:dyDescent="0.25">
      <c r="A579" s="4" t="str">
        <f>Raw_Data!A579</f>
        <v>OR</v>
      </c>
      <c r="B579" s="1" t="b">
        <f>Raw_Data!T579</f>
        <v>0</v>
      </c>
      <c r="C579" s="1" t="str">
        <f t="shared" ref="C579:C642" si="9">IF(B579=TRUE,"Churned","Retained")</f>
        <v>Retained</v>
      </c>
      <c r="D579" s="1" t="str">
        <f>IF(Raw_Data!S579=0,"Low Contact",IF(Raw_Data!S579&lt;=2,"Normal Contact","High Contact"))</f>
        <v>Normal Contact</v>
      </c>
      <c r="E579" s="1" t="str">
        <f>IF(AND(Raw_Data!G579&gt;200,Raw_Data!H579&gt;100),"High Usage","Normal Usage")</f>
        <v>Normal Usage</v>
      </c>
      <c r="F579" s="1" t="str" cm="1">
        <f t="array" ref="F579">_xlfn.IFS(B579=TRUE,"High Risk",AND(Raw_Data!S579&gt;=3,Raw_Data!G579&gt;200),"High Risk",Raw_Data!S579&gt;=2,"Medium Risk",TRUE,"Low Risk")</f>
        <v>Low Risk</v>
      </c>
      <c r="G579" s="1" t="str">
        <f>IF(OR(Raw_Data!D579="Yes",Raw_Data!E579="Yes"),"Has Plan","No Special Plan")</f>
        <v>Has Plan</v>
      </c>
      <c r="H579" s="1" t="str">
        <f>IF(NOT(Raw_Data!S579&gt;=3),"Normal Service Contact","Frequent Service Contact")</f>
        <v>Normal Service Contact</v>
      </c>
      <c r="I579" s="1" t="str" cm="1">
        <f t="array" ref="I579">_xlfn.SWITCH(Raw_Data!D579,"Yes","International Customer","No","Domestic Plan","Unknown")</f>
        <v>Domestic Plan</v>
      </c>
      <c r="J579" s="1" t="str">
        <f>IF(ISERROR(Raw_Data!G579/0),"Error","Valid")</f>
        <v>Error</v>
      </c>
      <c r="K579" s="1" t="str">
        <f>IF(ISBLANK(Raw_Data!A579),"Missing","Available")</f>
        <v>Available</v>
      </c>
      <c r="L579" s="5" t="str">
        <f>IF(ISNUMBER(Raw_Data!G579),"Numeric","Not Numeric")</f>
        <v>Numeric</v>
      </c>
    </row>
    <row r="580" spans="1:12" x14ac:dyDescent="0.25">
      <c r="A580" s="4" t="str">
        <f>Raw_Data!A580</f>
        <v>MN</v>
      </c>
      <c r="B580" s="1" t="b">
        <f>Raw_Data!T580</f>
        <v>0</v>
      </c>
      <c r="C580" s="1" t="str">
        <f t="shared" si="9"/>
        <v>Retained</v>
      </c>
      <c r="D580" s="1" t="str">
        <f>IF(Raw_Data!S580=0,"Low Contact",IF(Raw_Data!S580&lt;=2,"Normal Contact","High Contact"))</f>
        <v>Normal Contact</v>
      </c>
      <c r="E580" s="1" t="str">
        <f>IF(AND(Raw_Data!G580&gt;200,Raw_Data!H580&gt;100),"High Usage","Normal Usage")</f>
        <v>High Usage</v>
      </c>
      <c r="F580" s="1" t="str" cm="1">
        <f t="array" ref="F580">_xlfn.IFS(B580=TRUE,"High Risk",AND(Raw_Data!S580&gt;=3,Raw_Data!G580&gt;200),"High Risk",Raw_Data!S580&gt;=2,"Medium Risk",TRUE,"Low Risk")</f>
        <v>Medium Risk</v>
      </c>
      <c r="G580" s="1" t="str">
        <f>IF(OR(Raw_Data!D580="Yes",Raw_Data!E580="Yes"),"Has Plan","No Special Plan")</f>
        <v>Has Plan</v>
      </c>
      <c r="H580" s="1" t="str">
        <f>IF(NOT(Raw_Data!S580&gt;=3),"Normal Service Contact","Frequent Service Contact")</f>
        <v>Normal Service Contact</v>
      </c>
      <c r="I580" s="1" t="str" cm="1">
        <f t="array" ref="I580">_xlfn.SWITCH(Raw_Data!D580,"Yes","International Customer","No","Domestic Plan","Unknown")</f>
        <v>International Customer</v>
      </c>
      <c r="J580" s="1" t="str">
        <f>IF(ISERROR(Raw_Data!G580/0),"Error","Valid")</f>
        <v>Error</v>
      </c>
      <c r="K580" s="1" t="str">
        <f>IF(ISBLANK(Raw_Data!A580),"Missing","Available")</f>
        <v>Available</v>
      </c>
      <c r="L580" s="5" t="str">
        <f>IF(ISNUMBER(Raw_Data!G580),"Numeric","Not Numeric")</f>
        <v>Numeric</v>
      </c>
    </row>
    <row r="581" spans="1:12" x14ac:dyDescent="0.25">
      <c r="A581" s="4" t="str">
        <f>Raw_Data!A581</f>
        <v>GA</v>
      </c>
      <c r="B581" s="1" t="b">
        <f>Raw_Data!T581</f>
        <v>0</v>
      </c>
      <c r="C581" s="1" t="str">
        <f t="shared" si="9"/>
        <v>Retained</v>
      </c>
      <c r="D581" s="1" t="str">
        <f>IF(Raw_Data!S581=0,"Low Contact",IF(Raw_Data!S581&lt;=2,"Normal Contact","High Contact"))</f>
        <v>High Contact</v>
      </c>
      <c r="E581" s="1" t="str">
        <f>IF(AND(Raw_Data!G581&gt;200,Raw_Data!H581&gt;100),"High Usage","Normal Usage")</f>
        <v>Normal Usage</v>
      </c>
      <c r="F581" s="1" t="str" cm="1">
        <f t="array" ref="F581">_xlfn.IFS(B581=TRUE,"High Risk",AND(Raw_Data!S581&gt;=3,Raw_Data!G581&gt;200),"High Risk",Raw_Data!S581&gt;=2,"Medium Risk",TRUE,"Low Risk")</f>
        <v>Medium Risk</v>
      </c>
      <c r="G581" s="1" t="str">
        <f>IF(OR(Raw_Data!D581="Yes",Raw_Data!E581="Yes"),"Has Plan","No Special Plan")</f>
        <v>No Special Plan</v>
      </c>
      <c r="H581" s="1" t="str">
        <f>IF(NOT(Raw_Data!S581&gt;=3),"Normal Service Contact","Frequent Service Contact")</f>
        <v>Frequent Service Contact</v>
      </c>
      <c r="I581" s="1" t="str" cm="1">
        <f t="array" ref="I581">_xlfn.SWITCH(Raw_Data!D581,"Yes","International Customer","No","Domestic Plan","Unknown")</f>
        <v>Domestic Plan</v>
      </c>
      <c r="J581" s="1" t="str">
        <f>IF(ISERROR(Raw_Data!G581/0),"Error","Valid")</f>
        <v>Error</v>
      </c>
      <c r="K581" s="1" t="str">
        <f>IF(ISBLANK(Raw_Data!A581),"Missing","Available")</f>
        <v>Available</v>
      </c>
      <c r="L581" s="5" t="str">
        <f>IF(ISNUMBER(Raw_Data!G581),"Numeric","Not Numeric")</f>
        <v>Numeric</v>
      </c>
    </row>
    <row r="582" spans="1:12" x14ac:dyDescent="0.25">
      <c r="A582" s="4" t="str">
        <f>Raw_Data!A582</f>
        <v>TX</v>
      </c>
      <c r="B582" s="1" t="b">
        <f>Raw_Data!T582</f>
        <v>0</v>
      </c>
      <c r="C582" s="1" t="str">
        <f t="shared" si="9"/>
        <v>Retained</v>
      </c>
      <c r="D582" s="1" t="str">
        <f>IF(Raw_Data!S582=0,"Low Contact",IF(Raw_Data!S582&lt;=2,"Normal Contact","High Contact"))</f>
        <v>High Contact</v>
      </c>
      <c r="E582" s="1" t="str">
        <f>IF(AND(Raw_Data!G582&gt;200,Raw_Data!H582&gt;100),"High Usage","Normal Usage")</f>
        <v>Normal Usage</v>
      </c>
      <c r="F582" s="1" t="str" cm="1">
        <f t="array" ref="F582">_xlfn.IFS(B582=TRUE,"High Risk",AND(Raw_Data!S582&gt;=3,Raw_Data!G582&gt;200),"High Risk",Raw_Data!S582&gt;=2,"Medium Risk",TRUE,"Low Risk")</f>
        <v>Medium Risk</v>
      </c>
      <c r="G582" s="1" t="str">
        <f>IF(OR(Raw_Data!D582="Yes",Raw_Data!E582="Yes"),"Has Plan","No Special Plan")</f>
        <v>No Special Plan</v>
      </c>
      <c r="H582" s="1" t="str">
        <f>IF(NOT(Raw_Data!S582&gt;=3),"Normal Service Contact","Frequent Service Contact")</f>
        <v>Frequent Service Contact</v>
      </c>
      <c r="I582" s="1" t="str" cm="1">
        <f t="array" ref="I582">_xlfn.SWITCH(Raw_Data!D582,"Yes","International Customer","No","Domestic Plan","Unknown")</f>
        <v>Domestic Plan</v>
      </c>
      <c r="J582" s="1" t="str">
        <f>IF(ISERROR(Raw_Data!G582/0),"Error","Valid")</f>
        <v>Error</v>
      </c>
      <c r="K582" s="1" t="str">
        <f>IF(ISBLANK(Raw_Data!A582),"Missing","Available")</f>
        <v>Available</v>
      </c>
      <c r="L582" s="5" t="str">
        <f>IF(ISNUMBER(Raw_Data!G582),"Numeric","Not Numeric")</f>
        <v>Numeric</v>
      </c>
    </row>
    <row r="583" spans="1:12" x14ac:dyDescent="0.25">
      <c r="A583" s="4" t="str">
        <f>Raw_Data!A583</f>
        <v>NM</v>
      </c>
      <c r="B583" s="1" t="b">
        <f>Raw_Data!T583</f>
        <v>0</v>
      </c>
      <c r="C583" s="1" t="str">
        <f t="shared" si="9"/>
        <v>Retained</v>
      </c>
      <c r="D583" s="1" t="str">
        <f>IF(Raw_Data!S583=0,"Low Contact",IF(Raw_Data!S583&lt;=2,"Normal Contact","High Contact"))</f>
        <v>Normal Contact</v>
      </c>
      <c r="E583" s="1" t="str">
        <f>IF(AND(Raw_Data!G583&gt;200,Raw_Data!H583&gt;100),"High Usage","Normal Usage")</f>
        <v>Normal Usage</v>
      </c>
      <c r="F583" s="1" t="str" cm="1">
        <f t="array" ref="F583">_xlfn.IFS(B583=TRUE,"High Risk",AND(Raw_Data!S583&gt;=3,Raw_Data!G583&gt;200),"High Risk",Raw_Data!S583&gt;=2,"Medium Risk",TRUE,"Low Risk")</f>
        <v>Low Risk</v>
      </c>
      <c r="G583" s="1" t="str">
        <f>IF(OR(Raw_Data!D583="Yes",Raw_Data!E583="Yes"),"Has Plan","No Special Plan")</f>
        <v>No Special Plan</v>
      </c>
      <c r="H583" s="1" t="str">
        <f>IF(NOT(Raw_Data!S583&gt;=3),"Normal Service Contact","Frequent Service Contact")</f>
        <v>Normal Service Contact</v>
      </c>
      <c r="I583" s="1" t="str" cm="1">
        <f t="array" ref="I583">_xlfn.SWITCH(Raw_Data!D583,"Yes","International Customer","No","Domestic Plan","Unknown")</f>
        <v>Domestic Plan</v>
      </c>
      <c r="J583" s="1" t="str">
        <f>IF(ISERROR(Raw_Data!G583/0),"Error","Valid")</f>
        <v>Error</v>
      </c>
      <c r="K583" s="1" t="str">
        <f>IF(ISBLANK(Raw_Data!A583),"Missing","Available")</f>
        <v>Available</v>
      </c>
      <c r="L583" s="5" t="str">
        <f>IF(ISNUMBER(Raw_Data!G583),"Numeric","Not Numeric")</f>
        <v>Numeric</v>
      </c>
    </row>
    <row r="584" spans="1:12" x14ac:dyDescent="0.25">
      <c r="A584" s="4" t="str">
        <f>Raw_Data!A584</f>
        <v>NC</v>
      </c>
      <c r="B584" s="1" t="b">
        <f>Raw_Data!T584</f>
        <v>1</v>
      </c>
      <c r="C584" s="1" t="str">
        <f t="shared" si="9"/>
        <v>Churned</v>
      </c>
      <c r="D584" s="1" t="str">
        <f>IF(Raw_Data!S584=0,"Low Contact",IF(Raw_Data!S584&lt;=2,"Normal Contact","High Contact"))</f>
        <v>High Contact</v>
      </c>
      <c r="E584" s="1" t="str">
        <f>IF(AND(Raw_Data!G584&gt;200,Raw_Data!H584&gt;100),"High Usage","Normal Usage")</f>
        <v>Normal Usage</v>
      </c>
      <c r="F584" s="1" t="str" cm="1">
        <f t="array" ref="F584">_xlfn.IFS(B584=TRUE,"High Risk",AND(Raw_Data!S584&gt;=3,Raw_Data!G584&gt;200),"High Risk",Raw_Data!S584&gt;=2,"Medium Risk",TRUE,"Low Risk")</f>
        <v>High Risk</v>
      </c>
      <c r="G584" s="1" t="str">
        <f>IF(OR(Raw_Data!D584="Yes",Raw_Data!E584="Yes"),"Has Plan","No Special Plan")</f>
        <v>No Special Plan</v>
      </c>
      <c r="H584" s="1" t="str">
        <f>IF(NOT(Raw_Data!S584&gt;=3),"Normal Service Contact","Frequent Service Contact")</f>
        <v>Frequent Service Contact</v>
      </c>
      <c r="I584" s="1" t="str" cm="1">
        <f t="array" ref="I584">_xlfn.SWITCH(Raw_Data!D584,"Yes","International Customer","No","Domestic Plan","Unknown")</f>
        <v>Domestic Plan</v>
      </c>
      <c r="J584" s="1" t="str">
        <f>IF(ISERROR(Raw_Data!G584/0),"Error","Valid")</f>
        <v>Error</v>
      </c>
      <c r="K584" s="1" t="str">
        <f>IF(ISBLANK(Raw_Data!A584),"Missing","Available")</f>
        <v>Available</v>
      </c>
      <c r="L584" s="5" t="str">
        <f>IF(ISNUMBER(Raw_Data!G584),"Numeric","Not Numeric")</f>
        <v>Numeric</v>
      </c>
    </row>
    <row r="585" spans="1:12" x14ac:dyDescent="0.25">
      <c r="A585" s="4" t="str">
        <f>Raw_Data!A585</f>
        <v>ID</v>
      </c>
      <c r="B585" s="1" t="b">
        <f>Raw_Data!T585</f>
        <v>0</v>
      </c>
      <c r="C585" s="1" t="str">
        <f t="shared" si="9"/>
        <v>Retained</v>
      </c>
      <c r="D585" s="1" t="str">
        <f>IF(Raw_Data!S585=0,"Low Contact",IF(Raw_Data!S585&lt;=2,"Normal Contact","High Contact"))</f>
        <v>Low Contact</v>
      </c>
      <c r="E585" s="1" t="str">
        <f>IF(AND(Raw_Data!G585&gt;200,Raw_Data!H585&gt;100),"High Usage","Normal Usage")</f>
        <v>Normal Usage</v>
      </c>
      <c r="F585" s="1" t="str" cm="1">
        <f t="array" ref="F585">_xlfn.IFS(B585=TRUE,"High Risk",AND(Raw_Data!S585&gt;=3,Raw_Data!G585&gt;200),"High Risk",Raw_Data!S585&gt;=2,"Medium Risk",TRUE,"Low Risk")</f>
        <v>Low Risk</v>
      </c>
      <c r="G585" s="1" t="str">
        <f>IF(OR(Raw_Data!D585="Yes",Raw_Data!E585="Yes"),"Has Plan","No Special Plan")</f>
        <v>Has Plan</v>
      </c>
      <c r="H585" s="1" t="str">
        <f>IF(NOT(Raw_Data!S585&gt;=3),"Normal Service Contact","Frequent Service Contact")</f>
        <v>Normal Service Contact</v>
      </c>
      <c r="I585" s="1" t="str" cm="1">
        <f t="array" ref="I585">_xlfn.SWITCH(Raw_Data!D585,"Yes","International Customer","No","Domestic Plan","Unknown")</f>
        <v>Domestic Plan</v>
      </c>
      <c r="J585" s="1" t="str">
        <f>IF(ISERROR(Raw_Data!G585/0),"Error","Valid")</f>
        <v>Error</v>
      </c>
      <c r="K585" s="1" t="str">
        <f>IF(ISBLANK(Raw_Data!A585),"Missing","Available")</f>
        <v>Available</v>
      </c>
      <c r="L585" s="5" t="str">
        <f>IF(ISNUMBER(Raw_Data!G585),"Numeric","Not Numeric")</f>
        <v>Numeric</v>
      </c>
    </row>
    <row r="586" spans="1:12" x14ac:dyDescent="0.25">
      <c r="A586" s="4" t="str">
        <f>Raw_Data!A586</f>
        <v>WI</v>
      </c>
      <c r="B586" s="1" t="b">
        <f>Raw_Data!T586</f>
        <v>0</v>
      </c>
      <c r="C586" s="1" t="str">
        <f t="shared" si="9"/>
        <v>Retained</v>
      </c>
      <c r="D586" s="1" t="str">
        <f>IF(Raw_Data!S586=0,"Low Contact",IF(Raw_Data!S586&lt;=2,"Normal Contact","High Contact"))</f>
        <v>Normal Contact</v>
      </c>
      <c r="E586" s="1" t="str">
        <f>IF(AND(Raw_Data!G586&gt;200,Raw_Data!H586&gt;100),"High Usage","Normal Usage")</f>
        <v>Normal Usage</v>
      </c>
      <c r="F586" s="1" t="str" cm="1">
        <f t="array" ref="F586">_xlfn.IFS(B586=TRUE,"High Risk",AND(Raw_Data!S586&gt;=3,Raw_Data!G586&gt;200),"High Risk",Raw_Data!S586&gt;=2,"Medium Risk",TRUE,"Low Risk")</f>
        <v>Low Risk</v>
      </c>
      <c r="G586" s="1" t="str">
        <f>IF(OR(Raw_Data!D586="Yes",Raw_Data!E586="Yes"),"Has Plan","No Special Plan")</f>
        <v>No Special Plan</v>
      </c>
      <c r="H586" s="1" t="str">
        <f>IF(NOT(Raw_Data!S586&gt;=3),"Normal Service Contact","Frequent Service Contact")</f>
        <v>Normal Service Contact</v>
      </c>
      <c r="I586" s="1" t="str" cm="1">
        <f t="array" ref="I586">_xlfn.SWITCH(Raw_Data!D586,"Yes","International Customer","No","Domestic Plan","Unknown")</f>
        <v>Domestic Plan</v>
      </c>
      <c r="J586" s="1" t="str">
        <f>IF(ISERROR(Raw_Data!G586/0),"Error","Valid")</f>
        <v>Error</v>
      </c>
      <c r="K586" s="1" t="str">
        <f>IF(ISBLANK(Raw_Data!A586),"Missing","Available")</f>
        <v>Available</v>
      </c>
      <c r="L586" s="5" t="str">
        <f>IF(ISNUMBER(Raw_Data!G586),"Numeric","Not Numeric")</f>
        <v>Numeric</v>
      </c>
    </row>
    <row r="587" spans="1:12" x14ac:dyDescent="0.25">
      <c r="A587" s="4" t="str">
        <f>Raw_Data!A587</f>
        <v>SC</v>
      </c>
      <c r="B587" s="1" t="b">
        <f>Raw_Data!T587</f>
        <v>0</v>
      </c>
      <c r="C587" s="1" t="str">
        <f t="shared" si="9"/>
        <v>Retained</v>
      </c>
      <c r="D587" s="1" t="str">
        <f>IF(Raw_Data!S587=0,"Low Contact",IF(Raw_Data!S587&lt;=2,"Normal Contact","High Contact"))</f>
        <v>Low Contact</v>
      </c>
      <c r="E587" s="1" t="str">
        <f>IF(AND(Raw_Data!G587&gt;200,Raw_Data!H587&gt;100),"High Usage","Normal Usage")</f>
        <v>Normal Usage</v>
      </c>
      <c r="F587" s="1" t="str" cm="1">
        <f t="array" ref="F587">_xlfn.IFS(B587=TRUE,"High Risk",AND(Raw_Data!S587&gt;=3,Raw_Data!G587&gt;200),"High Risk",Raw_Data!S587&gt;=2,"Medium Risk",TRUE,"Low Risk")</f>
        <v>Low Risk</v>
      </c>
      <c r="G587" s="1" t="str">
        <f>IF(OR(Raw_Data!D587="Yes",Raw_Data!E587="Yes"),"Has Plan","No Special Plan")</f>
        <v>Has Plan</v>
      </c>
      <c r="H587" s="1" t="str">
        <f>IF(NOT(Raw_Data!S587&gt;=3),"Normal Service Contact","Frequent Service Contact")</f>
        <v>Normal Service Contact</v>
      </c>
      <c r="I587" s="1" t="str" cm="1">
        <f t="array" ref="I587">_xlfn.SWITCH(Raw_Data!D587,"Yes","International Customer","No","Domestic Plan","Unknown")</f>
        <v>Domestic Plan</v>
      </c>
      <c r="J587" s="1" t="str">
        <f>IF(ISERROR(Raw_Data!G587/0),"Error","Valid")</f>
        <v>Error</v>
      </c>
      <c r="K587" s="1" t="str">
        <f>IF(ISBLANK(Raw_Data!A587),"Missing","Available")</f>
        <v>Available</v>
      </c>
      <c r="L587" s="5" t="str">
        <f>IF(ISNUMBER(Raw_Data!G587),"Numeric","Not Numeric")</f>
        <v>Numeric</v>
      </c>
    </row>
    <row r="588" spans="1:12" x14ac:dyDescent="0.25">
      <c r="A588" s="4" t="str">
        <f>Raw_Data!A588</f>
        <v>NV</v>
      </c>
      <c r="B588" s="1" t="b">
        <f>Raw_Data!T588</f>
        <v>0</v>
      </c>
      <c r="C588" s="1" t="str">
        <f t="shared" si="9"/>
        <v>Retained</v>
      </c>
      <c r="D588" s="1" t="str">
        <f>IF(Raw_Data!S588=0,"Low Contact",IF(Raw_Data!S588&lt;=2,"Normal Contact","High Contact"))</f>
        <v>Normal Contact</v>
      </c>
      <c r="E588" s="1" t="str">
        <f>IF(AND(Raw_Data!G588&gt;200,Raw_Data!H588&gt;100),"High Usage","Normal Usage")</f>
        <v>Normal Usage</v>
      </c>
      <c r="F588" s="1" t="str" cm="1">
        <f t="array" ref="F588">_xlfn.IFS(B588=TRUE,"High Risk",AND(Raw_Data!S588&gt;=3,Raw_Data!G588&gt;200),"High Risk",Raw_Data!S588&gt;=2,"Medium Risk",TRUE,"Low Risk")</f>
        <v>Medium Risk</v>
      </c>
      <c r="G588" s="1" t="str">
        <f>IF(OR(Raw_Data!D588="Yes",Raw_Data!E588="Yes"),"Has Plan","No Special Plan")</f>
        <v>No Special Plan</v>
      </c>
      <c r="H588" s="1" t="str">
        <f>IF(NOT(Raw_Data!S588&gt;=3),"Normal Service Contact","Frequent Service Contact")</f>
        <v>Normal Service Contact</v>
      </c>
      <c r="I588" s="1" t="str" cm="1">
        <f t="array" ref="I588">_xlfn.SWITCH(Raw_Data!D588,"Yes","International Customer","No","Domestic Plan","Unknown")</f>
        <v>Domestic Plan</v>
      </c>
      <c r="J588" s="1" t="str">
        <f>IF(ISERROR(Raw_Data!G588/0),"Error","Valid")</f>
        <v>Error</v>
      </c>
      <c r="K588" s="1" t="str">
        <f>IF(ISBLANK(Raw_Data!A588),"Missing","Available")</f>
        <v>Available</v>
      </c>
      <c r="L588" s="5" t="str">
        <f>IF(ISNUMBER(Raw_Data!G588),"Numeric","Not Numeric")</f>
        <v>Numeric</v>
      </c>
    </row>
    <row r="589" spans="1:12" x14ac:dyDescent="0.25">
      <c r="A589" s="4" t="str">
        <f>Raw_Data!A589</f>
        <v>NE</v>
      </c>
      <c r="B589" s="1" t="b">
        <f>Raw_Data!T589</f>
        <v>0</v>
      </c>
      <c r="C589" s="1" t="str">
        <f t="shared" si="9"/>
        <v>Retained</v>
      </c>
      <c r="D589" s="1" t="str">
        <f>IF(Raw_Data!S589=0,"Low Contact",IF(Raw_Data!S589&lt;=2,"Normal Contact","High Contact"))</f>
        <v>Low Contact</v>
      </c>
      <c r="E589" s="1" t="str">
        <f>IF(AND(Raw_Data!G589&gt;200,Raw_Data!H589&gt;100),"High Usage","Normal Usage")</f>
        <v>Normal Usage</v>
      </c>
      <c r="F589" s="1" t="str" cm="1">
        <f t="array" ref="F589">_xlfn.IFS(B589=TRUE,"High Risk",AND(Raw_Data!S589&gt;=3,Raw_Data!G589&gt;200),"High Risk",Raw_Data!S589&gt;=2,"Medium Risk",TRUE,"Low Risk")</f>
        <v>Low Risk</v>
      </c>
      <c r="G589" s="1" t="str">
        <f>IF(OR(Raw_Data!D589="Yes",Raw_Data!E589="Yes"),"Has Plan","No Special Plan")</f>
        <v>No Special Plan</v>
      </c>
      <c r="H589" s="1" t="str">
        <f>IF(NOT(Raw_Data!S589&gt;=3),"Normal Service Contact","Frequent Service Contact")</f>
        <v>Normal Service Contact</v>
      </c>
      <c r="I589" s="1" t="str" cm="1">
        <f t="array" ref="I589">_xlfn.SWITCH(Raw_Data!D589,"Yes","International Customer","No","Domestic Plan","Unknown")</f>
        <v>Domestic Plan</v>
      </c>
      <c r="J589" s="1" t="str">
        <f>IF(ISERROR(Raw_Data!G589/0),"Error","Valid")</f>
        <v>Error</v>
      </c>
      <c r="K589" s="1" t="str">
        <f>IF(ISBLANK(Raw_Data!A589),"Missing","Available")</f>
        <v>Available</v>
      </c>
      <c r="L589" s="5" t="str">
        <f>IF(ISNUMBER(Raw_Data!G589),"Numeric","Not Numeric")</f>
        <v>Numeric</v>
      </c>
    </row>
    <row r="590" spans="1:12" x14ac:dyDescent="0.25">
      <c r="A590" s="4" t="str">
        <f>Raw_Data!A590</f>
        <v>UT</v>
      </c>
      <c r="B590" s="1" t="b">
        <f>Raw_Data!T590</f>
        <v>0</v>
      </c>
      <c r="C590" s="1" t="str">
        <f t="shared" si="9"/>
        <v>Retained</v>
      </c>
      <c r="D590" s="1" t="str">
        <f>IF(Raw_Data!S590=0,"Low Contact",IF(Raw_Data!S590&lt;=2,"Normal Contact","High Contact"))</f>
        <v>Normal Contact</v>
      </c>
      <c r="E590" s="1" t="str">
        <f>IF(AND(Raw_Data!G590&gt;200,Raw_Data!H590&gt;100),"High Usage","Normal Usage")</f>
        <v>Normal Usage</v>
      </c>
      <c r="F590" s="1" t="str" cm="1">
        <f t="array" ref="F590">_xlfn.IFS(B590=TRUE,"High Risk",AND(Raw_Data!S590&gt;=3,Raw_Data!G590&gt;200),"High Risk",Raw_Data!S590&gt;=2,"Medium Risk",TRUE,"Low Risk")</f>
        <v>Low Risk</v>
      </c>
      <c r="G590" s="1" t="str">
        <f>IF(OR(Raw_Data!D590="Yes",Raw_Data!E590="Yes"),"Has Plan","No Special Plan")</f>
        <v>No Special Plan</v>
      </c>
      <c r="H590" s="1" t="str">
        <f>IF(NOT(Raw_Data!S590&gt;=3),"Normal Service Contact","Frequent Service Contact")</f>
        <v>Normal Service Contact</v>
      </c>
      <c r="I590" s="1" t="str" cm="1">
        <f t="array" ref="I590">_xlfn.SWITCH(Raw_Data!D590,"Yes","International Customer","No","Domestic Plan","Unknown")</f>
        <v>Domestic Plan</v>
      </c>
      <c r="J590" s="1" t="str">
        <f>IF(ISERROR(Raw_Data!G590/0),"Error","Valid")</f>
        <v>Error</v>
      </c>
      <c r="K590" s="1" t="str">
        <f>IF(ISBLANK(Raw_Data!A590),"Missing","Available")</f>
        <v>Available</v>
      </c>
      <c r="L590" s="5" t="str">
        <f>IF(ISNUMBER(Raw_Data!G590),"Numeric","Not Numeric")</f>
        <v>Numeric</v>
      </c>
    </row>
    <row r="591" spans="1:12" x14ac:dyDescent="0.25">
      <c r="A591" s="4" t="str">
        <f>Raw_Data!A591</f>
        <v>HI</v>
      </c>
      <c r="B591" s="1" t="b">
        <f>Raw_Data!T591</f>
        <v>0</v>
      </c>
      <c r="C591" s="1" t="str">
        <f t="shared" si="9"/>
        <v>Retained</v>
      </c>
      <c r="D591" s="1" t="str">
        <f>IF(Raw_Data!S591=0,"Low Contact",IF(Raw_Data!S591&lt;=2,"Normal Contact","High Contact"))</f>
        <v>Normal Contact</v>
      </c>
      <c r="E591" s="1" t="str">
        <f>IF(AND(Raw_Data!G591&gt;200,Raw_Data!H591&gt;100),"High Usage","Normal Usage")</f>
        <v>High Usage</v>
      </c>
      <c r="F591" s="1" t="str" cm="1">
        <f t="array" ref="F591">_xlfn.IFS(B591=TRUE,"High Risk",AND(Raw_Data!S591&gt;=3,Raw_Data!G591&gt;200),"High Risk",Raw_Data!S591&gt;=2,"Medium Risk",TRUE,"Low Risk")</f>
        <v>Low Risk</v>
      </c>
      <c r="G591" s="1" t="str">
        <f>IF(OR(Raw_Data!D591="Yes",Raw_Data!E591="Yes"),"Has Plan","No Special Plan")</f>
        <v>No Special Plan</v>
      </c>
      <c r="H591" s="1" t="str">
        <f>IF(NOT(Raw_Data!S591&gt;=3),"Normal Service Contact","Frequent Service Contact")</f>
        <v>Normal Service Contact</v>
      </c>
      <c r="I591" s="1" t="str" cm="1">
        <f t="array" ref="I591">_xlfn.SWITCH(Raw_Data!D591,"Yes","International Customer","No","Domestic Plan","Unknown")</f>
        <v>Domestic Plan</v>
      </c>
      <c r="J591" s="1" t="str">
        <f>IF(ISERROR(Raw_Data!G591/0),"Error","Valid")</f>
        <v>Error</v>
      </c>
      <c r="K591" s="1" t="str">
        <f>IF(ISBLANK(Raw_Data!A591),"Missing","Available")</f>
        <v>Available</v>
      </c>
      <c r="L591" s="5" t="str">
        <f>IF(ISNUMBER(Raw_Data!G591),"Numeric","Not Numeric")</f>
        <v>Numeric</v>
      </c>
    </row>
    <row r="592" spans="1:12" x14ac:dyDescent="0.25">
      <c r="A592" s="4" t="str">
        <f>Raw_Data!A592</f>
        <v>MI</v>
      </c>
      <c r="B592" s="1" t="b">
        <f>Raw_Data!T592</f>
        <v>1</v>
      </c>
      <c r="C592" s="1" t="str">
        <f t="shared" si="9"/>
        <v>Churned</v>
      </c>
      <c r="D592" s="1" t="str">
        <f>IF(Raw_Data!S592=0,"Low Contact",IF(Raw_Data!S592&lt;=2,"Normal Contact","High Contact"))</f>
        <v>Normal Contact</v>
      </c>
      <c r="E592" s="1" t="str">
        <f>IF(AND(Raw_Data!G592&gt;200,Raw_Data!H592&gt;100),"High Usage","Normal Usage")</f>
        <v>Normal Usage</v>
      </c>
      <c r="F592" s="1" t="str" cm="1">
        <f t="array" ref="F592">_xlfn.IFS(B592=TRUE,"High Risk",AND(Raw_Data!S592&gt;=3,Raw_Data!G592&gt;200),"High Risk",Raw_Data!S592&gt;=2,"Medium Risk",TRUE,"Low Risk")</f>
        <v>High Risk</v>
      </c>
      <c r="G592" s="1" t="str">
        <f>IF(OR(Raw_Data!D592="Yes",Raw_Data!E592="Yes"),"Has Plan","No Special Plan")</f>
        <v>Has Plan</v>
      </c>
      <c r="H592" s="1" t="str">
        <f>IF(NOT(Raw_Data!S592&gt;=3),"Normal Service Contact","Frequent Service Contact")</f>
        <v>Normal Service Contact</v>
      </c>
      <c r="I592" s="1" t="str" cm="1">
        <f t="array" ref="I592">_xlfn.SWITCH(Raw_Data!D592,"Yes","International Customer","No","Domestic Plan","Unknown")</f>
        <v>International Customer</v>
      </c>
      <c r="J592" s="1" t="str">
        <f>IF(ISERROR(Raw_Data!G592/0),"Error","Valid")</f>
        <v>Error</v>
      </c>
      <c r="K592" s="1" t="str">
        <f>IF(ISBLANK(Raw_Data!A592),"Missing","Available")</f>
        <v>Available</v>
      </c>
      <c r="L592" s="5" t="str">
        <f>IF(ISNUMBER(Raw_Data!G592),"Numeric","Not Numeric")</f>
        <v>Numeric</v>
      </c>
    </row>
    <row r="593" spans="1:12" x14ac:dyDescent="0.25">
      <c r="A593" s="4" t="str">
        <f>Raw_Data!A593</f>
        <v>MO</v>
      </c>
      <c r="B593" s="1" t="b">
        <f>Raw_Data!T593</f>
        <v>0</v>
      </c>
      <c r="C593" s="1" t="str">
        <f t="shared" si="9"/>
        <v>Retained</v>
      </c>
      <c r="D593" s="1" t="str">
        <f>IF(Raw_Data!S593=0,"Low Contact",IF(Raw_Data!S593&lt;=2,"Normal Contact","High Contact"))</f>
        <v>Normal Contact</v>
      </c>
      <c r="E593" s="1" t="str">
        <f>IF(AND(Raw_Data!G593&gt;200,Raw_Data!H593&gt;100),"High Usage","Normal Usage")</f>
        <v>Normal Usage</v>
      </c>
      <c r="F593" s="1" t="str" cm="1">
        <f t="array" ref="F593">_xlfn.IFS(B593=TRUE,"High Risk",AND(Raw_Data!S593&gt;=3,Raw_Data!G593&gt;200),"High Risk",Raw_Data!S593&gt;=2,"Medium Risk",TRUE,"Low Risk")</f>
        <v>Low Risk</v>
      </c>
      <c r="G593" s="1" t="str">
        <f>IF(OR(Raw_Data!D593="Yes",Raw_Data!E593="Yes"),"Has Plan","No Special Plan")</f>
        <v>Has Plan</v>
      </c>
      <c r="H593" s="1" t="str">
        <f>IF(NOT(Raw_Data!S593&gt;=3),"Normal Service Contact","Frequent Service Contact")</f>
        <v>Normal Service Contact</v>
      </c>
      <c r="I593" s="1" t="str" cm="1">
        <f t="array" ref="I593">_xlfn.SWITCH(Raw_Data!D593,"Yes","International Customer","No","Domestic Plan","Unknown")</f>
        <v>International Customer</v>
      </c>
      <c r="J593" s="1" t="str">
        <f>IF(ISERROR(Raw_Data!G593/0),"Error","Valid")</f>
        <v>Error</v>
      </c>
      <c r="K593" s="1" t="str">
        <f>IF(ISBLANK(Raw_Data!A593),"Missing","Available")</f>
        <v>Available</v>
      </c>
      <c r="L593" s="5" t="str">
        <f>IF(ISNUMBER(Raw_Data!G593),"Numeric","Not Numeric")</f>
        <v>Numeric</v>
      </c>
    </row>
    <row r="594" spans="1:12" x14ac:dyDescent="0.25">
      <c r="A594" s="4" t="str">
        <f>Raw_Data!A594</f>
        <v>AL</v>
      </c>
      <c r="B594" s="1" t="b">
        <f>Raw_Data!T594</f>
        <v>0</v>
      </c>
      <c r="C594" s="1" t="str">
        <f t="shared" si="9"/>
        <v>Retained</v>
      </c>
      <c r="D594" s="1" t="str">
        <f>IF(Raw_Data!S594=0,"Low Contact",IF(Raw_Data!S594&lt;=2,"Normal Contact","High Contact"))</f>
        <v>Normal Contact</v>
      </c>
      <c r="E594" s="1" t="str">
        <f>IF(AND(Raw_Data!G594&gt;200,Raw_Data!H594&gt;100),"High Usage","Normal Usage")</f>
        <v>Normal Usage</v>
      </c>
      <c r="F594" s="1" t="str" cm="1">
        <f t="array" ref="F594">_xlfn.IFS(B594=TRUE,"High Risk",AND(Raw_Data!S594&gt;=3,Raw_Data!G594&gt;200),"High Risk",Raw_Data!S594&gt;=2,"Medium Risk",TRUE,"Low Risk")</f>
        <v>Low Risk</v>
      </c>
      <c r="G594" s="1" t="str">
        <f>IF(OR(Raw_Data!D594="Yes",Raw_Data!E594="Yes"),"Has Plan","No Special Plan")</f>
        <v>Has Plan</v>
      </c>
      <c r="H594" s="1" t="str">
        <f>IF(NOT(Raw_Data!S594&gt;=3),"Normal Service Contact","Frequent Service Contact")</f>
        <v>Normal Service Contact</v>
      </c>
      <c r="I594" s="1" t="str" cm="1">
        <f t="array" ref="I594">_xlfn.SWITCH(Raw_Data!D594,"Yes","International Customer","No","Domestic Plan","Unknown")</f>
        <v>Domestic Plan</v>
      </c>
      <c r="J594" s="1" t="str">
        <f>IF(ISERROR(Raw_Data!G594/0),"Error","Valid")</f>
        <v>Error</v>
      </c>
      <c r="K594" s="1" t="str">
        <f>IF(ISBLANK(Raw_Data!A594),"Missing","Available")</f>
        <v>Available</v>
      </c>
      <c r="L594" s="5" t="str">
        <f>IF(ISNUMBER(Raw_Data!G594),"Numeric","Not Numeric")</f>
        <v>Numeric</v>
      </c>
    </row>
    <row r="595" spans="1:12" x14ac:dyDescent="0.25">
      <c r="A595" s="4" t="str">
        <f>Raw_Data!A595</f>
        <v>VT</v>
      </c>
      <c r="B595" s="1" t="b">
        <f>Raw_Data!T595</f>
        <v>1</v>
      </c>
      <c r="C595" s="1" t="str">
        <f t="shared" si="9"/>
        <v>Churned</v>
      </c>
      <c r="D595" s="1" t="str">
        <f>IF(Raw_Data!S595=0,"Low Contact",IF(Raw_Data!S595&lt;=2,"Normal Contact","High Contact"))</f>
        <v>Normal Contact</v>
      </c>
      <c r="E595" s="1" t="str">
        <f>IF(AND(Raw_Data!G595&gt;200,Raw_Data!H595&gt;100),"High Usage","Normal Usage")</f>
        <v>High Usage</v>
      </c>
      <c r="F595" s="1" t="str" cm="1">
        <f t="array" ref="F595">_xlfn.IFS(B595=TRUE,"High Risk",AND(Raw_Data!S595&gt;=3,Raw_Data!G595&gt;200),"High Risk",Raw_Data!S595&gt;=2,"Medium Risk",TRUE,"Low Risk")</f>
        <v>High Risk</v>
      </c>
      <c r="G595" s="1" t="str">
        <f>IF(OR(Raw_Data!D595="Yes",Raw_Data!E595="Yes"),"Has Plan","No Special Plan")</f>
        <v>No Special Plan</v>
      </c>
      <c r="H595" s="1" t="str">
        <f>IF(NOT(Raw_Data!S595&gt;=3),"Normal Service Contact","Frequent Service Contact")</f>
        <v>Normal Service Contact</v>
      </c>
      <c r="I595" s="1" t="str" cm="1">
        <f t="array" ref="I595">_xlfn.SWITCH(Raw_Data!D595,"Yes","International Customer","No","Domestic Plan","Unknown")</f>
        <v>Domestic Plan</v>
      </c>
      <c r="J595" s="1" t="str">
        <f>IF(ISERROR(Raw_Data!G595/0),"Error","Valid")</f>
        <v>Error</v>
      </c>
      <c r="K595" s="1" t="str">
        <f>IF(ISBLANK(Raw_Data!A595),"Missing","Available")</f>
        <v>Available</v>
      </c>
      <c r="L595" s="5" t="str">
        <f>IF(ISNUMBER(Raw_Data!G595),"Numeric","Not Numeric")</f>
        <v>Numeric</v>
      </c>
    </row>
    <row r="596" spans="1:12" x14ac:dyDescent="0.25">
      <c r="A596" s="4" t="str">
        <f>Raw_Data!A596</f>
        <v>VA</v>
      </c>
      <c r="B596" s="1" t="b">
        <f>Raw_Data!T596</f>
        <v>0</v>
      </c>
      <c r="C596" s="1" t="str">
        <f t="shared" si="9"/>
        <v>Retained</v>
      </c>
      <c r="D596" s="1" t="str">
        <f>IF(Raw_Data!S596=0,"Low Contact",IF(Raw_Data!S596&lt;=2,"Normal Contact","High Contact"))</f>
        <v>Normal Contact</v>
      </c>
      <c r="E596" s="1" t="str">
        <f>IF(AND(Raw_Data!G596&gt;200,Raw_Data!H596&gt;100),"High Usage","Normal Usage")</f>
        <v>Normal Usage</v>
      </c>
      <c r="F596" s="1" t="str" cm="1">
        <f t="array" ref="F596">_xlfn.IFS(B596=TRUE,"High Risk",AND(Raw_Data!S596&gt;=3,Raw_Data!G596&gt;200),"High Risk",Raw_Data!S596&gt;=2,"Medium Risk",TRUE,"Low Risk")</f>
        <v>Low Risk</v>
      </c>
      <c r="G596" s="1" t="str">
        <f>IF(OR(Raw_Data!D596="Yes",Raw_Data!E596="Yes"),"Has Plan","No Special Plan")</f>
        <v>Has Plan</v>
      </c>
      <c r="H596" s="1" t="str">
        <f>IF(NOT(Raw_Data!S596&gt;=3),"Normal Service Contact","Frequent Service Contact")</f>
        <v>Normal Service Contact</v>
      </c>
      <c r="I596" s="1" t="str" cm="1">
        <f t="array" ref="I596">_xlfn.SWITCH(Raw_Data!D596,"Yes","International Customer","No","Domestic Plan","Unknown")</f>
        <v>Domestic Plan</v>
      </c>
      <c r="J596" s="1" t="str">
        <f>IF(ISERROR(Raw_Data!G596/0),"Error","Valid")</f>
        <v>Error</v>
      </c>
      <c r="K596" s="1" t="str">
        <f>IF(ISBLANK(Raw_Data!A596),"Missing","Available")</f>
        <v>Available</v>
      </c>
      <c r="L596" s="5" t="str">
        <f>IF(ISNUMBER(Raw_Data!G596),"Numeric","Not Numeric")</f>
        <v>Numeric</v>
      </c>
    </row>
    <row r="597" spans="1:12" x14ac:dyDescent="0.25">
      <c r="A597" s="4" t="str">
        <f>Raw_Data!A597</f>
        <v>RI</v>
      </c>
      <c r="B597" s="1" t="b">
        <f>Raw_Data!T597</f>
        <v>0</v>
      </c>
      <c r="C597" s="1" t="str">
        <f t="shared" si="9"/>
        <v>Retained</v>
      </c>
      <c r="D597" s="1" t="str">
        <f>IF(Raw_Data!S597=0,"Low Contact",IF(Raw_Data!S597&lt;=2,"Normal Contact","High Contact"))</f>
        <v>Normal Contact</v>
      </c>
      <c r="E597" s="1" t="str">
        <f>IF(AND(Raw_Data!G597&gt;200,Raw_Data!H597&gt;100),"High Usage","Normal Usage")</f>
        <v>Normal Usage</v>
      </c>
      <c r="F597" s="1" t="str" cm="1">
        <f t="array" ref="F597">_xlfn.IFS(B597=TRUE,"High Risk",AND(Raw_Data!S597&gt;=3,Raw_Data!G597&gt;200),"High Risk",Raw_Data!S597&gt;=2,"Medium Risk",TRUE,"Low Risk")</f>
        <v>Low Risk</v>
      </c>
      <c r="G597" s="1" t="str">
        <f>IF(OR(Raw_Data!D597="Yes",Raw_Data!E597="Yes"),"Has Plan","No Special Plan")</f>
        <v>No Special Plan</v>
      </c>
      <c r="H597" s="1" t="str">
        <f>IF(NOT(Raw_Data!S597&gt;=3),"Normal Service Contact","Frequent Service Contact")</f>
        <v>Normal Service Contact</v>
      </c>
      <c r="I597" s="1" t="str" cm="1">
        <f t="array" ref="I597">_xlfn.SWITCH(Raw_Data!D597,"Yes","International Customer","No","Domestic Plan","Unknown")</f>
        <v>Domestic Plan</v>
      </c>
      <c r="J597" s="1" t="str">
        <f>IF(ISERROR(Raw_Data!G597/0),"Error","Valid")</f>
        <v>Error</v>
      </c>
      <c r="K597" s="1" t="str">
        <f>IF(ISBLANK(Raw_Data!A597),"Missing","Available")</f>
        <v>Available</v>
      </c>
      <c r="L597" s="5" t="str">
        <f>IF(ISNUMBER(Raw_Data!G597),"Numeric","Not Numeric")</f>
        <v>Numeric</v>
      </c>
    </row>
    <row r="598" spans="1:12" x14ac:dyDescent="0.25">
      <c r="A598" s="4" t="str">
        <f>Raw_Data!A598</f>
        <v>MD</v>
      </c>
      <c r="B598" s="1" t="b">
        <f>Raw_Data!T598</f>
        <v>0</v>
      </c>
      <c r="C598" s="1" t="str">
        <f t="shared" si="9"/>
        <v>Retained</v>
      </c>
      <c r="D598" s="1" t="str">
        <f>IF(Raw_Data!S598=0,"Low Contact",IF(Raw_Data!S598&lt;=2,"Normal Contact","High Contact"))</f>
        <v>High Contact</v>
      </c>
      <c r="E598" s="1" t="str">
        <f>IF(AND(Raw_Data!G598&gt;200,Raw_Data!H598&gt;100),"High Usage","Normal Usage")</f>
        <v>High Usage</v>
      </c>
      <c r="F598" s="1" t="str" cm="1">
        <f t="array" ref="F598">_xlfn.IFS(B598=TRUE,"High Risk",AND(Raw_Data!S598&gt;=3,Raw_Data!G598&gt;200),"High Risk",Raw_Data!S598&gt;=2,"Medium Risk",TRUE,"Low Risk")</f>
        <v>High Risk</v>
      </c>
      <c r="G598" s="1" t="str">
        <f>IF(OR(Raw_Data!D598="Yes",Raw_Data!E598="Yes"),"Has Plan","No Special Plan")</f>
        <v>No Special Plan</v>
      </c>
      <c r="H598" s="1" t="str">
        <f>IF(NOT(Raw_Data!S598&gt;=3),"Normal Service Contact","Frequent Service Contact")</f>
        <v>Frequent Service Contact</v>
      </c>
      <c r="I598" s="1" t="str" cm="1">
        <f t="array" ref="I598">_xlfn.SWITCH(Raw_Data!D598,"Yes","International Customer","No","Domestic Plan","Unknown")</f>
        <v>Domestic Plan</v>
      </c>
      <c r="J598" s="1" t="str">
        <f>IF(ISERROR(Raw_Data!G598/0),"Error","Valid")</f>
        <v>Error</v>
      </c>
      <c r="K598" s="1" t="str">
        <f>IF(ISBLANK(Raw_Data!A598),"Missing","Available")</f>
        <v>Available</v>
      </c>
      <c r="L598" s="5" t="str">
        <f>IF(ISNUMBER(Raw_Data!G598),"Numeric","Not Numeric")</f>
        <v>Numeric</v>
      </c>
    </row>
    <row r="599" spans="1:12" x14ac:dyDescent="0.25">
      <c r="A599" s="4" t="str">
        <f>Raw_Data!A599</f>
        <v>OH</v>
      </c>
      <c r="B599" s="1" t="b">
        <f>Raw_Data!T599</f>
        <v>0</v>
      </c>
      <c r="C599" s="1" t="str">
        <f t="shared" si="9"/>
        <v>Retained</v>
      </c>
      <c r="D599" s="1" t="str">
        <f>IF(Raw_Data!S599=0,"Low Contact",IF(Raw_Data!S599&lt;=2,"Normal Contact","High Contact"))</f>
        <v>Low Contact</v>
      </c>
      <c r="E599" s="1" t="str">
        <f>IF(AND(Raw_Data!G599&gt;200,Raw_Data!H599&gt;100),"High Usage","Normal Usage")</f>
        <v>Normal Usage</v>
      </c>
      <c r="F599" s="1" t="str" cm="1">
        <f t="array" ref="F599">_xlfn.IFS(B599=TRUE,"High Risk",AND(Raw_Data!S599&gt;=3,Raw_Data!G599&gt;200),"High Risk",Raw_Data!S599&gt;=2,"Medium Risk",TRUE,"Low Risk")</f>
        <v>Low Risk</v>
      </c>
      <c r="G599" s="1" t="str">
        <f>IF(OR(Raw_Data!D599="Yes",Raw_Data!E599="Yes"),"Has Plan","No Special Plan")</f>
        <v>Has Plan</v>
      </c>
      <c r="H599" s="1" t="str">
        <f>IF(NOT(Raw_Data!S599&gt;=3),"Normal Service Contact","Frequent Service Contact")</f>
        <v>Normal Service Contact</v>
      </c>
      <c r="I599" s="1" t="str" cm="1">
        <f t="array" ref="I599">_xlfn.SWITCH(Raw_Data!D599,"Yes","International Customer","No","Domestic Plan","Unknown")</f>
        <v>Domestic Plan</v>
      </c>
      <c r="J599" s="1" t="str">
        <f>IF(ISERROR(Raw_Data!G599/0),"Error","Valid")</f>
        <v>Error</v>
      </c>
      <c r="K599" s="1" t="str">
        <f>IF(ISBLANK(Raw_Data!A599),"Missing","Available")</f>
        <v>Available</v>
      </c>
      <c r="L599" s="5" t="str">
        <f>IF(ISNUMBER(Raw_Data!G599),"Numeric","Not Numeric")</f>
        <v>Numeric</v>
      </c>
    </row>
    <row r="600" spans="1:12" x14ac:dyDescent="0.25">
      <c r="A600" s="4" t="str">
        <f>Raw_Data!A600</f>
        <v>CO</v>
      </c>
      <c r="B600" s="1" t="b">
        <f>Raw_Data!T600</f>
        <v>0</v>
      </c>
      <c r="C600" s="1" t="str">
        <f t="shared" si="9"/>
        <v>Retained</v>
      </c>
      <c r="D600" s="1" t="str">
        <f>IF(Raw_Data!S600=0,"Low Contact",IF(Raw_Data!S600&lt;=2,"Normal Contact","High Contact"))</f>
        <v>Normal Contact</v>
      </c>
      <c r="E600" s="1" t="str">
        <f>IF(AND(Raw_Data!G600&gt;200,Raw_Data!H600&gt;100),"High Usage","Normal Usage")</f>
        <v>Normal Usage</v>
      </c>
      <c r="F600" s="1" t="str" cm="1">
        <f t="array" ref="F600">_xlfn.IFS(B600=TRUE,"High Risk",AND(Raw_Data!S600&gt;=3,Raw_Data!G600&gt;200),"High Risk",Raw_Data!S600&gt;=2,"Medium Risk",TRUE,"Low Risk")</f>
        <v>Low Risk</v>
      </c>
      <c r="G600" s="1" t="str">
        <f>IF(OR(Raw_Data!D600="Yes",Raw_Data!E600="Yes"),"Has Plan","No Special Plan")</f>
        <v>Has Plan</v>
      </c>
      <c r="H600" s="1" t="str">
        <f>IF(NOT(Raw_Data!S600&gt;=3),"Normal Service Contact","Frequent Service Contact")</f>
        <v>Normal Service Contact</v>
      </c>
      <c r="I600" s="1" t="str" cm="1">
        <f t="array" ref="I600">_xlfn.SWITCH(Raw_Data!D600,"Yes","International Customer","No","Domestic Plan","Unknown")</f>
        <v>Domestic Plan</v>
      </c>
      <c r="J600" s="1" t="str">
        <f>IF(ISERROR(Raw_Data!G600/0),"Error","Valid")</f>
        <v>Error</v>
      </c>
      <c r="K600" s="1" t="str">
        <f>IF(ISBLANK(Raw_Data!A600),"Missing","Available")</f>
        <v>Available</v>
      </c>
      <c r="L600" s="5" t="str">
        <f>IF(ISNUMBER(Raw_Data!G600),"Numeric","Not Numeric")</f>
        <v>Numeric</v>
      </c>
    </row>
    <row r="601" spans="1:12" x14ac:dyDescent="0.25">
      <c r="A601" s="4" t="str">
        <f>Raw_Data!A601</f>
        <v>UT</v>
      </c>
      <c r="B601" s="1" t="b">
        <f>Raw_Data!T601</f>
        <v>0</v>
      </c>
      <c r="C601" s="1" t="str">
        <f t="shared" si="9"/>
        <v>Retained</v>
      </c>
      <c r="D601" s="1" t="str">
        <f>IF(Raw_Data!S601=0,"Low Contact",IF(Raw_Data!S601&lt;=2,"Normal Contact","High Contact"))</f>
        <v>Normal Contact</v>
      </c>
      <c r="E601" s="1" t="str">
        <f>IF(AND(Raw_Data!G601&gt;200,Raw_Data!H601&gt;100),"High Usage","Normal Usage")</f>
        <v>Normal Usage</v>
      </c>
      <c r="F601" s="1" t="str" cm="1">
        <f t="array" ref="F601">_xlfn.IFS(B601=TRUE,"High Risk",AND(Raw_Data!S601&gt;=3,Raw_Data!G601&gt;200),"High Risk",Raw_Data!S601&gt;=2,"Medium Risk",TRUE,"Low Risk")</f>
        <v>Low Risk</v>
      </c>
      <c r="G601" s="1" t="str">
        <f>IF(OR(Raw_Data!D601="Yes",Raw_Data!E601="Yes"),"Has Plan","No Special Plan")</f>
        <v>No Special Plan</v>
      </c>
      <c r="H601" s="1" t="str">
        <f>IF(NOT(Raw_Data!S601&gt;=3),"Normal Service Contact","Frequent Service Contact")</f>
        <v>Normal Service Contact</v>
      </c>
      <c r="I601" s="1" t="str" cm="1">
        <f t="array" ref="I601">_xlfn.SWITCH(Raw_Data!D601,"Yes","International Customer","No","Domestic Plan","Unknown")</f>
        <v>Domestic Plan</v>
      </c>
      <c r="J601" s="1" t="str">
        <f>IF(ISERROR(Raw_Data!G601/0),"Error","Valid")</f>
        <v>Error</v>
      </c>
      <c r="K601" s="1" t="str">
        <f>IF(ISBLANK(Raw_Data!A601),"Missing","Available")</f>
        <v>Available</v>
      </c>
      <c r="L601" s="5" t="str">
        <f>IF(ISNUMBER(Raw_Data!G601),"Numeric","Not Numeric")</f>
        <v>Numeric</v>
      </c>
    </row>
    <row r="602" spans="1:12" x14ac:dyDescent="0.25">
      <c r="A602" s="4" t="str">
        <f>Raw_Data!A602</f>
        <v>CO</v>
      </c>
      <c r="B602" s="1" t="b">
        <f>Raw_Data!T602</f>
        <v>0</v>
      </c>
      <c r="C602" s="1" t="str">
        <f t="shared" si="9"/>
        <v>Retained</v>
      </c>
      <c r="D602" s="1" t="str">
        <f>IF(Raw_Data!S602=0,"Low Contact",IF(Raw_Data!S602&lt;=2,"Normal Contact","High Contact"))</f>
        <v>Low Contact</v>
      </c>
      <c r="E602" s="1" t="str">
        <f>IF(AND(Raw_Data!G602&gt;200,Raw_Data!H602&gt;100),"High Usage","Normal Usage")</f>
        <v>Normal Usage</v>
      </c>
      <c r="F602" s="1" t="str" cm="1">
        <f t="array" ref="F602">_xlfn.IFS(B602=TRUE,"High Risk",AND(Raw_Data!S602&gt;=3,Raw_Data!G602&gt;200),"High Risk",Raw_Data!S602&gt;=2,"Medium Risk",TRUE,"Low Risk")</f>
        <v>Low Risk</v>
      </c>
      <c r="G602" s="1" t="str">
        <f>IF(OR(Raw_Data!D602="Yes",Raw_Data!E602="Yes"),"Has Plan","No Special Plan")</f>
        <v>No Special Plan</v>
      </c>
      <c r="H602" s="1" t="str">
        <f>IF(NOT(Raw_Data!S602&gt;=3),"Normal Service Contact","Frequent Service Contact")</f>
        <v>Normal Service Contact</v>
      </c>
      <c r="I602" s="1" t="str" cm="1">
        <f t="array" ref="I602">_xlfn.SWITCH(Raw_Data!D602,"Yes","International Customer","No","Domestic Plan","Unknown")</f>
        <v>Domestic Plan</v>
      </c>
      <c r="J602" s="1" t="str">
        <f>IF(ISERROR(Raw_Data!G602/0),"Error","Valid")</f>
        <v>Error</v>
      </c>
      <c r="K602" s="1" t="str">
        <f>IF(ISBLANK(Raw_Data!A602),"Missing","Available")</f>
        <v>Available</v>
      </c>
      <c r="L602" s="5" t="str">
        <f>IF(ISNUMBER(Raw_Data!G602),"Numeric","Not Numeric")</f>
        <v>Numeric</v>
      </c>
    </row>
    <row r="603" spans="1:12" x14ac:dyDescent="0.25">
      <c r="A603" s="4" t="str">
        <f>Raw_Data!A603</f>
        <v>KY</v>
      </c>
      <c r="B603" s="1" t="b">
        <f>Raw_Data!T603</f>
        <v>0</v>
      </c>
      <c r="C603" s="1" t="str">
        <f t="shared" si="9"/>
        <v>Retained</v>
      </c>
      <c r="D603" s="1" t="str">
        <f>IF(Raw_Data!S603=0,"Low Contact",IF(Raw_Data!S603&lt;=2,"Normal Contact","High Contact"))</f>
        <v>High Contact</v>
      </c>
      <c r="E603" s="1" t="str">
        <f>IF(AND(Raw_Data!G603&gt;200,Raw_Data!H603&gt;100),"High Usage","Normal Usage")</f>
        <v>Normal Usage</v>
      </c>
      <c r="F603" s="1" t="str" cm="1">
        <f t="array" ref="F603">_xlfn.IFS(B603=TRUE,"High Risk",AND(Raw_Data!S603&gt;=3,Raw_Data!G603&gt;200),"High Risk",Raw_Data!S603&gt;=2,"Medium Risk",TRUE,"Low Risk")</f>
        <v>Medium Risk</v>
      </c>
      <c r="G603" s="1" t="str">
        <f>IF(OR(Raw_Data!D603="Yes",Raw_Data!E603="Yes"),"Has Plan","No Special Plan")</f>
        <v>Has Plan</v>
      </c>
      <c r="H603" s="1" t="str">
        <f>IF(NOT(Raw_Data!S603&gt;=3),"Normal Service Contact","Frequent Service Contact")</f>
        <v>Frequent Service Contact</v>
      </c>
      <c r="I603" s="1" t="str" cm="1">
        <f t="array" ref="I603">_xlfn.SWITCH(Raw_Data!D603,"Yes","International Customer","No","Domestic Plan","Unknown")</f>
        <v>International Customer</v>
      </c>
      <c r="J603" s="1" t="str">
        <f>IF(ISERROR(Raw_Data!G603/0),"Error","Valid")</f>
        <v>Error</v>
      </c>
      <c r="K603" s="1" t="str">
        <f>IF(ISBLANK(Raw_Data!A603),"Missing","Available")</f>
        <v>Available</v>
      </c>
      <c r="L603" s="5" t="str">
        <f>IF(ISNUMBER(Raw_Data!G603),"Numeric","Not Numeric")</f>
        <v>Numeric</v>
      </c>
    </row>
    <row r="604" spans="1:12" x14ac:dyDescent="0.25">
      <c r="A604" s="4" t="str">
        <f>Raw_Data!A604</f>
        <v>DC</v>
      </c>
      <c r="B604" s="1" t="b">
        <f>Raw_Data!T604</f>
        <v>0</v>
      </c>
      <c r="C604" s="1" t="str">
        <f t="shared" si="9"/>
        <v>Retained</v>
      </c>
      <c r="D604" s="1" t="str">
        <f>IF(Raw_Data!S604=0,"Low Contact",IF(Raw_Data!S604&lt;=2,"Normal Contact","High Contact"))</f>
        <v>Normal Contact</v>
      </c>
      <c r="E604" s="1" t="str">
        <f>IF(AND(Raw_Data!G604&gt;200,Raw_Data!H604&gt;100),"High Usage","Normal Usage")</f>
        <v>Normal Usage</v>
      </c>
      <c r="F604" s="1" t="str" cm="1">
        <f t="array" ref="F604">_xlfn.IFS(B604=TRUE,"High Risk",AND(Raw_Data!S604&gt;=3,Raw_Data!G604&gt;200),"High Risk",Raw_Data!S604&gt;=2,"Medium Risk",TRUE,"Low Risk")</f>
        <v>Low Risk</v>
      </c>
      <c r="G604" s="1" t="str">
        <f>IF(OR(Raw_Data!D604="Yes",Raw_Data!E604="Yes"),"Has Plan","No Special Plan")</f>
        <v>No Special Plan</v>
      </c>
      <c r="H604" s="1" t="str">
        <f>IF(NOT(Raw_Data!S604&gt;=3),"Normal Service Contact","Frequent Service Contact")</f>
        <v>Normal Service Contact</v>
      </c>
      <c r="I604" s="1" t="str" cm="1">
        <f t="array" ref="I604">_xlfn.SWITCH(Raw_Data!D604,"Yes","International Customer","No","Domestic Plan","Unknown")</f>
        <v>Domestic Plan</v>
      </c>
      <c r="J604" s="1" t="str">
        <f>IF(ISERROR(Raw_Data!G604/0),"Error","Valid")</f>
        <v>Error</v>
      </c>
      <c r="K604" s="1" t="str">
        <f>IF(ISBLANK(Raw_Data!A604),"Missing","Available")</f>
        <v>Available</v>
      </c>
      <c r="L604" s="5" t="str">
        <f>IF(ISNUMBER(Raw_Data!G604),"Numeric","Not Numeric")</f>
        <v>Numeric</v>
      </c>
    </row>
    <row r="605" spans="1:12" x14ac:dyDescent="0.25">
      <c r="A605" s="4" t="str">
        <f>Raw_Data!A605</f>
        <v>MA</v>
      </c>
      <c r="B605" s="1" t="b">
        <f>Raw_Data!T605</f>
        <v>0</v>
      </c>
      <c r="C605" s="1" t="str">
        <f t="shared" si="9"/>
        <v>Retained</v>
      </c>
      <c r="D605" s="1" t="str">
        <f>IF(Raw_Data!S605=0,"Low Contact",IF(Raw_Data!S605&lt;=2,"Normal Contact","High Contact"))</f>
        <v>Low Contact</v>
      </c>
      <c r="E605" s="1" t="str">
        <f>IF(AND(Raw_Data!G605&gt;200,Raw_Data!H605&gt;100),"High Usage","Normal Usage")</f>
        <v>High Usage</v>
      </c>
      <c r="F605" s="1" t="str" cm="1">
        <f t="array" ref="F605">_xlfn.IFS(B605=TRUE,"High Risk",AND(Raw_Data!S605&gt;=3,Raw_Data!G605&gt;200),"High Risk",Raw_Data!S605&gt;=2,"Medium Risk",TRUE,"Low Risk")</f>
        <v>Low Risk</v>
      </c>
      <c r="G605" s="1" t="str">
        <f>IF(OR(Raw_Data!D605="Yes",Raw_Data!E605="Yes"),"Has Plan","No Special Plan")</f>
        <v>No Special Plan</v>
      </c>
      <c r="H605" s="1" t="str">
        <f>IF(NOT(Raw_Data!S605&gt;=3),"Normal Service Contact","Frequent Service Contact")</f>
        <v>Normal Service Contact</v>
      </c>
      <c r="I605" s="1" t="str" cm="1">
        <f t="array" ref="I605">_xlfn.SWITCH(Raw_Data!D605,"Yes","International Customer","No","Domestic Plan","Unknown")</f>
        <v>Domestic Plan</v>
      </c>
      <c r="J605" s="1" t="str">
        <f>IF(ISERROR(Raw_Data!G605/0),"Error","Valid")</f>
        <v>Error</v>
      </c>
      <c r="K605" s="1" t="str">
        <f>IF(ISBLANK(Raw_Data!A605),"Missing","Available")</f>
        <v>Available</v>
      </c>
      <c r="L605" s="5" t="str">
        <f>IF(ISNUMBER(Raw_Data!G605),"Numeric","Not Numeric")</f>
        <v>Numeric</v>
      </c>
    </row>
    <row r="606" spans="1:12" x14ac:dyDescent="0.25">
      <c r="A606" s="4" t="str">
        <f>Raw_Data!A606</f>
        <v>AZ</v>
      </c>
      <c r="B606" s="1" t="b">
        <f>Raw_Data!T606</f>
        <v>0</v>
      </c>
      <c r="C606" s="1" t="str">
        <f t="shared" si="9"/>
        <v>Retained</v>
      </c>
      <c r="D606" s="1" t="str">
        <f>IF(Raw_Data!S606=0,"Low Contact",IF(Raw_Data!S606&lt;=2,"Normal Contact","High Contact"))</f>
        <v>Normal Contact</v>
      </c>
      <c r="E606" s="1" t="str">
        <f>IF(AND(Raw_Data!G606&gt;200,Raw_Data!H606&gt;100),"High Usage","Normal Usage")</f>
        <v>Normal Usage</v>
      </c>
      <c r="F606" s="1" t="str" cm="1">
        <f t="array" ref="F606">_xlfn.IFS(B606=TRUE,"High Risk",AND(Raw_Data!S606&gt;=3,Raw_Data!G606&gt;200),"High Risk",Raw_Data!S606&gt;=2,"Medium Risk",TRUE,"Low Risk")</f>
        <v>Medium Risk</v>
      </c>
      <c r="G606" s="1" t="str">
        <f>IF(OR(Raw_Data!D606="Yes",Raw_Data!E606="Yes"),"Has Plan","No Special Plan")</f>
        <v>No Special Plan</v>
      </c>
      <c r="H606" s="1" t="str">
        <f>IF(NOT(Raw_Data!S606&gt;=3),"Normal Service Contact","Frequent Service Contact")</f>
        <v>Normal Service Contact</v>
      </c>
      <c r="I606" s="1" t="str" cm="1">
        <f t="array" ref="I606">_xlfn.SWITCH(Raw_Data!D606,"Yes","International Customer","No","Domestic Plan","Unknown")</f>
        <v>Domestic Plan</v>
      </c>
      <c r="J606" s="1" t="str">
        <f>IF(ISERROR(Raw_Data!G606/0),"Error","Valid")</f>
        <v>Error</v>
      </c>
      <c r="K606" s="1" t="str">
        <f>IF(ISBLANK(Raw_Data!A606),"Missing","Available")</f>
        <v>Available</v>
      </c>
      <c r="L606" s="5" t="str">
        <f>IF(ISNUMBER(Raw_Data!G606),"Numeric","Not Numeric")</f>
        <v>Numeric</v>
      </c>
    </row>
    <row r="607" spans="1:12" x14ac:dyDescent="0.25">
      <c r="A607" s="4" t="str">
        <f>Raw_Data!A607</f>
        <v>IL</v>
      </c>
      <c r="B607" s="1" t="b">
        <f>Raw_Data!T607</f>
        <v>0</v>
      </c>
      <c r="C607" s="1" t="str">
        <f t="shared" si="9"/>
        <v>Retained</v>
      </c>
      <c r="D607" s="1" t="str">
        <f>IF(Raw_Data!S607=0,"Low Contact",IF(Raw_Data!S607&lt;=2,"Normal Contact","High Contact"))</f>
        <v>Normal Contact</v>
      </c>
      <c r="E607" s="1" t="str">
        <f>IF(AND(Raw_Data!G607&gt;200,Raw_Data!H607&gt;100),"High Usage","Normal Usage")</f>
        <v>High Usage</v>
      </c>
      <c r="F607" s="1" t="str" cm="1">
        <f t="array" ref="F607">_xlfn.IFS(B607=TRUE,"High Risk",AND(Raw_Data!S607&gt;=3,Raw_Data!G607&gt;200),"High Risk",Raw_Data!S607&gt;=2,"Medium Risk",TRUE,"Low Risk")</f>
        <v>Medium Risk</v>
      </c>
      <c r="G607" s="1" t="str">
        <f>IF(OR(Raw_Data!D607="Yes",Raw_Data!E607="Yes"),"Has Plan","No Special Plan")</f>
        <v>No Special Plan</v>
      </c>
      <c r="H607" s="1" t="str">
        <f>IF(NOT(Raw_Data!S607&gt;=3),"Normal Service Contact","Frequent Service Contact")</f>
        <v>Normal Service Contact</v>
      </c>
      <c r="I607" s="1" t="str" cm="1">
        <f t="array" ref="I607">_xlfn.SWITCH(Raw_Data!D607,"Yes","International Customer","No","Domestic Plan","Unknown")</f>
        <v>Domestic Plan</v>
      </c>
      <c r="J607" s="1" t="str">
        <f>IF(ISERROR(Raw_Data!G607/0),"Error","Valid")</f>
        <v>Error</v>
      </c>
      <c r="K607" s="1" t="str">
        <f>IF(ISBLANK(Raw_Data!A607),"Missing","Available")</f>
        <v>Available</v>
      </c>
      <c r="L607" s="5" t="str">
        <f>IF(ISNUMBER(Raw_Data!G607),"Numeric","Not Numeric")</f>
        <v>Numeric</v>
      </c>
    </row>
    <row r="608" spans="1:12" x14ac:dyDescent="0.25">
      <c r="A608" s="4" t="str">
        <f>Raw_Data!A608</f>
        <v>CO</v>
      </c>
      <c r="B608" s="1" t="b">
        <f>Raw_Data!T608</f>
        <v>1</v>
      </c>
      <c r="C608" s="1" t="str">
        <f t="shared" si="9"/>
        <v>Churned</v>
      </c>
      <c r="D608" s="1" t="str">
        <f>IF(Raw_Data!S608=0,"Low Contact",IF(Raw_Data!S608&lt;=2,"Normal Contact","High Contact"))</f>
        <v>High Contact</v>
      </c>
      <c r="E608" s="1" t="str">
        <f>IF(AND(Raw_Data!G608&gt;200,Raw_Data!H608&gt;100),"High Usage","Normal Usage")</f>
        <v>High Usage</v>
      </c>
      <c r="F608" s="1" t="str" cm="1">
        <f t="array" ref="F608">_xlfn.IFS(B608=TRUE,"High Risk",AND(Raw_Data!S608&gt;=3,Raw_Data!G608&gt;200),"High Risk",Raw_Data!S608&gt;=2,"Medium Risk",TRUE,"Low Risk")</f>
        <v>High Risk</v>
      </c>
      <c r="G608" s="1" t="str">
        <f>IF(OR(Raw_Data!D608="Yes",Raw_Data!E608="Yes"),"Has Plan","No Special Plan")</f>
        <v>No Special Plan</v>
      </c>
      <c r="H608" s="1" t="str">
        <f>IF(NOT(Raw_Data!S608&gt;=3),"Normal Service Contact","Frequent Service Contact")</f>
        <v>Frequent Service Contact</v>
      </c>
      <c r="I608" s="1" t="str" cm="1">
        <f t="array" ref="I608">_xlfn.SWITCH(Raw_Data!D608,"Yes","International Customer","No","Domestic Plan","Unknown")</f>
        <v>Domestic Plan</v>
      </c>
      <c r="J608" s="1" t="str">
        <f>IF(ISERROR(Raw_Data!G608/0),"Error","Valid")</f>
        <v>Error</v>
      </c>
      <c r="K608" s="1" t="str">
        <f>IF(ISBLANK(Raw_Data!A608),"Missing","Available")</f>
        <v>Available</v>
      </c>
      <c r="L608" s="5" t="str">
        <f>IF(ISNUMBER(Raw_Data!G608),"Numeric","Not Numeric")</f>
        <v>Numeric</v>
      </c>
    </row>
    <row r="609" spans="1:12" x14ac:dyDescent="0.25">
      <c r="A609" s="4" t="str">
        <f>Raw_Data!A609</f>
        <v>OR</v>
      </c>
      <c r="B609" s="1" t="b">
        <f>Raw_Data!T609</f>
        <v>0</v>
      </c>
      <c r="C609" s="1" t="str">
        <f t="shared" si="9"/>
        <v>Retained</v>
      </c>
      <c r="D609" s="1" t="str">
        <f>IF(Raw_Data!S609=0,"Low Contact",IF(Raw_Data!S609&lt;=2,"Normal Contact","High Contact"))</f>
        <v>High Contact</v>
      </c>
      <c r="E609" s="1" t="str">
        <f>IF(AND(Raw_Data!G609&gt;200,Raw_Data!H609&gt;100),"High Usage","Normal Usage")</f>
        <v>Normal Usage</v>
      </c>
      <c r="F609" s="1" t="str" cm="1">
        <f t="array" ref="F609">_xlfn.IFS(B609=TRUE,"High Risk",AND(Raw_Data!S609&gt;=3,Raw_Data!G609&gt;200),"High Risk",Raw_Data!S609&gt;=2,"Medium Risk",TRUE,"Low Risk")</f>
        <v>Medium Risk</v>
      </c>
      <c r="G609" s="1" t="str">
        <f>IF(OR(Raw_Data!D609="Yes",Raw_Data!E609="Yes"),"Has Plan","No Special Plan")</f>
        <v>No Special Plan</v>
      </c>
      <c r="H609" s="1" t="str">
        <f>IF(NOT(Raw_Data!S609&gt;=3),"Normal Service Contact","Frequent Service Contact")</f>
        <v>Frequent Service Contact</v>
      </c>
      <c r="I609" s="1" t="str" cm="1">
        <f t="array" ref="I609">_xlfn.SWITCH(Raw_Data!D609,"Yes","International Customer","No","Domestic Plan","Unknown")</f>
        <v>Domestic Plan</v>
      </c>
      <c r="J609" s="1" t="str">
        <f>IF(ISERROR(Raw_Data!G609/0),"Error","Valid")</f>
        <v>Error</v>
      </c>
      <c r="K609" s="1" t="str">
        <f>IF(ISBLANK(Raw_Data!A609),"Missing","Available")</f>
        <v>Available</v>
      </c>
      <c r="L609" s="5" t="str">
        <f>IF(ISNUMBER(Raw_Data!G609),"Numeric","Not Numeric")</f>
        <v>Numeric</v>
      </c>
    </row>
    <row r="610" spans="1:12" x14ac:dyDescent="0.25">
      <c r="A610" s="4" t="str">
        <f>Raw_Data!A610</f>
        <v>MS</v>
      </c>
      <c r="B610" s="1" t="b">
        <f>Raw_Data!T610</f>
        <v>0</v>
      </c>
      <c r="C610" s="1" t="str">
        <f t="shared" si="9"/>
        <v>Retained</v>
      </c>
      <c r="D610" s="1" t="str">
        <f>IF(Raw_Data!S610=0,"Low Contact",IF(Raw_Data!S610&lt;=2,"Normal Contact","High Contact"))</f>
        <v>High Contact</v>
      </c>
      <c r="E610" s="1" t="str">
        <f>IF(AND(Raw_Data!G610&gt;200,Raw_Data!H610&gt;100),"High Usage","Normal Usage")</f>
        <v>Normal Usage</v>
      </c>
      <c r="F610" s="1" t="str" cm="1">
        <f t="array" ref="F610">_xlfn.IFS(B610=TRUE,"High Risk",AND(Raw_Data!S610&gt;=3,Raw_Data!G610&gt;200),"High Risk",Raw_Data!S610&gt;=2,"Medium Risk",TRUE,"Low Risk")</f>
        <v>High Risk</v>
      </c>
      <c r="G610" s="1" t="str">
        <f>IF(OR(Raw_Data!D610="Yes",Raw_Data!E610="Yes"),"Has Plan","No Special Plan")</f>
        <v>No Special Plan</v>
      </c>
      <c r="H610" s="1" t="str">
        <f>IF(NOT(Raw_Data!S610&gt;=3),"Normal Service Contact","Frequent Service Contact")</f>
        <v>Frequent Service Contact</v>
      </c>
      <c r="I610" s="1" t="str" cm="1">
        <f t="array" ref="I610">_xlfn.SWITCH(Raw_Data!D610,"Yes","International Customer","No","Domestic Plan","Unknown")</f>
        <v>Domestic Plan</v>
      </c>
      <c r="J610" s="1" t="str">
        <f>IF(ISERROR(Raw_Data!G610/0),"Error","Valid")</f>
        <v>Error</v>
      </c>
      <c r="K610" s="1" t="str">
        <f>IF(ISBLANK(Raw_Data!A610),"Missing","Available")</f>
        <v>Available</v>
      </c>
      <c r="L610" s="5" t="str">
        <f>IF(ISNUMBER(Raw_Data!G610),"Numeric","Not Numeric")</f>
        <v>Numeric</v>
      </c>
    </row>
    <row r="611" spans="1:12" x14ac:dyDescent="0.25">
      <c r="A611" s="4" t="str">
        <f>Raw_Data!A611</f>
        <v>SC</v>
      </c>
      <c r="B611" s="1" t="b">
        <f>Raw_Data!T611</f>
        <v>0</v>
      </c>
      <c r="C611" s="1" t="str">
        <f t="shared" si="9"/>
        <v>Retained</v>
      </c>
      <c r="D611" s="1" t="str">
        <f>IF(Raw_Data!S611=0,"Low Contact",IF(Raw_Data!S611&lt;=2,"Normal Contact","High Contact"))</f>
        <v>Normal Contact</v>
      </c>
      <c r="E611" s="1" t="str">
        <f>IF(AND(Raw_Data!G611&gt;200,Raw_Data!H611&gt;100),"High Usage","Normal Usage")</f>
        <v>Normal Usage</v>
      </c>
      <c r="F611" s="1" t="str" cm="1">
        <f t="array" ref="F611">_xlfn.IFS(B611=TRUE,"High Risk",AND(Raw_Data!S611&gt;=3,Raw_Data!G611&gt;200),"High Risk",Raw_Data!S611&gt;=2,"Medium Risk",TRUE,"Low Risk")</f>
        <v>Low Risk</v>
      </c>
      <c r="G611" s="1" t="str">
        <f>IF(OR(Raw_Data!D611="Yes",Raw_Data!E611="Yes"),"Has Plan","No Special Plan")</f>
        <v>No Special Plan</v>
      </c>
      <c r="H611" s="1" t="str">
        <f>IF(NOT(Raw_Data!S611&gt;=3),"Normal Service Contact","Frequent Service Contact")</f>
        <v>Normal Service Contact</v>
      </c>
      <c r="I611" s="1" t="str" cm="1">
        <f t="array" ref="I611">_xlfn.SWITCH(Raw_Data!D611,"Yes","International Customer","No","Domestic Plan","Unknown")</f>
        <v>Domestic Plan</v>
      </c>
      <c r="J611" s="1" t="str">
        <f>IF(ISERROR(Raw_Data!G611/0),"Error","Valid")</f>
        <v>Error</v>
      </c>
      <c r="K611" s="1" t="str">
        <f>IF(ISBLANK(Raw_Data!A611),"Missing","Available")</f>
        <v>Available</v>
      </c>
      <c r="L611" s="5" t="str">
        <f>IF(ISNUMBER(Raw_Data!G611),"Numeric","Not Numeric")</f>
        <v>Numeric</v>
      </c>
    </row>
    <row r="612" spans="1:12" x14ac:dyDescent="0.25">
      <c r="A612" s="4" t="str">
        <f>Raw_Data!A612</f>
        <v>IN</v>
      </c>
      <c r="B612" s="1" t="b">
        <f>Raw_Data!T612</f>
        <v>0</v>
      </c>
      <c r="C612" s="1" t="str">
        <f t="shared" si="9"/>
        <v>Retained</v>
      </c>
      <c r="D612" s="1" t="str">
        <f>IF(Raw_Data!S612=0,"Low Contact",IF(Raw_Data!S612&lt;=2,"Normal Contact","High Contact"))</f>
        <v>High Contact</v>
      </c>
      <c r="E612" s="1" t="str">
        <f>IF(AND(Raw_Data!G612&gt;200,Raw_Data!H612&gt;100),"High Usage","Normal Usage")</f>
        <v>Normal Usage</v>
      </c>
      <c r="F612" s="1" t="str" cm="1">
        <f t="array" ref="F612">_xlfn.IFS(B612=TRUE,"High Risk",AND(Raw_Data!S612&gt;=3,Raw_Data!G612&gt;200),"High Risk",Raw_Data!S612&gt;=2,"Medium Risk",TRUE,"Low Risk")</f>
        <v>Medium Risk</v>
      </c>
      <c r="G612" s="1" t="str">
        <f>IF(OR(Raw_Data!D612="Yes",Raw_Data!E612="Yes"),"Has Plan","No Special Plan")</f>
        <v>Has Plan</v>
      </c>
      <c r="H612" s="1" t="str">
        <f>IF(NOT(Raw_Data!S612&gt;=3),"Normal Service Contact","Frequent Service Contact")</f>
        <v>Frequent Service Contact</v>
      </c>
      <c r="I612" s="1" t="str" cm="1">
        <f t="array" ref="I612">_xlfn.SWITCH(Raw_Data!D612,"Yes","International Customer","No","Domestic Plan","Unknown")</f>
        <v>Domestic Plan</v>
      </c>
      <c r="J612" s="1" t="str">
        <f>IF(ISERROR(Raw_Data!G612/0),"Error","Valid")</f>
        <v>Error</v>
      </c>
      <c r="K612" s="1" t="str">
        <f>IF(ISBLANK(Raw_Data!A612),"Missing","Available")</f>
        <v>Available</v>
      </c>
      <c r="L612" s="5" t="str">
        <f>IF(ISNUMBER(Raw_Data!G612),"Numeric","Not Numeric")</f>
        <v>Numeric</v>
      </c>
    </row>
    <row r="613" spans="1:12" x14ac:dyDescent="0.25">
      <c r="A613" s="4" t="str">
        <f>Raw_Data!A613</f>
        <v>ME</v>
      </c>
      <c r="B613" s="1" t="b">
        <f>Raw_Data!T613</f>
        <v>0</v>
      </c>
      <c r="C613" s="1" t="str">
        <f t="shared" si="9"/>
        <v>Retained</v>
      </c>
      <c r="D613" s="1" t="str">
        <f>IF(Raw_Data!S613=0,"Low Contact",IF(Raw_Data!S613&lt;=2,"Normal Contact","High Contact"))</f>
        <v>Low Contact</v>
      </c>
      <c r="E613" s="1" t="str">
        <f>IF(AND(Raw_Data!G613&gt;200,Raw_Data!H613&gt;100),"High Usage","Normal Usage")</f>
        <v>High Usage</v>
      </c>
      <c r="F613" s="1" t="str" cm="1">
        <f t="array" ref="F613">_xlfn.IFS(B613=TRUE,"High Risk",AND(Raw_Data!S613&gt;=3,Raw_Data!G613&gt;200),"High Risk",Raw_Data!S613&gt;=2,"Medium Risk",TRUE,"Low Risk")</f>
        <v>Low Risk</v>
      </c>
      <c r="G613" s="1" t="str">
        <f>IF(OR(Raw_Data!D613="Yes",Raw_Data!E613="Yes"),"Has Plan","No Special Plan")</f>
        <v>No Special Plan</v>
      </c>
      <c r="H613" s="1" t="str">
        <f>IF(NOT(Raw_Data!S613&gt;=3),"Normal Service Contact","Frequent Service Contact")</f>
        <v>Normal Service Contact</v>
      </c>
      <c r="I613" s="1" t="str" cm="1">
        <f t="array" ref="I613">_xlfn.SWITCH(Raw_Data!D613,"Yes","International Customer","No","Domestic Plan","Unknown")</f>
        <v>Domestic Plan</v>
      </c>
      <c r="J613" s="1" t="str">
        <f>IF(ISERROR(Raw_Data!G613/0),"Error","Valid")</f>
        <v>Error</v>
      </c>
      <c r="K613" s="1" t="str">
        <f>IF(ISBLANK(Raw_Data!A613),"Missing","Available")</f>
        <v>Available</v>
      </c>
      <c r="L613" s="5" t="str">
        <f>IF(ISNUMBER(Raw_Data!G613),"Numeric","Not Numeric")</f>
        <v>Numeric</v>
      </c>
    </row>
    <row r="614" spans="1:12" x14ac:dyDescent="0.25">
      <c r="A614" s="4" t="str">
        <f>Raw_Data!A614</f>
        <v>DE</v>
      </c>
      <c r="B614" s="1" t="b">
        <f>Raw_Data!T614</f>
        <v>0</v>
      </c>
      <c r="C614" s="1" t="str">
        <f t="shared" si="9"/>
        <v>Retained</v>
      </c>
      <c r="D614" s="1" t="str">
        <f>IF(Raw_Data!S614=0,"Low Contact",IF(Raw_Data!S614&lt;=2,"Normal Contact","High Contact"))</f>
        <v>Low Contact</v>
      </c>
      <c r="E614" s="1" t="str">
        <f>IF(AND(Raw_Data!G614&gt;200,Raw_Data!H614&gt;100),"High Usage","Normal Usage")</f>
        <v>Normal Usage</v>
      </c>
      <c r="F614" s="1" t="str" cm="1">
        <f t="array" ref="F614">_xlfn.IFS(B614=TRUE,"High Risk",AND(Raw_Data!S614&gt;=3,Raw_Data!G614&gt;200),"High Risk",Raw_Data!S614&gt;=2,"Medium Risk",TRUE,"Low Risk")</f>
        <v>Low Risk</v>
      </c>
      <c r="G614" s="1" t="str">
        <f>IF(OR(Raw_Data!D614="Yes",Raw_Data!E614="Yes"),"Has Plan","No Special Plan")</f>
        <v>No Special Plan</v>
      </c>
      <c r="H614" s="1" t="str">
        <f>IF(NOT(Raw_Data!S614&gt;=3),"Normal Service Contact","Frequent Service Contact")</f>
        <v>Normal Service Contact</v>
      </c>
      <c r="I614" s="1" t="str" cm="1">
        <f t="array" ref="I614">_xlfn.SWITCH(Raw_Data!D614,"Yes","International Customer","No","Domestic Plan","Unknown")</f>
        <v>Domestic Plan</v>
      </c>
      <c r="J614" s="1" t="str">
        <f>IF(ISERROR(Raw_Data!G614/0),"Error","Valid")</f>
        <v>Error</v>
      </c>
      <c r="K614" s="1" t="str">
        <f>IF(ISBLANK(Raw_Data!A614),"Missing","Available")</f>
        <v>Available</v>
      </c>
      <c r="L614" s="5" t="str">
        <f>IF(ISNUMBER(Raw_Data!G614),"Numeric","Not Numeric")</f>
        <v>Numeric</v>
      </c>
    </row>
    <row r="615" spans="1:12" x14ac:dyDescent="0.25">
      <c r="A615" s="4" t="str">
        <f>Raw_Data!A615</f>
        <v>OR</v>
      </c>
      <c r="B615" s="1" t="b">
        <f>Raw_Data!T615</f>
        <v>0</v>
      </c>
      <c r="C615" s="1" t="str">
        <f t="shared" si="9"/>
        <v>Retained</v>
      </c>
      <c r="D615" s="1" t="str">
        <f>IF(Raw_Data!S615=0,"Low Contact",IF(Raw_Data!S615&lt;=2,"Normal Contact","High Contact"))</f>
        <v>Normal Contact</v>
      </c>
      <c r="E615" s="1" t="str">
        <f>IF(AND(Raw_Data!G615&gt;200,Raw_Data!H615&gt;100),"High Usage","Normal Usage")</f>
        <v>Normal Usage</v>
      </c>
      <c r="F615" s="1" t="str" cm="1">
        <f t="array" ref="F615">_xlfn.IFS(B615=TRUE,"High Risk",AND(Raw_Data!S615&gt;=3,Raw_Data!G615&gt;200),"High Risk",Raw_Data!S615&gt;=2,"Medium Risk",TRUE,"Low Risk")</f>
        <v>Medium Risk</v>
      </c>
      <c r="G615" s="1" t="str">
        <f>IF(OR(Raw_Data!D615="Yes",Raw_Data!E615="Yes"),"Has Plan","No Special Plan")</f>
        <v>No Special Plan</v>
      </c>
      <c r="H615" s="1" t="str">
        <f>IF(NOT(Raw_Data!S615&gt;=3),"Normal Service Contact","Frequent Service Contact")</f>
        <v>Normal Service Contact</v>
      </c>
      <c r="I615" s="1" t="str" cm="1">
        <f t="array" ref="I615">_xlfn.SWITCH(Raw_Data!D615,"Yes","International Customer","No","Domestic Plan","Unknown")</f>
        <v>Domestic Plan</v>
      </c>
      <c r="J615" s="1" t="str">
        <f>IF(ISERROR(Raw_Data!G615/0),"Error","Valid")</f>
        <v>Error</v>
      </c>
      <c r="K615" s="1" t="str">
        <f>IF(ISBLANK(Raw_Data!A615),"Missing","Available")</f>
        <v>Available</v>
      </c>
      <c r="L615" s="5" t="str">
        <f>IF(ISNUMBER(Raw_Data!G615),"Numeric","Not Numeric")</f>
        <v>Numeric</v>
      </c>
    </row>
    <row r="616" spans="1:12" x14ac:dyDescent="0.25">
      <c r="A616" s="4" t="str">
        <f>Raw_Data!A616</f>
        <v>NJ</v>
      </c>
      <c r="B616" s="1" t="b">
        <f>Raw_Data!T616</f>
        <v>0</v>
      </c>
      <c r="C616" s="1" t="str">
        <f t="shared" si="9"/>
        <v>Retained</v>
      </c>
      <c r="D616" s="1" t="str">
        <f>IF(Raw_Data!S616=0,"Low Contact",IF(Raw_Data!S616&lt;=2,"Normal Contact","High Contact"))</f>
        <v>Low Contact</v>
      </c>
      <c r="E616" s="1" t="str">
        <f>IF(AND(Raw_Data!G616&gt;200,Raw_Data!H616&gt;100),"High Usage","Normal Usage")</f>
        <v>High Usage</v>
      </c>
      <c r="F616" s="1" t="str" cm="1">
        <f t="array" ref="F616">_xlfn.IFS(B616=TRUE,"High Risk",AND(Raw_Data!S616&gt;=3,Raw_Data!G616&gt;200),"High Risk",Raw_Data!S616&gt;=2,"Medium Risk",TRUE,"Low Risk")</f>
        <v>Low Risk</v>
      </c>
      <c r="G616" s="1" t="str">
        <f>IF(OR(Raw_Data!D616="Yes",Raw_Data!E616="Yes"),"Has Plan","No Special Plan")</f>
        <v>No Special Plan</v>
      </c>
      <c r="H616" s="1" t="str">
        <f>IF(NOT(Raw_Data!S616&gt;=3),"Normal Service Contact","Frequent Service Contact")</f>
        <v>Normal Service Contact</v>
      </c>
      <c r="I616" s="1" t="str" cm="1">
        <f t="array" ref="I616">_xlfn.SWITCH(Raw_Data!D616,"Yes","International Customer","No","Domestic Plan","Unknown")</f>
        <v>Domestic Plan</v>
      </c>
      <c r="J616" s="1" t="str">
        <f>IF(ISERROR(Raw_Data!G616/0),"Error","Valid")</f>
        <v>Error</v>
      </c>
      <c r="K616" s="1" t="str">
        <f>IF(ISBLANK(Raw_Data!A616),"Missing","Available")</f>
        <v>Available</v>
      </c>
      <c r="L616" s="5" t="str">
        <f>IF(ISNUMBER(Raw_Data!G616),"Numeric","Not Numeric")</f>
        <v>Numeric</v>
      </c>
    </row>
    <row r="617" spans="1:12" x14ac:dyDescent="0.25">
      <c r="A617" s="4" t="str">
        <f>Raw_Data!A617</f>
        <v>MT</v>
      </c>
      <c r="B617" s="1" t="b">
        <f>Raw_Data!T617</f>
        <v>1</v>
      </c>
      <c r="C617" s="1" t="str">
        <f t="shared" si="9"/>
        <v>Churned</v>
      </c>
      <c r="D617" s="1" t="str">
        <f>IF(Raw_Data!S617=0,"Low Contact",IF(Raw_Data!S617&lt;=2,"Normal Contact","High Contact"))</f>
        <v>High Contact</v>
      </c>
      <c r="E617" s="1" t="str">
        <f>IF(AND(Raw_Data!G617&gt;200,Raw_Data!H617&gt;100),"High Usage","Normal Usage")</f>
        <v>Normal Usage</v>
      </c>
      <c r="F617" s="1" t="str" cm="1">
        <f t="array" ref="F617">_xlfn.IFS(B617=TRUE,"High Risk",AND(Raw_Data!S617&gt;=3,Raw_Data!G617&gt;200),"High Risk",Raw_Data!S617&gt;=2,"Medium Risk",TRUE,"Low Risk")</f>
        <v>High Risk</v>
      </c>
      <c r="G617" s="1" t="str">
        <f>IF(OR(Raw_Data!D617="Yes",Raw_Data!E617="Yes"),"Has Plan","No Special Plan")</f>
        <v>No Special Plan</v>
      </c>
      <c r="H617" s="1" t="str">
        <f>IF(NOT(Raw_Data!S617&gt;=3),"Normal Service Contact","Frequent Service Contact")</f>
        <v>Frequent Service Contact</v>
      </c>
      <c r="I617" s="1" t="str" cm="1">
        <f t="array" ref="I617">_xlfn.SWITCH(Raw_Data!D617,"Yes","International Customer","No","Domestic Plan","Unknown")</f>
        <v>Domestic Plan</v>
      </c>
      <c r="J617" s="1" t="str">
        <f>IF(ISERROR(Raw_Data!G617/0),"Error","Valid")</f>
        <v>Error</v>
      </c>
      <c r="K617" s="1" t="str">
        <f>IF(ISBLANK(Raw_Data!A617),"Missing","Available")</f>
        <v>Available</v>
      </c>
      <c r="L617" s="5" t="str">
        <f>IF(ISNUMBER(Raw_Data!G617),"Numeric","Not Numeric")</f>
        <v>Numeric</v>
      </c>
    </row>
    <row r="618" spans="1:12" x14ac:dyDescent="0.25">
      <c r="A618" s="4" t="str">
        <f>Raw_Data!A618</f>
        <v>WV</v>
      </c>
      <c r="B618" s="1" t="b">
        <f>Raw_Data!T618</f>
        <v>0</v>
      </c>
      <c r="C618" s="1" t="str">
        <f t="shared" si="9"/>
        <v>Retained</v>
      </c>
      <c r="D618" s="1" t="str">
        <f>IF(Raw_Data!S618=0,"Low Contact",IF(Raw_Data!S618&lt;=2,"Normal Contact","High Contact"))</f>
        <v>Normal Contact</v>
      </c>
      <c r="E618" s="1" t="str">
        <f>IF(AND(Raw_Data!G618&gt;200,Raw_Data!H618&gt;100),"High Usage","Normal Usage")</f>
        <v>Normal Usage</v>
      </c>
      <c r="F618" s="1" t="str" cm="1">
        <f t="array" ref="F618">_xlfn.IFS(B618=TRUE,"High Risk",AND(Raw_Data!S618&gt;=3,Raw_Data!G618&gt;200),"High Risk",Raw_Data!S618&gt;=2,"Medium Risk",TRUE,"Low Risk")</f>
        <v>Low Risk</v>
      </c>
      <c r="G618" s="1" t="str">
        <f>IF(OR(Raw_Data!D618="Yes",Raw_Data!E618="Yes"),"Has Plan","No Special Plan")</f>
        <v>No Special Plan</v>
      </c>
      <c r="H618" s="1" t="str">
        <f>IF(NOT(Raw_Data!S618&gt;=3),"Normal Service Contact","Frequent Service Contact")</f>
        <v>Normal Service Contact</v>
      </c>
      <c r="I618" s="1" t="str" cm="1">
        <f t="array" ref="I618">_xlfn.SWITCH(Raw_Data!D618,"Yes","International Customer","No","Domestic Plan","Unknown")</f>
        <v>Domestic Plan</v>
      </c>
      <c r="J618" s="1" t="str">
        <f>IF(ISERROR(Raw_Data!G618/0),"Error","Valid")</f>
        <v>Error</v>
      </c>
      <c r="K618" s="1" t="str">
        <f>IF(ISBLANK(Raw_Data!A618),"Missing","Available")</f>
        <v>Available</v>
      </c>
      <c r="L618" s="5" t="str">
        <f>IF(ISNUMBER(Raw_Data!G618),"Numeric","Not Numeric")</f>
        <v>Numeric</v>
      </c>
    </row>
    <row r="619" spans="1:12" x14ac:dyDescent="0.25">
      <c r="A619" s="4" t="str">
        <f>Raw_Data!A619</f>
        <v>NJ</v>
      </c>
      <c r="B619" s="1" t="b">
        <f>Raw_Data!T619</f>
        <v>0</v>
      </c>
      <c r="C619" s="1" t="str">
        <f t="shared" si="9"/>
        <v>Retained</v>
      </c>
      <c r="D619" s="1" t="str">
        <f>IF(Raw_Data!S619=0,"Low Contact",IF(Raw_Data!S619&lt;=2,"Normal Contact","High Contact"))</f>
        <v>Normal Contact</v>
      </c>
      <c r="E619" s="1" t="str">
        <f>IF(AND(Raw_Data!G619&gt;200,Raw_Data!H619&gt;100),"High Usage","Normal Usage")</f>
        <v>Normal Usage</v>
      </c>
      <c r="F619" s="1" t="str" cm="1">
        <f t="array" ref="F619">_xlfn.IFS(B619=TRUE,"High Risk",AND(Raw_Data!S619&gt;=3,Raw_Data!G619&gt;200),"High Risk",Raw_Data!S619&gt;=2,"Medium Risk",TRUE,"Low Risk")</f>
        <v>Low Risk</v>
      </c>
      <c r="G619" s="1" t="str">
        <f>IF(OR(Raw_Data!D619="Yes",Raw_Data!E619="Yes"),"Has Plan","No Special Plan")</f>
        <v>Has Plan</v>
      </c>
      <c r="H619" s="1" t="str">
        <f>IF(NOT(Raw_Data!S619&gt;=3),"Normal Service Contact","Frequent Service Contact")</f>
        <v>Normal Service Contact</v>
      </c>
      <c r="I619" s="1" t="str" cm="1">
        <f t="array" ref="I619">_xlfn.SWITCH(Raw_Data!D619,"Yes","International Customer","No","Domestic Plan","Unknown")</f>
        <v>Domestic Plan</v>
      </c>
      <c r="J619" s="1" t="str">
        <f>IF(ISERROR(Raw_Data!G619/0),"Error","Valid")</f>
        <v>Error</v>
      </c>
      <c r="K619" s="1" t="str">
        <f>IF(ISBLANK(Raw_Data!A619),"Missing","Available")</f>
        <v>Available</v>
      </c>
      <c r="L619" s="5" t="str">
        <f>IF(ISNUMBER(Raw_Data!G619),"Numeric","Not Numeric")</f>
        <v>Numeric</v>
      </c>
    </row>
    <row r="620" spans="1:12" x14ac:dyDescent="0.25">
      <c r="A620" s="4" t="str">
        <f>Raw_Data!A620</f>
        <v>IN</v>
      </c>
      <c r="B620" s="1" t="b">
        <f>Raw_Data!T620</f>
        <v>0</v>
      </c>
      <c r="C620" s="1" t="str">
        <f t="shared" si="9"/>
        <v>Retained</v>
      </c>
      <c r="D620" s="1" t="str">
        <f>IF(Raw_Data!S620=0,"Low Contact",IF(Raw_Data!S620&lt;=2,"Normal Contact","High Contact"))</f>
        <v>High Contact</v>
      </c>
      <c r="E620" s="1" t="str">
        <f>IF(AND(Raw_Data!G620&gt;200,Raw_Data!H620&gt;100),"High Usage","Normal Usage")</f>
        <v>High Usage</v>
      </c>
      <c r="F620" s="1" t="str" cm="1">
        <f t="array" ref="F620">_xlfn.IFS(B620=TRUE,"High Risk",AND(Raw_Data!S620&gt;=3,Raw_Data!G620&gt;200),"High Risk",Raw_Data!S620&gt;=2,"Medium Risk",TRUE,"Low Risk")</f>
        <v>High Risk</v>
      </c>
      <c r="G620" s="1" t="str">
        <f>IF(OR(Raw_Data!D620="Yes",Raw_Data!E620="Yes"),"Has Plan","No Special Plan")</f>
        <v>No Special Plan</v>
      </c>
      <c r="H620" s="1" t="str">
        <f>IF(NOT(Raw_Data!S620&gt;=3),"Normal Service Contact","Frequent Service Contact")</f>
        <v>Frequent Service Contact</v>
      </c>
      <c r="I620" s="1" t="str" cm="1">
        <f t="array" ref="I620">_xlfn.SWITCH(Raw_Data!D620,"Yes","International Customer","No","Domestic Plan","Unknown")</f>
        <v>Domestic Plan</v>
      </c>
      <c r="J620" s="1" t="str">
        <f>IF(ISERROR(Raw_Data!G620/0),"Error","Valid")</f>
        <v>Error</v>
      </c>
      <c r="K620" s="1" t="str">
        <f>IF(ISBLANK(Raw_Data!A620),"Missing","Available")</f>
        <v>Available</v>
      </c>
      <c r="L620" s="5" t="str">
        <f>IF(ISNUMBER(Raw_Data!G620),"Numeric","Not Numeric")</f>
        <v>Numeric</v>
      </c>
    </row>
    <row r="621" spans="1:12" x14ac:dyDescent="0.25">
      <c r="A621" s="4" t="str">
        <f>Raw_Data!A621</f>
        <v>NM</v>
      </c>
      <c r="B621" s="1" t="b">
        <f>Raw_Data!T621</f>
        <v>0</v>
      </c>
      <c r="C621" s="1" t="str">
        <f t="shared" si="9"/>
        <v>Retained</v>
      </c>
      <c r="D621" s="1" t="str">
        <f>IF(Raw_Data!S621=0,"Low Contact",IF(Raw_Data!S621&lt;=2,"Normal Contact","High Contact"))</f>
        <v>High Contact</v>
      </c>
      <c r="E621" s="1" t="str">
        <f>IF(AND(Raw_Data!G621&gt;200,Raw_Data!H621&gt;100),"High Usage","Normal Usage")</f>
        <v>Normal Usage</v>
      </c>
      <c r="F621" s="1" t="str" cm="1">
        <f t="array" ref="F621">_xlfn.IFS(B621=TRUE,"High Risk",AND(Raw_Data!S621&gt;=3,Raw_Data!G621&gt;200),"High Risk",Raw_Data!S621&gt;=2,"Medium Risk",TRUE,"Low Risk")</f>
        <v>High Risk</v>
      </c>
      <c r="G621" s="1" t="str">
        <f>IF(OR(Raw_Data!D621="Yes",Raw_Data!E621="Yes"),"Has Plan","No Special Plan")</f>
        <v>No Special Plan</v>
      </c>
      <c r="H621" s="1" t="str">
        <f>IF(NOT(Raw_Data!S621&gt;=3),"Normal Service Contact","Frequent Service Contact")</f>
        <v>Frequent Service Contact</v>
      </c>
      <c r="I621" s="1" t="str" cm="1">
        <f t="array" ref="I621">_xlfn.SWITCH(Raw_Data!D621,"Yes","International Customer","No","Domestic Plan","Unknown")</f>
        <v>Domestic Plan</v>
      </c>
      <c r="J621" s="1" t="str">
        <f>IF(ISERROR(Raw_Data!G621/0),"Error","Valid")</f>
        <v>Error</v>
      </c>
      <c r="K621" s="1" t="str">
        <f>IF(ISBLANK(Raw_Data!A621),"Missing","Available")</f>
        <v>Available</v>
      </c>
      <c r="L621" s="5" t="str">
        <f>IF(ISNUMBER(Raw_Data!G621),"Numeric","Not Numeric")</f>
        <v>Numeric</v>
      </c>
    </row>
    <row r="622" spans="1:12" x14ac:dyDescent="0.25">
      <c r="A622" s="4" t="str">
        <f>Raw_Data!A622</f>
        <v>MT</v>
      </c>
      <c r="B622" s="1" t="b">
        <f>Raw_Data!T622</f>
        <v>0</v>
      </c>
      <c r="C622" s="1" t="str">
        <f t="shared" si="9"/>
        <v>Retained</v>
      </c>
      <c r="D622" s="1" t="str">
        <f>IF(Raw_Data!S622=0,"Low Contact",IF(Raw_Data!S622&lt;=2,"Normal Contact","High Contact"))</f>
        <v>Normal Contact</v>
      </c>
      <c r="E622" s="1" t="str">
        <f>IF(AND(Raw_Data!G622&gt;200,Raw_Data!H622&gt;100),"High Usage","Normal Usage")</f>
        <v>Normal Usage</v>
      </c>
      <c r="F622" s="1" t="str" cm="1">
        <f t="array" ref="F622">_xlfn.IFS(B622=TRUE,"High Risk",AND(Raw_Data!S622&gt;=3,Raw_Data!G622&gt;200),"High Risk",Raw_Data!S622&gt;=2,"Medium Risk",TRUE,"Low Risk")</f>
        <v>Medium Risk</v>
      </c>
      <c r="G622" s="1" t="str">
        <f>IF(OR(Raw_Data!D622="Yes",Raw_Data!E622="Yes"),"Has Plan","No Special Plan")</f>
        <v>Has Plan</v>
      </c>
      <c r="H622" s="1" t="str">
        <f>IF(NOT(Raw_Data!S622&gt;=3),"Normal Service Contact","Frequent Service Contact")</f>
        <v>Normal Service Contact</v>
      </c>
      <c r="I622" s="1" t="str" cm="1">
        <f t="array" ref="I622">_xlfn.SWITCH(Raw_Data!D622,"Yes","International Customer","No","Domestic Plan","Unknown")</f>
        <v>Domestic Plan</v>
      </c>
      <c r="J622" s="1" t="str">
        <f>IF(ISERROR(Raw_Data!G622/0),"Error","Valid")</f>
        <v>Error</v>
      </c>
      <c r="K622" s="1" t="str">
        <f>IF(ISBLANK(Raw_Data!A622),"Missing","Available")</f>
        <v>Available</v>
      </c>
      <c r="L622" s="5" t="str">
        <f>IF(ISNUMBER(Raw_Data!G622),"Numeric","Not Numeric")</f>
        <v>Numeric</v>
      </c>
    </row>
    <row r="623" spans="1:12" x14ac:dyDescent="0.25">
      <c r="A623" s="4" t="str">
        <f>Raw_Data!A623</f>
        <v>NM</v>
      </c>
      <c r="B623" s="1" t="b">
        <f>Raw_Data!T623</f>
        <v>0</v>
      </c>
      <c r="C623" s="1" t="str">
        <f t="shared" si="9"/>
        <v>Retained</v>
      </c>
      <c r="D623" s="1" t="str">
        <f>IF(Raw_Data!S623=0,"Low Contact",IF(Raw_Data!S623&lt;=2,"Normal Contact","High Contact"))</f>
        <v>Normal Contact</v>
      </c>
      <c r="E623" s="1" t="str">
        <f>IF(AND(Raw_Data!G623&gt;200,Raw_Data!H623&gt;100),"High Usage","Normal Usage")</f>
        <v>Normal Usage</v>
      </c>
      <c r="F623" s="1" t="str" cm="1">
        <f t="array" ref="F623">_xlfn.IFS(B623=TRUE,"High Risk",AND(Raw_Data!S623&gt;=3,Raw_Data!G623&gt;200),"High Risk",Raw_Data!S623&gt;=2,"Medium Risk",TRUE,"Low Risk")</f>
        <v>Low Risk</v>
      </c>
      <c r="G623" s="1" t="str">
        <f>IF(OR(Raw_Data!D623="Yes",Raw_Data!E623="Yes"),"Has Plan","No Special Plan")</f>
        <v>No Special Plan</v>
      </c>
      <c r="H623" s="1" t="str">
        <f>IF(NOT(Raw_Data!S623&gt;=3),"Normal Service Contact","Frequent Service Contact")</f>
        <v>Normal Service Contact</v>
      </c>
      <c r="I623" s="1" t="str" cm="1">
        <f t="array" ref="I623">_xlfn.SWITCH(Raw_Data!D623,"Yes","International Customer","No","Domestic Plan","Unknown")</f>
        <v>Domestic Plan</v>
      </c>
      <c r="J623" s="1" t="str">
        <f>IF(ISERROR(Raw_Data!G623/0),"Error","Valid")</f>
        <v>Error</v>
      </c>
      <c r="K623" s="1" t="str">
        <f>IF(ISBLANK(Raw_Data!A623),"Missing","Available")</f>
        <v>Available</v>
      </c>
      <c r="L623" s="5" t="str">
        <f>IF(ISNUMBER(Raw_Data!G623),"Numeric","Not Numeric")</f>
        <v>Numeric</v>
      </c>
    </row>
    <row r="624" spans="1:12" x14ac:dyDescent="0.25">
      <c r="A624" s="4" t="str">
        <f>Raw_Data!A624</f>
        <v>IL</v>
      </c>
      <c r="B624" s="1" t="b">
        <f>Raw_Data!T624</f>
        <v>0</v>
      </c>
      <c r="C624" s="1" t="str">
        <f t="shared" si="9"/>
        <v>Retained</v>
      </c>
      <c r="D624" s="1" t="str">
        <f>IF(Raw_Data!S624=0,"Low Contact",IF(Raw_Data!S624&lt;=2,"Normal Contact","High Contact"))</f>
        <v>Normal Contact</v>
      </c>
      <c r="E624" s="1" t="str">
        <f>IF(AND(Raw_Data!G624&gt;200,Raw_Data!H624&gt;100),"High Usage","Normal Usage")</f>
        <v>Normal Usage</v>
      </c>
      <c r="F624" s="1" t="str" cm="1">
        <f t="array" ref="F624">_xlfn.IFS(B624=TRUE,"High Risk",AND(Raw_Data!S624&gt;=3,Raw_Data!G624&gt;200),"High Risk",Raw_Data!S624&gt;=2,"Medium Risk",TRUE,"Low Risk")</f>
        <v>Medium Risk</v>
      </c>
      <c r="G624" s="1" t="str">
        <f>IF(OR(Raw_Data!D624="Yes",Raw_Data!E624="Yes"),"Has Plan","No Special Plan")</f>
        <v>No Special Plan</v>
      </c>
      <c r="H624" s="1" t="str">
        <f>IF(NOT(Raw_Data!S624&gt;=3),"Normal Service Contact","Frequent Service Contact")</f>
        <v>Normal Service Contact</v>
      </c>
      <c r="I624" s="1" t="str" cm="1">
        <f t="array" ref="I624">_xlfn.SWITCH(Raw_Data!D624,"Yes","International Customer","No","Domestic Plan","Unknown")</f>
        <v>Domestic Plan</v>
      </c>
      <c r="J624" s="1" t="str">
        <f>IF(ISERROR(Raw_Data!G624/0),"Error","Valid")</f>
        <v>Error</v>
      </c>
      <c r="K624" s="1" t="str">
        <f>IF(ISBLANK(Raw_Data!A624),"Missing","Available")</f>
        <v>Available</v>
      </c>
      <c r="L624" s="5" t="str">
        <f>IF(ISNUMBER(Raw_Data!G624),"Numeric","Not Numeric")</f>
        <v>Numeric</v>
      </c>
    </row>
    <row r="625" spans="1:12" x14ac:dyDescent="0.25">
      <c r="A625" s="4" t="str">
        <f>Raw_Data!A625</f>
        <v>IN</v>
      </c>
      <c r="B625" s="1" t="b">
        <f>Raw_Data!T625</f>
        <v>0</v>
      </c>
      <c r="C625" s="1" t="str">
        <f t="shared" si="9"/>
        <v>Retained</v>
      </c>
      <c r="D625" s="1" t="str">
        <f>IF(Raw_Data!S625=0,"Low Contact",IF(Raw_Data!S625&lt;=2,"Normal Contact","High Contact"))</f>
        <v>High Contact</v>
      </c>
      <c r="E625" s="1" t="str">
        <f>IF(AND(Raw_Data!G625&gt;200,Raw_Data!H625&gt;100),"High Usage","Normal Usage")</f>
        <v>Normal Usage</v>
      </c>
      <c r="F625" s="1" t="str" cm="1">
        <f t="array" ref="F625">_xlfn.IFS(B625=TRUE,"High Risk",AND(Raw_Data!S625&gt;=3,Raw_Data!G625&gt;200),"High Risk",Raw_Data!S625&gt;=2,"Medium Risk",TRUE,"Low Risk")</f>
        <v>Medium Risk</v>
      </c>
      <c r="G625" s="1" t="str">
        <f>IF(OR(Raw_Data!D625="Yes",Raw_Data!E625="Yes"),"Has Plan","No Special Plan")</f>
        <v>No Special Plan</v>
      </c>
      <c r="H625" s="1" t="str">
        <f>IF(NOT(Raw_Data!S625&gt;=3),"Normal Service Contact","Frequent Service Contact")</f>
        <v>Frequent Service Contact</v>
      </c>
      <c r="I625" s="1" t="str" cm="1">
        <f t="array" ref="I625">_xlfn.SWITCH(Raw_Data!D625,"Yes","International Customer","No","Domestic Plan","Unknown")</f>
        <v>Domestic Plan</v>
      </c>
      <c r="J625" s="1" t="str">
        <f>IF(ISERROR(Raw_Data!G625/0),"Error","Valid")</f>
        <v>Error</v>
      </c>
      <c r="K625" s="1" t="str">
        <f>IF(ISBLANK(Raw_Data!A625),"Missing","Available")</f>
        <v>Available</v>
      </c>
      <c r="L625" s="5" t="str">
        <f>IF(ISNUMBER(Raw_Data!G625),"Numeric","Not Numeric")</f>
        <v>Numeric</v>
      </c>
    </row>
    <row r="626" spans="1:12" x14ac:dyDescent="0.25">
      <c r="A626" s="4" t="str">
        <f>Raw_Data!A626</f>
        <v>ND</v>
      </c>
      <c r="B626" s="1" t="b">
        <f>Raw_Data!T626</f>
        <v>0</v>
      </c>
      <c r="C626" s="1" t="str">
        <f t="shared" si="9"/>
        <v>Retained</v>
      </c>
      <c r="D626" s="1" t="str">
        <f>IF(Raw_Data!S626=0,"Low Contact",IF(Raw_Data!S626&lt;=2,"Normal Contact","High Contact"))</f>
        <v>Normal Contact</v>
      </c>
      <c r="E626" s="1" t="str">
        <f>IF(AND(Raw_Data!G626&gt;200,Raw_Data!H626&gt;100),"High Usage","Normal Usage")</f>
        <v>Normal Usage</v>
      </c>
      <c r="F626" s="1" t="str" cm="1">
        <f t="array" ref="F626">_xlfn.IFS(B626=TRUE,"High Risk",AND(Raw_Data!S626&gt;=3,Raw_Data!G626&gt;200),"High Risk",Raw_Data!S626&gt;=2,"Medium Risk",TRUE,"Low Risk")</f>
        <v>Low Risk</v>
      </c>
      <c r="G626" s="1" t="str">
        <f>IF(OR(Raw_Data!D626="Yes",Raw_Data!E626="Yes"),"Has Plan","No Special Plan")</f>
        <v>No Special Plan</v>
      </c>
      <c r="H626" s="1" t="str">
        <f>IF(NOT(Raw_Data!S626&gt;=3),"Normal Service Contact","Frequent Service Contact")</f>
        <v>Normal Service Contact</v>
      </c>
      <c r="I626" s="1" t="str" cm="1">
        <f t="array" ref="I626">_xlfn.SWITCH(Raw_Data!D626,"Yes","International Customer","No","Domestic Plan","Unknown")</f>
        <v>Domestic Plan</v>
      </c>
      <c r="J626" s="1" t="str">
        <f>IF(ISERROR(Raw_Data!G626/0),"Error","Valid")</f>
        <v>Error</v>
      </c>
      <c r="K626" s="1" t="str">
        <f>IF(ISBLANK(Raw_Data!A626),"Missing","Available")</f>
        <v>Available</v>
      </c>
      <c r="L626" s="5" t="str">
        <f>IF(ISNUMBER(Raw_Data!G626),"Numeric","Not Numeric")</f>
        <v>Numeric</v>
      </c>
    </row>
    <row r="627" spans="1:12" x14ac:dyDescent="0.25">
      <c r="A627" s="4" t="str">
        <f>Raw_Data!A627</f>
        <v>NH</v>
      </c>
      <c r="B627" s="1" t="b">
        <f>Raw_Data!T627</f>
        <v>0</v>
      </c>
      <c r="C627" s="1" t="str">
        <f t="shared" si="9"/>
        <v>Retained</v>
      </c>
      <c r="D627" s="1" t="str">
        <f>IF(Raw_Data!S627=0,"Low Contact",IF(Raw_Data!S627&lt;=2,"Normal Contact","High Contact"))</f>
        <v>Low Contact</v>
      </c>
      <c r="E627" s="1" t="str">
        <f>IF(AND(Raw_Data!G627&gt;200,Raw_Data!H627&gt;100),"High Usage","Normal Usage")</f>
        <v>Normal Usage</v>
      </c>
      <c r="F627" s="1" t="str" cm="1">
        <f t="array" ref="F627">_xlfn.IFS(B627=TRUE,"High Risk",AND(Raw_Data!S627&gt;=3,Raw_Data!G627&gt;200),"High Risk",Raw_Data!S627&gt;=2,"Medium Risk",TRUE,"Low Risk")</f>
        <v>Low Risk</v>
      </c>
      <c r="G627" s="1" t="str">
        <f>IF(OR(Raw_Data!D627="Yes",Raw_Data!E627="Yes"),"Has Plan","No Special Plan")</f>
        <v>No Special Plan</v>
      </c>
      <c r="H627" s="1" t="str">
        <f>IF(NOT(Raw_Data!S627&gt;=3),"Normal Service Contact","Frequent Service Contact")</f>
        <v>Normal Service Contact</v>
      </c>
      <c r="I627" s="1" t="str" cm="1">
        <f t="array" ref="I627">_xlfn.SWITCH(Raw_Data!D627,"Yes","International Customer","No","Domestic Plan","Unknown")</f>
        <v>Domestic Plan</v>
      </c>
      <c r="J627" s="1" t="str">
        <f>IF(ISERROR(Raw_Data!G627/0),"Error","Valid")</f>
        <v>Error</v>
      </c>
      <c r="K627" s="1" t="str">
        <f>IF(ISBLANK(Raw_Data!A627),"Missing","Available")</f>
        <v>Available</v>
      </c>
      <c r="L627" s="5" t="str">
        <f>IF(ISNUMBER(Raw_Data!G627),"Numeric","Not Numeric")</f>
        <v>Numeric</v>
      </c>
    </row>
    <row r="628" spans="1:12" x14ac:dyDescent="0.25">
      <c r="A628" s="4" t="str">
        <f>Raw_Data!A628</f>
        <v>NM</v>
      </c>
      <c r="B628" s="1" t="b">
        <f>Raw_Data!T628</f>
        <v>0</v>
      </c>
      <c r="C628" s="1" t="str">
        <f t="shared" si="9"/>
        <v>Retained</v>
      </c>
      <c r="D628" s="1" t="str">
        <f>IF(Raw_Data!S628=0,"Low Contact",IF(Raw_Data!S628&lt;=2,"Normal Contact","High Contact"))</f>
        <v>Normal Contact</v>
      </c>
      <c r="E628" s="1" t="str">
        <f>IF(AND(Raw_Data!G628&gt;200,Raw_Data!H628&gt;100),"High Usage","Normal Usage")</f>
        <v>Normal Usage</v>
      </c>
      <c r="F628" s="1" t="str" cm="1">
        <f t="array" ref="F628">_xlfn.IFS(B628=TRUE,"High Risk",AND(Raw_Data!S628&gt;=3,Raw_Data!G628&gt;200),"High Risk",Raw_Data!S628&gt;=2,"Medium Risk",TRUE,"Low Risk")</f>
        <v>Low Risk</v>
      </c>
      <c r="G628" s="1" t="str">
        <f>IF(OR(Raw_Data!D628="Yes",Raw_Data!E628="Yes"),"Has Plan","No Special Plan")</f>
        <v>Has Plan</v>
      </c>
      <c r="H628" s="1" t="str">
        <f>IF(NOT(Raw_Data!S628&gt;=3),"Normal Service Contact","Frequent Service Contact")</f>
        <v>Normal Service Contact</v>
      </c>
      <c r="I628" s="1" t="str" cm="1">
        <f t="array" ref="I628">_xlfn.SWITCH(Raw_Data!D628,"Yes","International Customer","No","Domestic Plan","Unknown")</f>
        <v>Domestic Plan</v>
      </c>
      <c r="J628" s="1" t="str">
        <f>IF(ISERROR(Raw_Data!G628/0),"Error","Valid")</f>
        <v>Error</v>
      </c>
      <c r="K628" s="1" t="str">
        <f>IF(ISBLANK(Raw_Data!A628),"Missing","Available")</f>
        <v>Available</v>
      </c>
      <c r="L628" s="5" t="str">
        <f>IF(ISNUMBER(Raw_Data!G628),"Numeric","Not Numeric")</f>
        <v>Numeric</v>
      </c>
    </row>
    <row r="629" spans="1:12" x14ac:dyDescent="0.25">
      <c r="A629" s="4" t="str">
        <f>Raw_Data!A629</f>
        <v>LA</v>
      </c>
      <c r="B629" s="1" t="b">
        <f>Raw_Data!T629</f>
        <v>0</v>
      </c>
      <c r="C629" s="1" t="str">
        <f t="shared" si="9"/>
        <v>Retained</v>
      </c>
      <c r="D629" s="1" t="str">
        <f>IF(Raw_Data!S629=0,"Low Contact",IF(Raw_Data!S629&lt;=2,"Normal Contact","High Contact"))</f>
        <v>Low Contact</v>
      </c>
      <c r="E629" s="1" t="str">
        <f>IF(AND(Raw_Data!G629&gt;200,Raw_Data!H629&gt;100),"High Usage","Normal Usage")</f>
        <v>Normal Usage</v>
      </c>
      <c r="F629" s="1" t="str" cm="1">
        <f t="array" ref="F629">_xlfn.IFS(B629=TRUE,"High Risk",AND(Raw_Data!S629&gt;=3,Raw_Data!G629&gt;200),"High Risk",Raw_Data!S629&gt;=2,"Medium Risk",TRUE,"Low Risk")</f>
        <v>Low Risk</v>
      </c>
      <c r="G629" s="1" t="str">
        <f>IF(OR(Raw_Data!D629="Yes",Raw_Data!E629="Yes"),"Has Plan","No Special Plan")</f>
        <v>No Special Plan</v>
      </c>
      <c r="H629" s="1" t="str">
        <f>IF(NOT(Raw_Data!S629&gt;=3),"Normal Service Contact","Frequent Service Contact")</f>
        <v>Normal Service Contact</v>
      </c>
      <c r="I629" s="1" t="str" cm="1">
        <f t="array" ref="I629">_xlfn.SWITCH(Raw_Data!D629,"Yes","International Customer","No","Domestic Plan","Unknown")</f>
        <v>Domestic Plan</v>
      </c>
      <c r="J629" s="1" t="str">
        <f>IF(ISERROR(Raw_Data!G629/0),"Error","Valid")</f>
        <v>Error</v>
      </c>
      <c r="K629" s="1" t="str">
        <f>IF(ISBLANK(Raw_Data!A629),"Missing","Available")</f>
        <v>Available</v>
      </c>
      <c r="L629" s="5" t="str">
        <f>IF(ISNUMBER(Raw_Data!G629),"Numeric","Not Numeric")</f>
        <v>Numeric</v>
      </c>
    </row>
    <row r="630" spans="1:12" x14ac:dyDescent="0.25">
      <c r="A630" s="4" t="str">
        <f>Raw_Data!A630</f>
        <v>KY</v>
      </c>
      <c r="B630" s="1" t="b">
        <f>Raw_Data!T630</f>
        <v>0</v>
      </c>
      <c r="C630" s="1" t="str">
        <f t="shared" si="9"/>
        <v>Retained</v>
      </c>
      <c r="D630" s="1" t="str">
        <f>IF(Raw_Data!S630=0,"Low Contact",IF(Raw_Data!S630&lt;=2,"Normal Contact","High Contact"))</f>
        <v>Normal Contact</v>
      </c>
      <c r="E630" s="1" t="str">
        <f>IF(AND(Raw_Data!G630&gt;200,Raw_Data!H630&gt;100),"High Usage","Normal Usage")</f>
        <v>Normal Usage</v>
      </c>
      <c r="F630" s="1" t="str" cm="1">
        <f t="array" ref="F630">_xlfn.IFS(B630=TRUE,"High Risk",AND(Raw_Data!S630&gt;=3,Raw_Data!G630&gt;200),"High Risk",Raw_Data!S630&gt;=2,"Medium Risk",TRUE,"Low Risk")</f>
        <v>Medium Risk</v>
      </c>
      <c r="G630" s="1" t="str">
        <f>IF(OR(Raw_Data!D630="Yes",Raw_Data!E630="Yes"),"Has Plan","No Special Plan")</f>
        <v>No Special Plan</v>
      </c>
      <c r="H630" s="1" t="str">
        <f>IF(NOT(Raw_Data!S630&gt;=3),"Normal Service Contact","Frequent Service Contact")</f>
        <v>Normal Service Contact</v>
      </c>
      <c r="I630" s="1" t="str" cm="1">
        <f t="array" ref="I630">_xlfn.SWITCH(Raw_Data!D630,"Yes","International Customer","No","Domestic Plan","Unknown")</f>
        <v>Domestic Plan</v>
      </c>
      <c r="J630" s="1" t="str">
        <f>IF(ISERROR(Raw_Data!G630/0),"Error","Valid")</f>
        <v>Error</v>
      </c>
      <c r="K630" s="1" t="str">
        <f>IF(ISBLANK(Raw_Data!A630),"Missing","Available")</f>
        <v>Available</v>
      </c>
      <c r="L630" s="5" t="str">
        <f>IF(ISNUMBER(Raw_Data!G630),"Numeric","Not Numeric")</f>
        <v>Numeric</v>
      </c>
    </row>
    <row r="631" spans="1:12" x14ac:dyDescent="0.25">
      <c r="A631" s="4" t="str">
        <f>Raw_Data!A631</f>
        <v>WV</v>
      </c>
      <c r="B631" s="1" t="b">
        <f>Raw_Data!T631</f>
        <v>0</v>
      </c>
      <c r="C631" s="1" t="str">
        <f t="shared" si="9"/>
        <v>Retained</v>
      </c>
      <c r="D631" s="1" t="str">
        <f>IF(Raw_Data!S631=0,"Low Contact",IF(Raw_Data!S631&lt;=2,"Normal Contact","High Contact"))</f>
        <v>Low Contact</v>
      </c>
      <c r="E631" s="1" t="str">
        <f>IF(AND(Raw_Data!G631&gt;200,Raw_Data!H631&gt;100),"High Usage","Normal Usage")</f>
        <v>High Usage</v>
      </c>
      <c r="F631" s="1" t="str" cm="1">
        <f t="array" ref="F631">_xlfn.IFS(B631=TRUE,"High Risk",AND(Raw_Data!S631&gt;=3,Raw_Data!G631&gt;200),"High Risk",Raw_Data!S631&gt;=2,"Medium Risk",TRUE,"Low Risk")</f>
        <v>Low Risk</v>
      </c>
      <c r="G631" s="1" t="str">
        <f>IF(OR(Raw_Data!D631="Yes",Raw_Data!E631="Yes"),"Has Plan","No Special Plan")</f>
        <v>No Special Plan</v>
      </c>
      <c r="H631" s="1" t="str">
        <f>IF(NOT(Raw_Data!S631&gt;=3),"Normal Service Contact","Frequent Service Contact")</f>
        <v>Normal Service Contact</v>
      </c>
      <c r="I631" s="1" t="str" cm="1">
        <f t="array" ref="I631">_xlfn.SWITCH(Raw_Data!D631,"Yes","International Customer","No","Domestic Plan","Unknown")</f>
        <v>Domestic Plan</v>
      </c>
      <c r="J631" s="1" t="str">
        <f>IF(ISERROR(Raw_Data!G631/0),"Error","Valid")</f>
        <v>Error</v>
      </c>
      <c r="K631" s="1" t="str">
        <f>IF(ISBLANK(Raw_Data!A631),"Missing","Available")</f>
        <v>Available</v>
      </c>
      <c r="L631" s="5" t="str">
        <f>IF(ISNUMBER(Raw_Data!G631),"Numeric","Not Numeric")</f>
        <v>Numeric</v>
      </c>
    </row>
    <row r="632" spans="1:12" x14ac:dyDescent="0.25">
      <c r="A632" s="4" t="str">
        <f>Raw_Data!A632</f>
        <v>WV</v>
      </c>
      <c r="B632" s="1" t="b">
        <f>Raw_Data!T632</f>
        <v>0</v>
      </c>
      <c r="C632" s="1" t="str">
        <f t="shared" si="9"/>
        <v>Retained</v>
      </c>
      <c r="D632" s="1" t="str">
        <f>IF(Raw_Data!S632=0,"Low Contact",IF(Raw_Data!S632&lt;=2,"Normal Contact","High Contact"))</f>
        <v>Normal Contact</v>
      </c>
      <c r="E632" s="1" t="str">
        <f>IF(AND(Raw_Data!G632&gt;200,Raw_Data!H632&gt;100),"High Usage","Normal Usage")</f>
        <v>Normal Usage</v>
      </c>
      <c r="F632" s="1" t="str" cm="1">
        <f t="array" ref="F632">_xlfn.IFS(B632=TRUE,"High Risk",AND(Raw_Data!S632&gt;=3,Raw_Data!G632&gt;200),"High Risk",Raw_Data!S632&gt;=2,"Medium Risk",TRUE,"Low Risk")</f>
        <v>Low Risk</v>
      </c>
      <c r="G632" s="1" t="str">
        <f>IF(OR(Raw_Data!D632="Yes",Raw_Data!E632="Yes"),"Has Plan","No Special Plan")</f>
        <v>Has Plan</v>
      </c>
      <c r="H632" s="1" t="str">
        <f>IF(NOT(Raw_Data!S632&gt;=3),"Normal Service Contact","Frequent Service Contact")</f>
        <v>Normal Service Contact</v>
      </c>
      <c r="I632" s="1" t="str" cm="1">
        <f t="array" ref="I632">_xlfn.SWITCH(Raw_Data!D632,"Yes","International Customer","No","Domestic Plan","Unknown")</f>
        <v>Domestic Plan</v>
      </c>
      <c r="J632" s="1" t="str">
        <f>IF(ISERROR(Raw_Data!G632/0),"Error","Valid")</f>
        <v>Error</v>
      </c>
      <c r="K632" s="1" t="str">
        <f>IF(ISBLANK(Raw_Data!A632),"Missing","Available")</f>
        <v>Available</v>
      </c>
      <c r="L632" s="5" t="str">
        <f>IF(ISNUMBER(Raw_Data!G632),"Numeric","Not Numeric")</f>
        <v>Numeric</v>
      </c>
    </row>
    <row r="633" spans="1:12" x14ac:dyDescent="0.25">
      <c r="A633" s="4" t="str">
        <f>Raw_Data!A633</f>
        <v>IA</v>
      </c>
      <c r="B633" s="1" t="b">
        <f>Raw_Data!T633</f>
        <v>0</v>
      </c>
      <c r="C633" s="1" t="str">
        <f t="shared" si="9"/>
        <v>Retained</v>
      </c>
      <c r="D633" s="1" t="str">
        <f>IF(Raw_Data!S633=0,"Low Contact",IF(Raw_Data!S633&lt;=2,"Normal Contact","High Contact"))</f>
        <v>Normal Contact</v>
      </c>
      <c r="E633" s="1" t="str">
        <f>IF(AND(Raw_Data!G633&gt;200,Raw_Data!H633&gt;100),"High Usage","Normal Usage")</f>
        <v>Normal Usage</v>
      </c>
      <c r="F633" s="1" t="str" cm="1">
        <f t="array" ref="F633">_xlfn.IFS(B633=TRUE,"High Risk",AND(Raw_Data!S633&gt;=3,Raw_Data!G633&gt;200),"High Risk",Raw_Data!S633&gt;=2,"Medium Risk",TRUE,"Low Risk")</f>
        <v>Low Risk</v>
      </c>
      <c r="G633" s="1" t="str">
        <f>IF(OR(Raw_Data!D633="Yes",Raw_Data!E633="Yes"),"Has Plan","No Special Plan")</f>
        <v>No Special Plan</v>
      </c>
      <c r="H633" s="1" t="str">
        <f>IF(NOT(Raw_Data!S633&gt;=3),"Normal Service Contact","Frequent Service Contact")</f>
        <v>Normal Service Contact</v>
      </c>
      <c r="I633" s="1" t="str" cm="1">
        <f t="array" ref="I633">_xlfn.SWITCH(Raw_Data!D633,"Yes","International Customer","No","Domestic Plan","Unknown")</f>
        <v>Domestic Plan</v>
      </c>
      <c r="J633" s="1" t="str">
        <f>IF(ISERROR(Raw_Data!G633/0),"Error","Valid")</f>
        <v>Error</v>
      </c>
      <c r="K633" s="1" t="str">
        <f>IF(ISBLANK(Raw_Data!A633),"Missing","Available")</f>
        <v>Available</v>
      </c>
      <c r="L633" s="5" t="str">
        <f>IF(ISNUMBER(Raw_Data!G633),"Numeric","Not Numeric")</f>
        <v>Numeric</v>
      </c>
    </row>
    <row r="634" spans="1:12" x14ac:dyDescent="0.25">
      <c r="A634" s="4" t="str">
        <f>Raw_Data!A634</f>
        <v>NE</v>
      </c>
      <c r="B634" s="1" t="b">
        <f>Raw_Data!T634</f>
        <v>0</v>
      </c>
      <c r="C634" s="1" t="str">
        <f t="shared" si="9"/>
        <v>Retained</v>
      </c>
      <c r="D634" s="1" t="str">
        <f>IF(Raw_Data!S634=0,"Low Contact",IF(Raw_Data!S634&lt;=2,"Normal Contact","High Contact"))</f>
        <v>Low Contact</v>
      </c>
      <c r="E634" s="1" t="str">
        <f>IF(AND(Raw_Data!G634&gt;200,Raw_Data!H634&gt;100),"High Usage","Normal Usage")</f>
        <v>Normal Usage</v>
      </c>
      <c r="F634" s="1" t="str" cm="1">
        <f t="array" ref="F634">_xlfn.IFS(B634=TRUE,"High Risk",AND(Raw_Data!S634&gt;=3,Raw_Data!G634&gt;200),"High Risk",Raw_Data!S634&gt;=2,"Medium Risk",TRUE,"Low Risk")</f>
        <v>Low Risk</v>
      </c>
      <c r="G634" s="1" t="str">
        <f>IF(OR(Raw_Data!D634="Yes",Raw_Data!E634="Yes"),"Has Plan","No Special Plan")</f>
        <v>Has Plan</v>
      </c>
      <c r="H634" s="1" t="str">
        <f>IF(NOT(Raw_Data!S634&gt;=3),"Normal Service Contact","Frequent Service Contact")</f>
        <v>Normal Service Contact</v>
      </c>
      <c r="I634" s="1" t="str" cm="1">
        <f t="array" ref="I634">_xlfn.SWITCH(Raw_Data!D634,"Yes","International Customer","No","Domestic Plan","Unknown")</f>
        <v>Domestic Plan</v>
      </c>
      <c r="J634" s="1" t="str">
        <f>IF(ISERROR(Raw_Data!G634/0),"Error","Valid")</f>
        <v>Error</v>
      </c>
      <c r="K634" s="1" t="str">
        <f>IF(ISBLANK(Raw_Data!A634),"Missing","Available")</f>
        <v>Available</v>
      </c>
      <c r="L634" s="5" t="str">
        <f>IF(ISNUMBER(Raw_Data!G634),"Numeric","Not Numeric")</f>
        <v>Numeric</v>
      </c>
    </row>
    <row r="635" spans="1:12" x14ac:dyDescent="0.25">
      <c r="A635" s="4" t="str">
        <f>Raw_Data!A635</f>
        <v>WA</v>
      </c>
      <c r="B635" s="1" t="b">
        <f>Raw_Data!T635</f>
        <v>0</v>
      </c>
      <c r="C635" s="1" t="str">
        <f t="shared" si="9"/>
        <v>Retained</v>
      </c>
      <c r="D635" s="1" t="str">
        <f>IF(Raw_Data!S635=0,"Low Contact",IF(Raw_Data!S635&lt;=2,"Normal Contact","High Contact"))</f>
        <v>Normal Contact</v>
      </c>
      <c r="E635" s="1" t="str">
        <f>IF(AND(Raw_Data!G635&gt;200,Raw_Data!H635&gt;100),"High Usage","Normal Usage")</f>
        <v>Normal Usage</v>
      </c>
      <c r="F635" s="1" t="str" cm="1">
        <f t="array" ref="F635">_xlfn.IFS(B635=TRUE,"High Risk",AND(Raw_Data!S635&gt;=3,Raw_Data!G635&gt;200),"High Risk",Raw_Data!S635&gt;=2,"Medium Risk",TRUE,"Low Risk")</f>
        <v>Low Risk</v>
      </c>
      <c r="G635" s="1" t="str">
        <f>IF(OR(Raw_Data!D635="Yes",Raw_Data!E635="Yes"),"Has Plan","No Special Plan")</f>
        <v>No Special Plan</v>
      </c>
      <c r="H635" s="1" t="str">
        <f>IF(NOT(Raw_Data!S635&gt;=3),"Normal Service Contact","Frequent Service Contact")</f>
        <v>Normal Service Contact</v>
      </c>
      <c r="I635" s="1" t="str" cm="1">
        <f t="array" ref="I635">_xlfn.SWITCH(Raw_Data!D635,"Yes","International Customer","No","Domestic Plan","Unknown")</f>
        <v>Domestic Plan</v>
      </c>
      <c r="J635" s="1" t="str">
        <f>IF(ISERROR(Raw_Data!G635/0),"Error","Valid")</f>
        <v>Error</v>
      </c>
      <c r="K635" s="1" t="str">
        <f>IF(ISBLANK(Raw_Data!A635),"Missing","Available")</f>
        <v>Available</v>
      </c>
      <c r="L635" s="5" t="str">
        <f>IF(ISNUMBER(Raw_Data!G635),"Numeric","Not Numeric")</f>
        <v>Numeric</v>
      </c>
    </row>
    <row r="636" spans="1:12" x14ac:dyDescent="0.25">
      <c r="A636" s="4" t="str">
        <f>Raw_Data!A636</f>
        <v>PA</v>
      </c>
      <c r="B636" s="1" t="b">
        <f>Raw_Data!T636</f>
        <v>0</v>
      </c>
      <c r="C636" s="1" t="str">
        <f t="shared" si="9"/>
        <v>Retained</v>
      </c>
      <c r="D636" s="1" t="str">
        <f>IF(Raw_Data!S636=0,"Low Contact",IF(Raw_Data!S636&lt;=2,"Normal Contact","High Contact"))</f>
        <v>Normal Contact</v>
      </c>
      <c r="E636" s="1" t="str">
        <f>IF(AND(Raw_Data!G636&gt;200,Raw_Data!H636&gt;100),"High Usage","Normal Usage")</f>
        <v>High Usage</v>
      </c>
      <c r="F636" s="1" t="str" cm="1">
        <f t="array" ref="F636">_xlfn.IFS(B636=TRUE,"High Risk",AND(Raw_Data!S636&gt;=3,Raw_Data!G636&gt;200),"High Risk",Raw_Data!S636&gt;=2,"Medium Risk",TRUE,"Low Risk")</f>
        <v>Low Risk</v>
      </c>
      <c r="G636" s="1" t="str">
        <f>IF(OR(Raw_Data!D636="Yes",Raw_Data!E636="Yes"),"Has Plan","No Special Plan")</f>
        <v>Has Plan</v>
      </c>
      <c r="H636" s="1" t="str">
        <f>IF(NOT(Raw_Data!S636&gt;=3),"Normal Service Contact","Frequent Service Contact")</f>
        <v>Normal Service Contact</v>
      </c>
      <c r="I636" s="1" t="str" cm="1">
        <f t="array" ref="I636">_xlfn.SWITCH(Raw_Data!D636,"Yes","International Customer","No","Domestic Plan","Unknown")</f>
        <v>Domestic Plan</v>
      </c>
      <c r="J636" s="1" t="str">
        <f>IF(ISERROR(Raw_Data!G636/0),"Error","Valid")</f>
        <v>Error</v>
      </c>
      <c r="K636" s="1" t="str">
        <f>IF(ISBLANK(Raw_Data!A636),"Missing","Available")</f>
        <v>Available</v>
      </c>
      <c r="L636" s="5" t="str">
        <f>IF(ISNUMBER(Raw_Data!G636),"Numeric","Not Numeric")</f>
        <v>Numeric</v>
      </c>
    </row>
    <row r="637" spans="1:12" x14ac:dyDescent="0.25">
      <c r="A637" s="4" t="str">
        <f>Raw_Data!A637</f>
        <v>ID</v>
      </c>
      <c r="B637" s="1" t="b">
        <f>Raw_Data!T637</f>
        <v>0</v>
      </c>
      <c r="C637" s="1" t="str">
        <f t="shared" si="9"/>
        <v>Retained</v>
      </c>
      <c r="D637" s="1" t="str">
        <f>IF(Raw_Data!S637=0,"Low Contact",IF(Raw_Data!S637&lt;=2,"Normal Contact","High Contact"))</f>
        <v>Normal Contact</v>
      </c>
      <c r="E637" s="1" t="str">
        <f>IF(AND(Raw_Data!G637&gt;200,Raw_Data!H637&gt;100),"High Usage","Normal Usage")</f>
        <v>Normal Usage</v>
      </c>
      <c r="F637" s="1" t="str" cm="1">
        <f t="array" ref="F637">_xlfn.IFS(B637=TRUE,"High Risk",AND(Raw_Data!S637&gt;=3,Raw_Data!G637&gt;200),"High Risk",Raw_Data!S637&gt;=2,"Medium Risk",TRUE,"Low Risk")</f>
        <v>Low Risk</v>
      </c>
      <c r="G637" s="1" t="str">
        <f>IF(OR(Raw_Data!D637="Yes",Raw_Data!E637="Yes"),"Has Plan","No Special Plan")</f>
        <v>No Special Plan</v>
      </c>
      <c r="H637" s="1" t="str">
        <f>IF(NOT(Raw_Data!S637&gt;=3),"Normal Service Contact","Frequent Service Contact")</f>
        <v>Normal Service Contact</v>
      </c>
      <c r="I637" s="1" t="str" cm="1">
        <f t="array" ref="I637">_xlfn.SWITCH(Raw_Data!D637,"Yes","International Customer","No","Domestic Plan","Unknown")</f>
        <v>Domestic Plan</v>
      </c>
      <c r="J637" s="1" t="str">
        <f>IF(ISERROR(Raw_Data!G637/0),"Error","Valid")</f>
        <v>Error</v>
      </c>
      <c r="K637" s="1" t="str">
        <f>IF(ISBLANK(Raw_Data!A637),"Missing","Available")</f>
        <v>Available</v>
      </c>
      <c r="L637" s="5" t="str">
        <f>IF(ISNUMBER(Raw_Data!G637),"Numeric","Not Numeric")</f>
        <v>Numeric</v>
      </c>
    </row>
    <row r="638" spans="1:12" x14ac:dyDescent="0.25">
      <c r="A638" s="4" t="str">
        <f>Raw_Data!A638</f>
        <v>DC</v>
      </c>
      <c r="B638" s="1" t="b">
        <f>Raw_Data!T638</f>
        <v>0</v>
      </c>
      <c r="C638" s="1" t="str">
        <f t="shared" si="9"/>
        <v>Retained</v>
      </c>
      <c r="D638" s="1" t="str">
        <f>IF(Raw_Data!S638=0,"Low Contact",IF(Raw_Data!S638&lt;=2,"Normal Contact","High Contact"))</f>
        <v>Low Contact</v>
      </c>
      <c r="E638" s="1" t="str">
        <f>IF(AND(Raw_Data!G638&gt;200,Raw_Data!H638&gt;100),"High Usage","Normal Usage")</f>
        <v>High Usage</v>
      </c>
      <c r="F638" s="1" t="str" cm="1">
        <f t="array" ref="F638">_xlfn.IFS(B638=TRUE,"High Risk",AND(Raw_Data!S638&gt;=3,Raw_Data!G638&gt;200),"High Risk",Raw_Data!S638&gt;=2,"Medium Risk",TRUE,"Low Risk")</f>
        <v>Low Risk</v>
      </c>
      <c r="G638" s="1" t="str">
        <f>IF(OR(Raw_Data!D638="Yes",Raw_Data!E638="Yes"),"Has Plan","No Special Plan")</f>
        <v>Has Plan</v>
      </c>
      <c r="H638" s="1" t="str">
        <f>IF(NOT(Raw_Data!S638&gt;=3),"Normal Service Contact","Frequent Service Contact")</f>
        <v>Normal Service Contact</v>
      </c>
      <c r="I638" s="1" t="str" cm="1">
        <f t="array" ref="I638">_xlfn.SWITCH(Raw_Data!D638,"Yes","International Customer","No","Domestic Plan","Unknown")</f>
        <v>Domestic Plan</v>
      </c>
      <c r="J638" s="1" t="str">
        <f>IF(ISERROR(Raw_Data!G638/0),"Error","Valid")</f>
        <v>Error</v>
      </c>
      <c r="K638" s="1" t="str">
        <f>IF(ISBLANK(Raw_Data!A638),"Missing","Available")</f>
        <v>Available</v>
      </c>
      <c r="L638" s="5" t="str">
        <f>IF(ISNUMBER(Raw_Data!G638),"Numeric","Not Numeric")</f>
        <v>Numeric</v>
      </c>
    </row>
    <row r="639" spans="1:12" x14ac:dyDescent="0.25">
      <c r="A639" s="4" t="str">
        <f>Raw_Data!A639</f>
        <v>KY</v>
      </c>
      <c r="B639" s="1" t="b">
        <f>Raw_Data!T639</f>
        <v>0</v>
      </c>
      <c r="C639" s="1" t="str">
        <f t="shared" si="9"/>
        <v>Retained</v>
      </c>
      <c r="D639" s="1" t="str">
        <f>IF(Raw_Data!S639=0,"Low Contact",IF(Raw_Data!S639&lt;=2,"Normal Contact","High Contact"))</f>
        <v>Normal Contact</v>
      </c>
      <c r="E639" s="1" t="str">
        <f>IF(AND(Raw_Data!G639&gt;200,Raw_Data!H639&gt;100),"High Usage","Normal Usage")</f>
        <v>High Usage</v>
      </c>
      <c r="F639" s="1" t="str" cm="1">
        <f t="array" ref="F639">_xlfn.IFS(B639=TRUE,"High Risk",AND(Raw_Data!S639&gt;=3,Raw_Data!G639&gt;200),"High Risk",Raw_Data!S639&gt;=2,"Medium Risk",TRUE,"Low Risk")</f>
        <v>Medium Risk</v>
      </c>
      <c r="G639" s="1" t="str">
        <f>IF(OR(Raw_Data!D639="Yes",Raw_Data!E639="Yes"),"Has Plan","No Special Plan")</f>
        <v>No Special Plan</v>
      </c>
      <c r="H639" s="1" t="str">
        <f>IF(NOT(Raw_Data!S639&gt;=3),"Normal Service Contact","Frequent Service Contact")</f>
        <v>Normal Service Contact</v>
      </c>
      <c r="I639" s="1" t="str" cm="1">
        <f t="array" ref="I639">_xlfn.SWITCH(Raw_Data!D639,"Yes","International Customer","No","Domestic Plan","Unknown")</f>
        <v>Domestic Plan</v>
      </c>
      <c r="J639" s="1" t="str">
        <f>IF(ISERROR(Raw_Data!G639/0),"Error","Valid")</f>
        <v>Error</v>
      </c>
      <c r="K639" s="1" t="str">
        <f>IF(ISBLANK(Raw_Data!A639),"Missing","Available")</f>
        <v>Available</v>
      </c>
      <c r="L639" s="5" t="str">
        <f>IF(ISNUMBER(Raw_Data!G639),"Numeric","Not Numeric")</f>
        <v>Numeric</v>
      </c>
    </row>
    <row r="640" spans="1:12" x14ac:dyDescent="0.25">
      <c r="A640" s="4" t="str">
        <f>Raw_Data!A640</f>
        <v>SC</v>
      </c>
      <c r="B640" s="1" t="b">
        <f>Raw_Data!T640</f>
        <v>0</v>
      </c>
      <c r="C640" s="1" t="str">
        <f t="shared" si="9"/>
        <v>Retained</v>
      </c>
      <c r="D640" s="1" t="str">
        <f>IF(Raw_Data!S640=0,"Low Contact",IF(Raw_Data!S640&lt;=2,"Normal Contact","High Contact"))</f>
        <v>Normal Contact</v>
      </c>
      <c r="E640" s="1" t="str">
        <f>IF(AND(Raw_Data!G640&gt;200,Raw_Data!H640&gt;100),"High Usage","Normal Usage")</f>
        <v>Normal Usage</v>
      </c>
      <c r="F640" s="1" t="str" cm="1">
        <f t="array" ref="F640">_xlfn.IFS(B640=TRUE,"High Risk",AND(Raw_Data!S640&gt;=3,Raw_Data!G640&gt;200),"High Risk",Raw_Data!S640&gt;=2,"Medium Risk",TRUE,"Low Risk")</f>
        <v>Low Risk</v>
      </c>
      <c r="G640" s="1" t="str">
        <f>IF(OR(Raw_Data!D640="Yes",Raw_Data!E640="Yes"),"Has Plan","No Special Plan")</f>
        <v>No Special Plan</v>
      </c>
      <c r="H640" s="1" t="str">
        <f>IF(NOT(Raw_Data!S640&gt;=3),"Normal Service Contact","Frequent Service Contact")</f>
        <v>Normal Service Contact</v>
      </c>
      <c r="I640" s="1" t="str" cm="1">
        <f t="array" ref="I640">_xlfn.SWITCH(Raw_Data!D640,"Yes","International Customer","No","Domestic Plan","Unknown")</f>
        <v>Domestic Plan</v>
      </c>
      <c r="J640" s="1" t="str">
        <f>IF(ISERROR(Raw_Data!G640/0),"Error","Valid")</f>
        <v>Error</v>
      </c>
      <c r="K640" s="1" t="str">
        <f>IF(ISBLANK(Raw_Data!A640),"Missing","Available")</f>
        <v>Available</v>
      </c>
      <c r="L640" s="5" t="str">
        <f>IF(ISNUMBER(Raw_Data!G640),"Numeric","Not Numeric")</f>
        <v>Numeric</v>
      </c>
    </row>
    <row r="641" spans="1:12" x14ac:dyDescent="0.25">
      <c r="A641" s="4" t="str">
        <f>Raw_Data!A641</f>
        <v>NC</v>
      </c>
      <c r="B641" s="1" t="b">
        <f>Raw_Data!T641</f>
        <v>0</v>
      </c>
      <c r="C641" s="1" t="str">
        <f t="shared" si="9"/>
        <v>Retained</v>
      </c>
      <c r="D641" s="1" t="str">
        <f>IF(Raw_Data!S641=0,"Low Contact",IF(Raw_Data!S641&lt;=2,"Normal Contact","High Contact"))</f>
        <v>Normal Contact</v>
      </c>
      <c r="E641" s="1" t="str">
        <f>IF(AND(Raw_Data!G641&gt;200,Raw_Data!H641&gt;100),"High Usage","Normal Usage")</f>
        <v>Normal Usage</v>
      </c>
      <c r="F641" s="1" t="str" cm="1">
        <f t="array" ref="F641">_xlfn.IFS(B641=TRUE,"High Risk",AND(Raw_Data!S641&gt;=3,Raw_Data!G641&gt;200),"High Risk",Raw_Data!S641&gt;=2,"Medium Risk",TRUE,"Low Risk")</f>
        <v>Medium Risk</v>
      </c>
      <c r="G641" s="1" t="str">
        <f>IF(OR(Raw_Data!D641="Yes",Raw_Data!E641="Yes"),"Has Plan","No Special Plan")</f>
        <v>No Special Plan</v>
      </c>
      <c r="H641" s="1" t="str">
        <f>IF(NOT(Raw_Data!S641&gt;=3),"Normal Service Contact","Frequent Service Contact")</f>
        <v>Normal Service Contact</v>
      </c>
      <c r="I641" s="1" t="str" cm="1">
        <f t="array" ref="I641">_xlfn.SWITCH(Raw_Data!D641,"Yes","International Customer","No","Domestic Plan","Unknown")</f>
        <v>Domestic Plan</v>
      </c>
      <c r="J641" s="1" t="str">
        <f>IF(ISERROR(Raw_Data!G641/0),"Error","Valid")</f>
        <v>Error</v>
      </c>
      <c r="K641" s="1" t="str">
        <f>IF(ISBLANK(Raw_Data!A641),"Missing","Available")</f>
        <v>Available</v>
      </c>
      <c r="L641" s="5" t="str">
        <f>IF(ISNUMBER(Raw_Data!G641),"Numeric","Not Numeric")</f>
        <v>Numeric</v>
      </c>
    </row>
    <row r="642" spans="1:12" x14ac:dyDescent="0.25">
      <c r="A642" s="4" t="str">
        <f>Raw_Data!A642</f>
        <v>NY</v>
      </c>
      <c r="B642" s="1" t="b">
        <f>Raw_Data!T642</f>
        <v>0</v>
      </c>
      <c r="C642" s="1" t="str">
        <f t="shared" si="9"/>
        <v>Retained</v>
      </c>
      <c r="D642" s="1" t="str">
        <f>IF(Raw_Data!S642=0,"Low Contact",IF(Raw_Data!S642&lt;=2,"Normal Contact","High Contact"))</f>
        <v>Low Contact</v>
      </c>
      <c r="E642" s="1" t="str">
        <f>IF(AND(Raw_Data!G642&gt;200,Raw_Data!H642&gt;100),"High Usage","Normal Usage")</f>
        <v>Normal Usage</v>
      </c>
      <c r="F642" s="1" t="str" cm="1">
        <f t="array" ref="F642">_xlfn.IFS(B642=TRUE,"High Risk",AND(Raw_Data!S642&gt;=3,Raw_Data!G642&gt;200),"High Risk",Raw_Data!S642&gt;=2,"Medium Risk",TRUE,"Low Risk")</f>
        <v>Low Risk</v>
      </c>
      <c r="G642" s="1" t="str">
        <f>IF(OR(Raw_Data!D642="Yes",Raw_Data!E642="Yes"),"Has Plan","No Special Plan")</f>
        <v>No Special Plan</v>
      </c>
      <c r="H642" s="1" t="str">
        <f>IF(NOT(Raw_Data!S642&gt;=3),"Normal Service Contact","Frequent Service Contact")</f>
        <v>Normal Service Contact</v>
      </c>
      <c r="I642" s="1" t="str" cm="1">
        <f t="array" ref="I642">_xlfn.SWITCH(Raw_Data!D642,"Yes","International Customer","No","Domestic Plan","Unknown")</f>
        <v>Domestic Plan</v>
      </c>
      <c r="J642" s="1" t="str">
        <f>IF(ISERROR(Raw_Data!G642/0),"Error","Valid")</f>
        <v>Error</v>
      </c>
      <c r="K642" s="1" t="str">
        <f>IF(ISBLANK(Raw_Data!A642),"Missing","Available")</f>
        <v>Available</v>
      </c>
      <c r="L642" s="5" t="str">
        <f>IF(ISNUMBER(Raw_Data!G642),"Numeric","Not Numeric")</f>
        <v>Numeric</v>
      </c>
    </row>
    <row r="643" spans="1:12" x14ac:dyDescent="0.25">
      <c r="A643" s="4" t="str">
        <f>Raw_Data!A643</f>
        <v>OR</v>
      </c>
      <c r="B643" s="1" t="b">
        <f>Raw_Data!T643</f>
        <v>0</v>
      </c>
      <c r="C643" s="1" t="str">
        <f t="shared" ref="C643:C668" si="10">IF(B643=TRUE,"Churned","Retained")</f>
        <v>Retained</v>
      </c>
      <c r="D643" s="1" t="str">
        <f>IF(Raw_Data!S643=0,"Low Contact",IF(Raw_Data!S643&lt;=2,"Normal Contact","High Contact"))</f>
        <v>High Contact</v>
      </c>
      <c r="E643" s="1" t="str">
        <f>IF(AND(Raw_Data!G643&gt;200,Raw_Data!H643&gt;100),"High Usage","Normal Usage")</f>
        <v>Normal Usage</v>
      </c>
      <c r="F643" s="1" t="str" cm="1">
        <f t="array" ref="F643">_xlfn.IFS(B643=TRUE,"High Risk",AND(Raw_Data!S643&gt;=3,Raw_Data!G643&gt;200),"High Risk",Raw_Data!S643&gt;=2,"Medium Risk",TRUE,"Low Risk")</f>
        <v>High Risk</v>
      </c>
      <c r="G643" s="1" t="str">
        <f>IF(OR(Raw_Data!D643="Yes",Raw_Data!E643="Yes"),"Has Plan","No Special Plan")</f>
        <v>No Special Plan</v>
      </c>
      <c r="H643" s="1" t="str">
        <f>IF(NOT(Raw_Data!S643&gt;=3),"Normal Service Contact","Frequent Service Contact")</f>
        <v>Frequent Service Contact</v>
      </c>
      <c r="I643" s="1" t="str" cm="1">
        <f t="array" ref="I643">_xlfn.SWITCH(Raw_Data!D643,"Yes","International Customer","No","Domestic Plan","Unknown")</f>
        <v>Domestic Plan</v>
      </c>
      <c r="J643" s="1" t="str">
        <f>IF(ISERROR(Raw_Data!G643/0),"Error","Valid")</f>
        <v>Error</v>
      </c>
      <c r="K643" s="1" t="str">
        <f>IF(ISBLANK(Raw_Data!A643),"Missing","Available")</f>
        <v>Available</v>
      </c>
      <c r="L643" s="5" t="str">
        <f>IF(ISNUMBER(Raw_Data!G643),"Numeric","Not Numeric")</f>
        <v>Numeric</v>
      </c>
    </row>
    <row r="644" spans="1:12" x14ac:dyDescent="0.25">
      <c r="A644" s="4" t="str">
        <f>Raw_Data!A644</f>
        <v>IL</v>
      </c>
      <c r="B644" s="1" t="b">
        <f>Raw_Data!T644</f>
        <v>0</v>
      </c>
      <c r="C644" s="1" t="str">
        <f t="shared" si="10"/>
        <v>Retained</v>
      </c>
      <c r="D644" s="1" t="str">
        <f>IF(Raw_Data!S644=0,"Low Contact",IF(Raw_Data!S644&lt;=2,"Normal Contact","High Contact"))</f>
        <v>Normal Contact</v>
      </c>
      <c r="E644" s="1" t="str">
        <f>IF(AND(Raw_Data!G644&gt;200,Raw_Data!H644&gt;100),"High Usage","Normal Usage")</f>
        <v>Normal Usage</v>
      </c>
      <c r="F644" s="1" t="str" cm="1">
        <f t="array" ref="F644">_xlfn.IFS(B644=TRUE,"High Risk",AND(Raw_Data!S644&gt;=3,Raw_Data!G644&gt;200),"High Risk",Raw_Data!S644&gt;=2,"Medium Risk",TRUE,"Low Risk")</f>
        <v>Low Risk</v>
      </c>
      <c r="G644" s="1" t="str">
        <f>IF(OR(Raw_Data!D644="Yes",Raw_Data!E644="Yes"),"Has Plan","No Special Plan")</f>
        <v>No Special Plan</v>
      </c>
      <c r="H644" s="1" t="str">
        <f>IF(NOT(Raw_Data!S644&gt;=3),"Normal Service Contact","Frequent Service Contact")</f>
        <v>Normal Service Contact</v>
      </c>
      <c r="I644" s="1" t="str" cm="1">
        <f t="array" ref="I644">_xlfn.SWITCH(Raw_Data!D644,"Yes","International Customer","No","Domestic Plan","Unknown")</f>
        <v>Domestic Plan</v>
      </c>
      <c r="J644" s="1" t="str">
        <f>IF(ISERROR(Raw_Data!G644/0),"Error","Valid")</f>
        <v>Error</v>
      </c>
      <c r="K644" s="1" t="str">
        <f>IF(ISBLANK(Raw_Data!A644),"Missing","Available")</f>
        <v>Available</v>
      </c>
      <c r="L644" s="5" t="str">
        <f>IF(ISNUMBER(Raw_Data!G644),"Numeric","Not Numeric")</f>
        <v>Numeric</v>
      </c>
    </row>
    <row r="645" spans="1:12" x14ac:dyDescent="0.25">
      <c r="A645" s="4" t="str">
        <f>Raw_Data!A645</f>
        <v>MA</v>
      </c>
      <c r="B645" s="1" t="b">
        <f>Raw_Data!T645</f>
        <v>0</v>
      </c>
      <c r="C645" s="1" t="str">
        <f t="shared" si="10"/>
        <v>Retained</v>
      </c>
      <c r="D645" s="1" t="str">
        <f>IF(Raw_Data!S645=0,"Low Contact",IF(Raw_Data!S645&lt;=2,"Normal Contact","High Contact"))</f>
        <v>Normal Contact</v>
      </c>
      <c r="E645" s="1" t="str">
        <f>IF(AND(Raw_Data!G645&gt;200,Raw_Data!H645&gt;100),"High Usage","Normal Usage")</f>
        <v>Normal Usage</v>
      </c>
      <c r="F645" s="1" t="str" cm="1">
        <f t="array" ref="F645">_xlfn.IFS(B645=TRUE,"High Risk",AND(Raw_Data!S645&gt;=3,Raw_Data!G645&gt;200),"High Risk",Raw_Data!S645&gt;=2,"Medium Risk",TRUE,"Low Risk")</f>
        <v>Low Risk</v>
      </c>
      <c r="G645" s="1" t="str">
        <f>IF(OR(Raw_Data!D645="Yes",Raw_Data!E645="Yes"),"Has Plan","No Special Plan")</f>
        <v>No Special Plan</v>
      </c>
      <c r="H645" s="1" t="str">
        <f>IF(NOT(Raw_Data!S645&gt;=3),"Normal Service Contact","Frequent Service Contact")</f>
        <v>Normal Service Contact</v>
      </c>
      <c r="I645" s="1" t="str" cm="1">
        <f t="array" ref="I645">_xlfn.SWITCH(Raw_Data!D645,"Yes","International Customer","No","Domestic Plan","Unknown")</f>
        <v>Domestic Plan</v>
      </c>
      <c r="J645" s="1" t="str">
        <f>IF(ISERROR(Raw_Data!G645/0),"Error","Valid")</f>
        <v>Error</v>
      </c>
      <c r="K645" s="1" t="str">
        <f>IF(ISBLANK(Raw_Data!A645),"Missing","Available")</f>
        <v>Available</v>
      </c>
      <c r="L645" s="5" t="str">
        <f>IF(ISNUMBER(Raw_Data!G645),"Numeric","Not Numeric")</f>
        <v>Numeric</v>
      </c>
    </row>
    <row r="646" spans="1:12" x14ac:dyDescent="0.25">
      <c r="A646" s="4" t="str">
        <f>Raw_Data!A646</f>
        <v>CT</v>
      </c>
      <c r="B646" s="1" t="b">
        <f>Raw_Data!T646</f>
        <v>0</v>
      </c>
      <c r="C646" s="1" t="str">
        <f t="shared" si="10"/>
        <v>Retained</v>
      </c>
      <c r="D646" s="1" t="str">
        <f>IF(Raw_Data!S646=0,"Low Contact",IF(Raw_Data!S646&lt;=2,"Normal Contact","High Contact"))</f>
        <v>Normal Contact</v>
      </c>
      <c r="E646" s="1" t="str">
        <f>IF(AND(Raw_Data!G646&gt;200,Raw_Data!H646&gt;100),"High Usage","Normal Usage")</f>
        <v>Normal Usage</v>
      </c>
      <c r="F646" s="1" t="str" cm="1">
        <f t="array" ref="F646">_xlfn.IFS(B646=TRUE,"High Risk",AND(Raw_Data!S646&gt;=3,Raw_Data!G646&gt;200),"High Risk",Raw_Data!S646&gt;=2,"Medium Risk",TRUE,"Low Risk")</f>
        <v>Low Risk</v>
      </c>
      <c r="G646" s="1" t="str">
        <f>IF(OR(Raw_Data!D646="Yes",Raw_Data!E646="Yes"),"Has Plan","No Special Plan")</f>
        <v>Has Plan</v>
      </c>
      <c r="H646" s="1" t="str">
        <f>IF(NOT(Raw_Data!S646&gt;=3),"Normal Service Contact","Frequent Service Contact")</f>
        <v>Normal Service Contact</v>
      </c>
      <c r="I646" s="1" t="str" cm="1">
        <f t="array" ref="I646">_xlfn.SWITCH(Raw_Data!D646,"Yes","International Customer","No","Domestic Plan","Unknown")</f>
        <v>Domestic Plan</v>
      </c>
      <c r="J646" s="1" t="str">
        <f>IF(ISERROR(Raw_Data!G646/0),"Error","Valid")</f>
        <v>Error</v>
      </c>
      <c r="K646" s="1" t="str">
        <f>IF(ISBLANK(Raw_Data!A646),"Missing","Available")</f>
        <v>Available</v>
      </c>
      <c r="L646" s="5" t="str">
        <f>IF(ISNUMBER(Raw_Data!G646),"Numeric","Not Numeric")</f>
        <v>Numeric</v>
      </c>
    </row>
    <row r="647" spans="1:12" x14ac:dyDescent="0.25">
      <c r="A647" s="4" t="str">
        <f>Raw_Data!A647</f>
        <v>WI</v>
      </c>
      <c r="B647" s="1" t="b">
        <f>Raw_Data!T647</f>
        <v>0</v>
      </c>
      <c r="C647" s="1" t="str">
        <f t="shared" si="10"/>
        <v>Retained</v>
      </c>
      <c r="D647" s="1" t="str">
        <f>IF(Raw_Data!S647=0,"Low Contact",IF(Raw_Data!S647&lt;=2,"Normal Contact","High Contact"))</f>
        <v>Normal Contact</v>
      </c>
      <c r="E647" s="1" t="str">
        <f>IF(AND(Raw_Data!G647&gt;200,Raw_Data!H647&gt;100),"High Usage","Normal Usage")</f>
        <v>High Usage</v>
      </c>
      <c r="F647" s="1" t="str" cm="1">
        <f t="array" ref="F647">_xlfn.IFS(B647=TRUE,"High Risk",AND(Raw_Data!S647&gt;=3,Raw_Data!G647&gt;200),"High Risk",Raw_Data!S647&gt;=2,"Medium Risk",TRUE,"Low Risk")</f>
        <v>Low Risk</v>
      </c>
      <c r="G647" s="1" t="str">
        <f>IF(OR(Raw_Data!D647="Yes",Raw_Data!E647="Yes"),"Has Plan","No Special Plan")</f>
        <v>No Special Plan</v>
      </c>
      <c r="H647" s="1" t="str">
        <f>IF(NOT(Raw_Data!S647&gt;=3),"Normal Service Contact","Frequent Service Contact")</f>
        <v>Normal Service Contact</v>
      </c>
      <c r="I647" s="1" t="str" cm="1">
        <f t="array" ref="I647">_xlfn.SWITCH(Raw_Data!D647,"Yes","International Customer","No","Domestic Plan","Unknown")</f>
        <v>Domestic Plan</v>
      </c>
      <c r="J647" s="1" t="str">
        <f>IF(ISERROR(Raw_Data!G647/0),"Error","Valid")</f>
        <v>Error</v>
      </c>
      <c r="K647" s="1" t="str">
        <f>IF(ISBLANK(Raw_Data!A647),"Missing","Available")</f>
        <v>Available</v>
      </c>
      <c r="L647" s="5" t="str">
        <f>IF(ISNUMBER(Raw_Data!G647),"Numeric","Not Numeric")</f>
        <v>Numeric</v>
      </c>
    </row>
    <row r="648" spans="1:12" x14ac:dyDescent="0.25">
      <c r="A648" s="4" t="str">
        <f>Raw_Data!A648</f>
        <v>OK</v>
      </c>
      <c r="B648" s="1" t="b">
        <f>Raw_Data!T648</f>
        <v>0</v>
      </c>
      <c r="C648" s="1" t="str">
        <f t="shared" si="10"/>
        <v>Retained</v>
      </c>
      <c r="D648" s="1" t="str">
        <f>IF(Raw_Data!S648=0,"Low Contact",IF(Raw_Data!S648&lt;=2,"Normal Contact","High Contact"))</f>
        <v>Low Contact</v>
      </c>
      <c r="E648" s="1" t="str">
        <f>IF(AND(Raw_Data!G648&gt;200,Raw_Data!H648&gt;100),"High Usage","Normal Usage")</f>
        <v>Normal Usage</v>
      </c>
      <c r="F648" s="1" t="str" cm="1">
        <f t="array" ref="F648">_xlfn.IFS(B648=TRUE,"High Risk",AND(Raw_Data!S648&gt;=3,Raw_Data!G648&gt;200),"High Risk",Raw_Data!S648&gt;=2,"Medium Risk",TRUE,"Low Risk")</f>
        <v>Low Risk</v>
      </c>
      <c r="G648" s="1" t="str">
        <f>IF(OR(Raw_Data!D648="Yes",Raw_Data!E648="Yes"),"Has Plan","No Special Plan")</f>
        <v>No Special Plan</v>
      </c>
      <c r="H648" s="1" t="str">
        <f>IF(NOT(Raw_Data!S648&gt;=3),"Normal Service Contact","Frequent Service Contact")</f>
        <v>Normal Service Contact</v>
      </c>
      <c r="I648" s="1" t="str" cm="1">
        <f t="array" ref="I648">_xlfn.SWITCH(Raw_Data!D648,"Yes","International Customer","No","Domestic Plan","Unknown")</f>
        <v>Domestic Plan</v>
      </c>
      <c r="J648" s="1" t="str">
        <f>IF(ISERROR(Raw_Data!G648/0),"Error","Valid")</f>
        <v>Error</v>
      </c>
      <c r="K648" s="1" t="str">
        <f>IF(ISBLANK(Raw_Data!A648),"Missing","Available")</f>
        <v>Available</v>
      </c>
      <c r="L648" s="5" t="str">
        <f>IF(ISNUMBER(Raw_Data!G648),"Numeric","Not Numeric")</f>
        <v>Numeric</v>
      </c>
    </row>
    <row r="649" spans="1:12" x14ac:dyDescent="0.25">
      <c r="A649" s="4" t="str">
        <f>Raw_Data!A649</f>
        <v>AZ</v>
      </c>
      <c r="B649" s="1" t="b">
        <f>Raw_Data!T649</f>
        <v>0</v>
      </c>
      <c r="C649" s="1" t="str">
        <f t="shared" si="10"/>
        <v>Retained</v>
      </c>
      <c r="D649" s="1" t="str">
        <f>IF(Raw_Data!S649=0,"Low Contact",IF(Raw_Data!S649&lt;=2,"Normal Contact","High Contact"))</f>
        <v>High Contact</v>
      </c>
      <c r="E649" s="1" t="str">
        <f>IF(AND(Raw_Data!G649&gt;200,Raw_Data!H649&gt;100),"High Usage","Normal Usage")</f>
        <v>Normal Usage</v>
      </c>
      <c r="F649" s="1" t="str" cm="1">
        <f t="array" ref="F649">_xlfn.IFS(B649=TRUE,"High Risk",AND(Raw_Data!S649&gt;=3,Raw_Data!G649&gt;200),"High Risk",Raw_Data!S649&gt;=2,"Medium Risk",TRUE,"Low Risk")</f>
        <v>Medium Risk</v>
      </c>
      <c r="G649" s="1" t="str">
        <f>IF(OR(Raw_Data!D649="Yes",Raw_Data!E649="Yes"),"Has Plan","No Special Plan")</f>
        <v>Has Plan</v>
      </c>
      <c r="H649" s="1" t="str">
        <f>IF(NOT(Raw_Data!S649&gt;=3),"Normal Service Contact","Frequent Service Contact")</f>
        <v>Frequent Service Contact</v>
      </c>
      <c r="I649" s="1" t="str" cm="1">
        <f t="array" ref="I649">_xlfn.SWITCH(Raw_Data!D649,"Yes","International Customer","No","Domestic Plan","Unknown")</f>
        <v>Domestic Plan</v>
      </c>
      <c r="J649" s="1" t="str">
        <f>IF(ISERROR(Raw_Data!G649/0),"Error","Valid")</f>
        <v>Error</v>
      </c>
      <c r="K649" s="1" t="str">
        <f>IF(ISBLANK(Raw_Data!A649),"Missing","Available")</f>
        <v>Available</v>
      </c>
      <c r="L649" s="5" t="str">
        <f>IF(ISNUMBER(Raw_Data!G649),"Numeric","Not Numeric")</f>
        <v>Numeric</v>
      </c>
    </row>
    <row r="650" spans="1:12" x14ac:dyDescent="0.25">
      <c r="A650" s="4" t="str">
        <f>Raw_Data!A650</f>
        <v>KS</v>
      </c>
      <c r="B650" s="1" t="b">
        <f>Raw_Data!T650</f>
        <v>0</v>
      </c>
      <c r="C650" s="1" t="str">
        <f t="shared" si="10"/>
        <v>Retained</v>
      </c>
      <c r="D650" s="1" t="str">
        <f>IF(Raw_Data!S650=0,"Low Contact",IF(Raw_Data!S650&lt;=2,"Normal Contact","High Contact"))</f>
        <v>Normal Contact</v>
      </c>
      <c r="E650" s="1" t="str">
        <f>IF(AND(Raw_Data!G650&gt;200,Raw_Data!H650&gt;100),"High Usage","Normal Usage")</f>
        <v>Normal Usage</v>
      </c>
      <c r="F650" s="1" t="str" cm="1">
        <f t="array" ref="F650">_xlfn.IFS(B650=TRUE,"High Risk",AND(Raw_Data!S650&gt;=3,Raw_Data!G650&gt;200),"High Risk",Raw_Data!S650&gt;=2,"Medium Risk",TRUE,"Low Risk")</f>
        <v>Low Risk</v>
      </c>
      <c r="G650" s="1" t="str">
        <f>IF(OR(Raw_Data!D650="Yes",Raw_Data!E650="Yes"),"Has Plan","No Special Plan")</f>
        <v>No Special Plan</v>
      </c>
      <c r="H650" s="1" t="str">
        <f>IF(NOT(Raw_Data!S650&gt;=3),"Normal Service Contact","Frequent Service Contact")</f>
        <v>Normal Service Contact</v>
      </c>
      <c r="I650" s="1" t="str" cm="1">
        <f t="array" ref="I650">_xlfn.SWITCH(Raw_Data!D650,"Yes","International Customer","No","Domestic Plan","Unknown")</f>
        <v>Domestic Plan</v>
      </c>
      <c r="J650" s="1" t="str">
        <f>IF(ISERROR(Raw_Data!G650/0),"Error","Valid")</f>
        <v>Error</v>
      </c>
      <c r="K650" s="1" t="str">
        <f>IF(ISBLANK(Raw_Data!A650),"Missing","Available")</f>
        <v>Available</v>
      </c>
      <c r="L650" s="5" t="str">
        <f>IF(ISNUMBER(Raw_Data!G650),"Numeric","Not Numeric")</f>
        <v>Numeric</v>
      </c>
    </row>
    <row r="651" spans="1:12" x14ac:dyDescent="0.25">
      <c r="A651" s="4" t="str">
        <f>Raw_Data!A651</f>
        <v>KS</v>
      </c>
      <c r="B651" s="1" t="b">
        <f>Raw_Data!T651</f>
        <v>0</v>
      </c>
      <c r="C651" s="1" t="str">
        <f t="shared" si="10"/>
        <v>Retained</v>
      </c>
      <c r="D651" s="1" t="str">
        <f>IF(Raw_Data!S651=0,"Low Contact",IF(Raw_Data!S651&lt;=2,"Normal Contact","High Contact"))</f>
        <v>Normal Contact</v>
      </c>
      <c r="E651" s="1" t="str">
        <f>IF(AND(Raw_Data!G651&gt;200,Raw_Data!H651&gt;100),"High Usage","Normal Usage")</f>
        <v>Normal Usage</v>
      </c>
      <c r="F651" s="1" t="str" cm="1">
        <f t="array" ref="F651">_xlfn.IFS(B651=TRUE,"High Risk",AND(Raw_Data!S651&gt;=3,Raw_Data!G651&gt;200),"High Risk",Raw_Data!S651&gt;=2,"Medium Risk",TRUE,"Low Risk")</f>
        <v>Low Risk</v>
      </c>
      <c r="G651" s="1" t="str">
        <f>IF(OR(Raw_Data!D651="Yes",Raw_Data!E651="Yes"),"Has Plan","No Special Plan")</f>
        <v>Has Plan</v>
      </c>
      <c r="H651" s="1" t="str">
        <f>IF(NOT(Raw_Data!S651&gt;=3),"Normal Service Contact","Frequent Service Contact")</f>
        <v>Normal Service Contact</v>
      </c>
      <c r="I651" s="1" t="str" cm="1">
        <f t="array" ref="I651">_xlfn.SWITCH(Raw_Data!D651,"Yes","International Customer","No","Domestic Plan","Unknown")</f>
        <v>Domestic Plan</v>
      </c>
      <c r="J651" s="1" t="str">
        <f>IF(ISERROR(Raw_Data!G651/0),"Error","Valid")</f>
        <v>Error</v>
      </c>
      <c r="K651" s="1" t="str">
        <f>IF(ISBLANK(Raw_Data!A651),"Missing","Available")</f>
        <v>Available</v>
      </c>
      <c r="L651" s="5" t="str">
        <f>IF(ISNUMBER(Raw_Data!G651),"Numeric","Not Numeric")</f>
        <v>Numeric</v>
      </c>
    </row>
    <row r="652" spans="1:12" x14ac:dyDescent="0.25">
      <c r="A652" s="4" t="str">
        <f>Raw_Data!A652</f>
        <v>WY</v>
      </c>
      <c r="B652" s="1" t="b">
        <f>Raw_Data!T652</f>
        <v>0</v>
      </c>
      <c r="C652" s="1" t="str">
        <f t="shared" si="10"/>
        <v>Retained</v>
      </c>
      <c r="D652" s="1" t="str">
        <f>IF(Raw_Data!S652=0,"Low Contact",IF(Raw_Data!S652&lt;=2,"Normal Contact","High Contact"))</f>
        <v>Normal Contact</v>
      </c>
      <c r="E652" s="1" t="str">
        <f>IF(AND(Raw_Data!G652&gt;200,Raw_Data!H652&gt;100),"High Usage","Normal Usage")</f>
        <v>High Usage</v>
      </c>
      <c r="F652" s="1" t="str" cm="1">
        <f t="array" ref="F652">_xlfn.IFS(B652=TRUE,"High Risk",AND(Raw_Data!S652&gt;=3,Raw_Data!G652&gt;200),"High Risk",Raw_Data!S652&gt;=2,"Medium Risk",TRUE,"Low Risk")</f>
        <v>Medium Risk</v>
      </c>
      <c r="G652" s="1" t="str">
        <f>IF(OR(Raw_Data!D652="Yes",Raw_Data!E652="Yes"),"Has Plan","No Special Plan")</f>
        <v>No Special Plan</v>
      </c>
      <c r="H652" s="1" t="str">
        <f>IF(NOT(Raw_Data!S652&gt;=3),"Normal Service Contact","Frequent Service Contact")</f>
        <v>Normal Service Contact</v>
      </c>
      <c r="I652" s="1" t="str" cm="1">
        <f t="array" ref="I652">_xlfn.SWITCH(Raw_Data!D652,"Yes","International Customer","No","Domestic Plan","Unknown")</f>
        <v>Domestic Plan</v>
      </c>
      <c r="J652" s="1" t="str">
        <f>IF(ISERROR(Raw_Data!G652/0),"Error","Valid")</f>
        <v>Error</v>
      </c>
      <c r="K652" s="1" t="str">
        <f>IF(ISBLANK(Raw_Data!A652),"Missing","Available")</f>
        <v>Available</v>
      </c>
      <c r="L652" s="5" t="str">
        <f>IF(ISNUMBER(Raw_Data!G652),"Numeric","Not Numeric")</f>
        <v>Numeric</v>
      </c>
    </row>
    <row r="653" spans="1:12" x14ac:dyDescent="0.25">
      <c r="A653" s="4" t="str">
        <f>Raw_Data!A653</f>
        <v>OK</v>
      </c>
      <c r="B653" s="1" t="b">
        <f>Raw_Data!T653</f>
        <v>0</v>
      </c>
      <c r="C653" s="1" t="str">
        <f t="shared" si="10"/>
        <v>Retained</v>
      </c>
      <c r="D653" s="1" t="str">
        <f>IF(Raw_Data!S653=0,"Low Contact",IF(Raw_Data!S653&lt;=2,"Normal Contact","High Contact"))</f>
        <v>High Contact</v>
      </c>
      <c r="E653" s="1" t="str">
        <f>IF(AND(Raw_Data!G653&gt;200,Raw_Data!H653&gt;100),"High Usage","Normal Usage")</f>
        <v>Normal Usage</v>
      </c>
      <c r="F653" s="1" t="str" cm="1">
        <f t="array" ref="F653">_xlfn.IFS(B653=TRUE,"High Risk",AND(Raw_Data!S653&gt;=3,Raw_Data!G653&gt;200),"High Risk",Raw_Data!S653&gt;=2,"Medium Risk",TRUE,"Low Risk")</f>
        <v>Medium Risk</v>
      </c>
      <c r="G653" s="1" t="str">
        <f>IF(OR(Raw_Data!D653="Yes",Raw_Data!E653="Yes"),"Has Plan","No Special Plan")</f>
        <v>Has Plan</v>
      </c>
      <c r="H653" s="1" t="str">
        <f>IF(NOT(Raw_Data!S653&gt;=3),"Normal Service Contact","Frequent Service Contact")</f>
        <v>Frequent Service Contact</v>
      </c>
      <c r="I653" s="1" t="str" cm="1">
        <f t="array" ref="I653">_xlfn.SWITCH(Raw_Data!D653,"Yes","International Customer","No","Domestic Plan","Unknown")</f>
        <v>Domestic Plan</v>
      </c>
      <c r="J653" s="1" t="str">
        <f>IF(ISERROR(Raw_Data!G653/0),"Error","Valid")</f>
        <v>Error</v>
      </c>
      <c r="K653" s="1" t="str">
        <f>IF(ISBLANK(Raw_Data!A653),"Missing","Available")</f>
        <v>Available</v>
      </c>
      <c r="L653" s="5" t="str">
        <f>IF(ISNUMBER(Raw_Data!G653),"Numeric","Not Numeric")</f>
        <v>Numeric</v>
      </c>
    </row>
    <row r="654" spans="1:12" x14ac:dyDescent="0.25">
      <c r="A654" s="4" t="str">
        <f>Raw_Data!A654</f>
        <v>WA</v>
      </c>
      <c r="B654" s="1" t="b">
        <f>Raw_Data!T654</f>
        <v>1</v>
      </c>
      <c r="C654" s="1" t="str">
        <f t="shared" si="10"/>
        <v>Churned</v>
      </c>
      <c r="D654" s="1" t="str">
        <f>IF(Raw_Data!S654=0,"Low Contact",IF(Raw_Data!S654&lt;=2,"Normal Contact","High Contact"))</f>
        <v>Normal Contact</v>
      </c>
      <c r="E654" s="1" t="str">
        <f>IF(AND(Raw_Data!G654&gt;200,Raw_Data!H654&gt;100),"High Usage","Normal Usage")</f>
        <v>Normal Usage</v>
      </c>
      <c r="F654" s="1" t="str" cm="1">
        <f t="array" ref="F654">_xlfn.IFS(B654=TRUE,"High Risk",AND(Raw_Data!S654&gt;=3,Raw_Data!G654&gt;200),"High Risk",Raw_Data!S654&gt;=2,"Medium Risk",TRUE,"Low Risk")</f>
        <v>High Risk</v>
      </c>
      <c r="G654" s="1" t="str">
        <f>IF(OR(Raw_Data!D654="Yes",Raw_Data!E654="Yes"),"Has Plan","No Special Plan")</f>
        <v>No Special Plan</v>
      </c>
      <c r="H654" s="1" t="str">
        <f>IF(NOT(Raw_Data!S654&gt;=3),"Normal Service Contact","Frequent Service Contact")</f>
        <v>Normal Service Contact</v>
      </c>
      <c r="I654" s="1" t="str" cm="1">
        <f t="array" ref="I654">_xlfn.SWITCH(Raw_Data!D654,"Yes","International Customer","No","Domestic Plan","Unknown")</f>
        <v>Domestic Plan</v>
      </c>
      <c r="J654" s="1" t="str">
        <f>IF(ISERROR(Raw_Data!G654/0),"Error","Valid")</f>
        <v>Error</v>
      </c>
      <c r="K654" s="1" t="str">
        <f>IF(ISBLANK(Raw_Data!A654),"Missing","Available")</f>
        <v>Available</v>
      </c>
      <c r="L654" s="5" t="str">
        <f>IF(ISNUMBER(Raw_Data!G654),"Numeric","Not Numeric")</f>
        <v>Numeric</v>
      </c>
    </row>
    <row r="655" spans="1:12" x14ac:dyDescent="0.25">
      <c r="A655" s="4" t="str">
        <f>Raw_Data!A655</f>
        <v>MD</v>
      </c>
      <c r="B655" s="1" t="b">
        <f>Raw_Data!T655</f>
        <v>1</v>
      </c>
      <c r="C655" s="1" t="str">
        <f t="shared" si="10"/>
        <v>Churned</v>
      </c>
      <c r="D655" s="1" t="str">
        <f>IF(Raw_Data!S655=0,"Low Contact",IF(Raw_Data!S655&lt;=2,"Normal Contact","High Contact"))</f>
        <v>Normal Contact</v>
      </c>
      <c r="E655" s="1" t="str">
        <f>IF(AND(Raw_Data!G655&gt;200,Raw_Data!H655&gt;100),"High Usage","Normal Usage")</f>
        <v>High Usage</v>
      </c>
      <c r="F655" s="1" t="str" cm="1">
        <f t="array" ref="F655">_xlfn.IFS(B655=TRUE,"High Risk",AND(Raw_Data!S655&gt;=3,Raw_Data!G655&gt;200),"High Risk",Raw_Data!S655&gt;=2,"Medium Risk",TRUE,"Low Risk")</f>
        <v>High Risk</v>
      </c>
      <c r="G655" s="1" t="str">
        <f>IF(OR(Raw_Data!D655="Yes",Raw_Data!E655="Yes"),"Has Plan","No Special Plan")</f>
        <v>No Special Plan</v>
      </c>
      <c r="H655" s="1" t="str">
        <f>IF(NOT(Raw_Data!S655&gt;=3),"Normal Service Contact","Frequent Service Contact")</f>
        <v>Normal Service Contact</v>
      </c>
      <c r="I655" s="1" t="str" cm="1">
        <f t="array" ref="I655">_xlfn.SWITCH(Raw_Data!D655,"Yes","International Customer","No","Domestic Plan","Unknown")</f>
        <v>Domestic Plan</v>
      </c>
      <c r="J655" s="1" t="str">
        <f>IF(ISERROR(Raw_Data!G655/0),"Error","Valid")</f>
        <v>Error</v>
      </c>
      <c r="K655" s="1" t="str">
        <f>IF(ISBLANK(Raw_Data!A655),"Missing","Available")</f>
        <v>Available</v>
      </c>
      <c r="L655" s="5" t="str">
        <f>IF(ISNUMBER(Raw_Data!G655),"Numeric","Not Numeric")</f>
        <v>Numeric</v>
      </c>
    </row>
    <row r="656" spans="1:12" x14ac:dyDescent="0.25">
      <c r="A656" s="4" t="str">
        <f>Raw_Data!A656</f>
        <v>NY</v>
      </c>
      <c r="B656" s="1" t="b">
        <f>Raw_Data!T656</f>
        <v>0</v>
      </c>
      <c r="C656" s="1" t="str">
        <f t="shared" si="10"/>
        <v>Retained</v>
      </c>
      <c r="D656" s="1" t="str">
        <f>IF(Raw_Data!S656=0,"Low Contact",IF(Raw_Data!S656&lt;=2,"Normal Contact","High Contact"))</f>
        <v>Normal Contact</v>
      </c>
      <c r="E656" s="1" t="str">
        <f>IF(AND(Raw_Data!G656&gt;200,Raw_Data!H656&gt;100),"High Usage","Normal Usage")</f>
        <v>Normal Usage</v>
      </c>
      <c r="F656" s="1" t="str" cm="1">
        <f t="array" ref="F656">_xlfn.IFS(B656=TRUE,"High Risk",AND(Raw_Data!S656&gt;=3,Raw_Data!G656&gt;200),"High Risk",Raw_Data!S656&gt;=2,"Medium Risk",TRUE,"Low Risk")</f>
        <v>Low Risk</v>
      </c>
      <c r="G656" s="1" t="str">
        <f>IF(OR(Raw_Data!D656="Yes",Raw_Data!E656="Yes"),"Has Plan","No Special Plan")</f>
        <v>Has Plan</v>
      </c>
      <c r="H656" s="1" t="str">
        <f>IF(NOT(Raw_Data!S656&gt;=3),"Normal Service Contact","Frequent Service Contact")</f>
        <v>Normal Service Contact</v>
      </c>
      <c r="I656" s="1" t="str" cm="1">
        <f t="array" ref="I656">_xlfn.SWITCH(Raw_Data!D656,"Yes","International Customer","No","Domestic Plan","Unknown")</f>
        <v>Domestic Plan</v>
      </c>
      <c r="J656" s="1" t="str">
        <f>IF(ISERROR(Raw_Data!G656/0),"Error","Valid")</f>
        <v>Error</v>
      </c>
      <c r="K656" s="1" t="str">
        <f>IF(ISBLANK(Raw_Data!A656),"Missing","Available")</f>
        <v>Available</v>
      </c>
      <c r="L656" s="5" t="str">
        <f>IF(ISNUMBER(Raw_Data!G656),"Numeric","Not Numeric")</f>
        <v>Numeric</v>
      </c>
    </row>
    <row r="657" spans="1:12" x14ac:dyDescent="0.25">
      <c r="A657" s="4" t="str">
        <f>Raw_Data!A657</f>
        <v>WI</v>
      </c>
      <c r="B657" s="1" t="b">
        <f>Raw_Data!T657</f>
        <v>0</v>
      </c>
      <c r="C657" s="1" t="str">
        <f t="shared" si="10"/>
        <v>Retained</v>
      </c>
      <c r="D657" s="1" t="str">
        <f>IF(Raw_Data!S657=0,"Low Contact",IF(Raw_Data!S657&lt;=2,"Normal Contact","High Contact"))</f>
        <v>Normal Contact</v>
      </c>
      <c r="E657" s="1" t="str">
        <f>IF(AND(Raw_Data!G657&gt;200,Raw_Data!H657&gt;100),"High Usage","Normal Usage")</f>
        <v>Normal Usage</v>
      </c>
      <c r="F657" s="1" t="str" cm="1">
        <f t="array" ref="F657">_xlfn.IFS(B657=TRUE,"High Risk",AND(Raw_Data!S657&gt;=3,Raw_Data!G657&gt;200),"High Risk",Raw_Data!S657&gt;=2,"Medium Risk",TRUE,"Low Risk")</f>
        <v>Medium Risk</v>
      </c>
      <c r="G657" s="1" t="str">
        <f>IF(OR(Raw_Data!D657="Yes",Raw_Data!E657="Yes"),"Has Plan","No Special Plan")</f>
        <v>No Special Plan</v>
      </c>
      <c r="H657" s="1" t="str">
        <f>IF(NOT(Raw_Data!S657&gt;=3),"Normal Service Contact","Frequent Service Contact")</f>
        <v>Normal Service Contact</v>
      </c>
      <c r="I657" s="1" t="str" cm="1">
        <f t="array" ref="I657">_xlfn.SWITCH(Raw_Data!D657,"Yes","International Customer","No","Domestic Plan","Unknown")</f>
        <v>Domestic Plan</v>
      </c>
      <c r="J657" s="1" t="str">
        <f>IF(ISERROR(Raw_Data!G657/0),"Error","Valid")</f>
        <v>Error</v>
      </c>
      <c r="K657" s="1" t="str">
        <f>IF(ISBLANK(Raw_Data!A657),"Missing","Available")</f>
        <v>Available</v>
      </c>
      <c r="L657" s="5" t="str">
        <f>IF(ISNUMBER(Raw_Data!G657),"Numeric","Not Numeric")</f>
        <v>Numeric</v>
      </c>
    </row>
    <row r="658" spans="1:12" x14ac:dyDescent="0.25">
      <c r="A658" s="4" t="str">
        <f>Raw_Data!A658</f>
        <v>AK</v>
      </c>
      <c r="B658" s="1" t="b">
        <f>Raw_Data!T658</f>
        <v>0</v>
      </c>
      <c r="C658" s="1" t="str">
        <f t="shared" si="10"/>
        <v>Retained</v>
      </c>
      <c r="D658" s="1" t="str">
        <f>IF(Raw_Data!S658=0,"Low Contact",IF(Raw_Data!S658&lt;=2,"Normal Contact","High Contact"))</f>
        <v>High Contact</v>
      </c>
      <c r="E658" s="1" t="str">
        <f>IF(AND(Raw_Data!G658&gt;200,Raw_Data!H658&gt;100),"High Usage","Normal Usage")</f>
        <v>Normal Usage</v>
      </c>
      <c r="F658" s="1" t="str" cm="1">
        <f t="array" ref="F658">_xlfn.IFS(B658=TRUE,"High Risk",AND(Raw_Data!S658&gt;=3,Raw_Data!G658&gt;200),"High Risk",Raw_Data!S658&gt;=2,"Medium Risk",TRUE,"Low Risk")</f>
        <v>High Risk</v>
      </c>
      <c r="G658" s="1" t="str">
        <f>IF(OR(Raw_Data!D658="Yes",Raw_Data!E658="Yes"),"Has Plan","No Special Plan")</f>
        <v>No Special Plan</v>
      </c>
      <c r="H658" s="1" t="str">
        <f>IF(NOT(Raw_Data!S658&gt;=3),"Normal Service Contact","Frequent Service Contact")</f>
        <v>Frequent Service Contact</v>
      </c>
      <c r="I658" s="1" t="str" cm="1">
        <f t="array" ref="I658">_xlfn.SWITCH(Raw_Data!D658,"Yes","International Customer","No","Domestic Plan","Unknown")</f>
        <v>Domestic Plan</v>
      </c>
      <c r="J658" s="1" t="str">
        <f>IF(ISERROR(Raw_Data!G658/0),"Error","Valid")</f>
        <v>Error</v>
      </c>
      <c r="K658" s="1" t="str">
        <f>IF(ISBLANK(Raw_Data!A658),"Missing","Available")</f>
        <v>Available</v>
      </c>
      <c r="L658" s="5" t="str">
        <f>IF(ISNUMBER(Raw_Data!G658),"Numeric","Not Numeric")</f>
        <v>Numeric</v>
      </c>
    </row>
    <row r="659" spans="1:12" x14ac:dyDescent="0.25">
      <c r="A659" s="4" t="str">
        <f>Raw_Data!A659</f>
        <v>AZ</v>
      </c>
      <c r="B659" s="1" t="b">
        <f>Raw_Data!T659</f>
        <v>0</v>
      </c>
      <c r="C659" s="1" t="str">
        <f t="shared" si="10"/>
        <v>Retained</v>
      </c>
      <c r="D659" s="1" t="str">
        <f>IF(Raw_Data!S659=0,"Low Contact",IF(Raw_Data!S659&lt;=2,"Normal Contact","High Contact"))</f>
        <v>Normal Contact</v>
      </c>
      <c r="E659" s="1" t="str">
        <f>IF(AND(Raw_Data!G659&gt;200,Raw_Data!H659&gt;100),"High Usage","Normal Usage")</f>
        <v>Normal Usage</v>
      </c>
      <c r="F659" s="1" t="str" cm="1">
        <f t="array" ref="F659">_xlfn.IFS(B659=TRUE,"High Risk",AND(Raw_Data!S659&gt;=3,Raw_Data!G659&gt;200),"High Risk",Raw_Data!S659&gt;=2,"Medium Risk",TRUE,"Low Risk")</f>
        <v>Low Risk</v>
      </c>
      <c r="G659" s="1" t="str">
        <f>IF(OR(Raw_Data!D659="Yes",Raw_Data!E659="Yes"),"Has Plan","No Special Plan")</f>
        <v>Has Plan</v>
      </c>
      <c r="H659" s="1" t="str">
        <f>IF(NOT(Raw_Data!S659&gt;=3),"Normal Service Contact","Frequent Service Contact")</f>
        <v>Normal Service Contact</v>
      </c>
      <c r="I659" s="1" t="str" cm="1">
        <f t="array" ref="I659">_xlfn.SWITCH(Raw_Data!D659,"Yes","International Customer","No","Domestic Plan","Unknown")</f>
        <v>Domestic Plan</v>
      </c>
      <c r="J659" s="1" t="str">
        <f>IF(ISERROR(Raw_Data!G659/0),"Error","Valid")</f>
        <v>Error</v>
      </c>
      <c r="K659" s="1" t="str">
        <f>IF(ISBLANK(Raw_Data!A659),"Missing","Available")</f>
        <v>Available</v>
      </c>
      <c r="L659" s="5" t="str">
        <f>IF(ISNUMBER(Raw_Data!G659),"Numeric","Not Numeric")</f>
        <v>Numeric</v>
      </c>
    </row>
    <row r="660" spans="1:12" x14ac:dyDescent="0.25">
      <c r="A660" s="4" t="str">
        <f>Raw_Data!A660</f>
        <v>KS</v>
      </c>
      <c r="B660" s="1" t="b">
        <f>Raw_Data!T660</f>
        <v>0</v>
      </c>
      <c r="C660" s="1" t="str">
        <f t="shared" si="10"/>
        <v>Retained</v>
      </c>
      <c r="D660" s="1" t="str">
        <f>IF(Raw_Data!S660=0,"Low Contact",IF(Raw_Data!S660&lt;=2,"Normal Contact","High Contact"))</f>
        <v>Low Contact</v>
      </c>
      <c r="E660" s="1" t="str">
        <f>IF(AND(Raw_Data!G660&gt;200,Raw_Data!H660&gt;100),"High Usage","Normal Usage")</f>
        <v>Normal Usage</v>
      </c>
      <c r="F660" s="1" t="str" cm="1">
        <f t="array" ref="F660">_xlfn.IFS(B660=TRUE,"High Risk",AND(Raw_Data!S660&gt;=3,Raw_Data!G660&gt;200),"High Risk",Raw_Data!S660&gt;=2,"Medium Risk",TRUE,"Low Risk")</f>
        <v>Low Risk</v>
      </c>
      <c r="G660" s="1" t="str">
        <f>IF(OR(Raw_Data!D660="Yes",Raw_Data!E660="Yes"),"Has Plan","No Special Plan")</f>
        <v>No Special Plan</v>
      </c>
      <c r="H660" s="1" t="str">
        <f>IF(NOT(Raw_Data!S660&gt;=3),"Normal Service Contact","Frequent Service Contact")</f>
        <v>Normal Service Contact</v>
      </c>
      <c r="I660" s="1" t="str" cm="1">
        <f t="array" ref="I660">_xlfn.SWITCH(Raw_Data!D660,"Yes","International Customer","No","Domestic Plan","Unknown")</f>
        <v>Domestic Plan</v>
      </c>
      <c r="J660" s="1" t="str">
        <f>IF(ISERROR(Raw_Data!G660/0),"Error","Valid")</f>
        <v>Error</v>
      </c>
      <c r="K660" s="1" t="str">
        <f>IF(ISBLANK(Raw_Data!A660),"Missing","Available")</f>
        <v>Available</v>
      </c>
      <c r="L660" s="5" t="str">
        <f>IF(ISNUMBER(Raw_Data!G660),"Numeric","Not Numeric")</f>
        <v>Numeric</v>
      </c>
    </row>
    <row r="661" spans="1:12" x14ac:dyDescent="0.25">
      <c r="A661" s="4" t="str">
        <f>Raw_Data!A661</f>
        <v>CA</v>
      </c>
      <c r="B661" s="1" t="b">
        <f>Raw_Data!T661</f>
        <v>0</v>
      </c>
      <c r="C661" s="1" t="str">
        <f t="shared" si="10"/>
        <v>Retained</v>
      </c>
      <c r="D661" s="1" t="str">
        <f>IF(Raw_Data!S661=0,"Low Contact",IF(Raw_Data!S661&lt;=2,"Normal Contact","High Contact"))</f>
        <v>Low Contact</v>
      </c>
      <c r="E661" s="1" t="str">
        <f>IF(AND(Raw_Data!G661&gt;200,Raw_Data!H661&gt;100),"High Usage","Normal Usage")</f>
        <v>Normal Usage</v>
      </c>
      <c r="F661" s="1" t="str" cm="1">
        <f t="array" ref="F661">_xlfn.IFS(B661=TRUE,"High Risk",AND(Raw_Data!S661&gt;=3,Raw_Data!G661&gt;200),"High Risk",Raw_Data!S661&gt;=2,"Medium Risk",TRUE,"Low Risk")</f>
        <v>Low Risk</v>
      </c>
      <c r="G661" s="1" t="str">
        <f>IF(OR(Raw_Data!D661="Yes",Raw_Data!E661="Yes"),"Has Plan","No Special Plan")</f>
        <v>No Special Plan</v>
      </c>
      <c r="H661" s="1" t="str">
        <f>IF(NOT(Raw_Data!S661&gt;=3),"Normal Service Contact","Frequent Service Contact")</f>
        <v>Normal Service Contact</v>
      </c>
      <c r="I661" s="1" t="str" cm="1">
        <f t="array" ref="I661">_xlfn.SWITCH(Raw_Data!D661,"Yes","International Customer","No","Domestic Plan","Unknown")</f>
        <v>Domestic Plan</v>
      </c>
      <c r="J661" s="1" t="str">
        <f>IF(ISERROR(Raw_Data!G661/0),"Error","Valid")</f>
        <v>Error</v>
      </c>
      <c r="K661" s="1" t="str">
        <f>IF(ISBLANK(Raw_Data!A661),"Missing","Available")</f>
        <v>Available</v>
      </c>
      <c r="L661" s="5" t="str">
        <f>IF(ISNUMBER(Raw_Data!G661),"Numeric","Not Numeric")</f>
        <v>Numeric</v>
      </c>
    </row>
    <row r="662" spans="1:12" x14ac:dyDescent="0.25">
      <c r="A662" s="4" t="str">
        <f>Raw_Data!A662</f>
        <v>IN</v>
      </c>
      <c r="B662" s="1" t="b">
        <f>Raw_Data!T662</f>
        <v>0</v>
      </c>
      <c r="C662" s="1" t="str">
        <f t="shared" si="10"/>
        <v>Retained</v>
      </c>
      <c r="D662" s="1" t="str">
        <f>IF(Raw_Data!S662=0,"Low Contact",IF(Raw_Data!S662&lt;=2,"Normal Contact","High Contact"))</f>
        <v>Normal Contact</v>
      </c>
      <c r="E662" s="1" t="str">
        <f>IF(AND(Raw_Data!G662&gt;200,Raw_Data!H662&gt;100),"High Usage","Normal Usage")</f>
        <v>Normal Usage</v>
      </c>
      <c r="F662" s="1" t="str" cm="1">
        <f t="array" ref="F662">_xlfn.IFS(B662=TRUE,"High Risk",AND(Raw_Data!S662&gt;=3,Raw_Data!G662&gt;200),"High Risk",Raw_Data!S662&gt;=2,"Medium Risk",TRUE,"Low Risk")</f>
        <v>Low Risk</v>
      </c>
      <c r="G662" s="1" t="str">
        <f>IF(OR(Raw_Data!D662="Yes",Raw_Data!E662="Yes"),"Has Plan","No Special Plan")</f>
        <v>No Special Plan</v>
      </c>
      <c r="H662" s="1" t="str">
        <f>IF(NOT(Raw_Data!S662&gt;=3),"Normal Service Contact","Frequent Service Contact")</f>
        <v>Normal Service Contact</v>
      </c>
      <c r="I662" s="1" t="str" cm="1">
        <f t="array" ref="I662">_xlfn.SWITCH(Raw_Data!D662,"Yes","International Customer","No","Domestic Plan","Unknown")</f>
        <v>Domestic Plan</v>
      </c>
      <c r="J662" s="1" t="str">
        <f>IF(ISERROR(Raw_Data!G662/0),"Error","Valid")</f>
        <v>Error</v>
      </c>
      <c r="K662" s="1" t="str">
        <f>IF(ISBLANK(Raw_Data!A662),"Missing","Available")</f>
        <v>Available</v>
      </c>
      <c r="L662" s="5" t="str">
        <f>IF(ISNUMBER(Raw_Data!G662),"Numeric","Not Numeric")</f>
        <v>Numeric</v>
      </c>
    </row>
    <row r="663" spans="1:12" x14ac:dyDescent="0.25">
      <c r="A663" s="4" t="str">
        <f>Raw_Data!A663</f>
        <v>CA</v>
      </c>
      <c r="B663" s="1" t="b">
        <f>Raw_Data!T663</f>
        <v>1</v>
      </c>
      <c r="C663" s="1" t="str">
        <f t="shared" si="10"/>
        <v>Churned</v>
      </c>
      <c r="D663" s="1" t="str">
        <f>IF(Raw_Data!S663=0,"Low Contact",IF(Raw_Data!S663&lt;=2,"Normal Contact","High Contact"))</f>
        <v>Low Contact</v>
      </c>
      <c r="E663" s="1" t="str">
        <f>IF(AND(Raw_Data!G663&gt;200,Raw_Data!H663&gt;100),"High Usage","Normal Usage")</f>
        <v>High Usage</v>
      </c>
      <c r="F663" s="1" t="str" cm="1">
        <f t="array" ref="F663">_xlfn.IFS(B663=TRUE,"High Risk",AND(Raw_Data!S663&gt;=3,Raw_Data!G663&gt;200),"High Risk",Raw_Data!S663&gt;=2,"Medium Risk",TRUE,"Low Risk")</f>
        <v>High Risk</v>
      </c>
      <c r="G663" s="1" t="str">
        <f>IF(OR(Raw_Data!D663="Yes",Raw_Data!E663="Yes"),"Has Plan","No Special Plan")</f>
        <v>No Special Plan</v>
      </c>
      <c r="H663" s="1" t="str">
        <f>IF(NOT(Raw_Data!S663&gt;=3),"Normal Service Contact","Frequent Service Contact")</f>
        <v>Normal Service Contact</v>
      </c>
      <c r="I663" s="1" t="str" cm="1">
        <f t="array" ref="I663">_xlfn.SWITCH(Raw_Data!D663,"Yes","International Customer","No","Domestic Plan","Unknown")</f>
        <v>Domestic Plan</v>
      </c>
      <c r="J663" s="1" t="str">
        <f>IF(ISERROR(Raw_Data!G663/0),"Error","Valid")</f>
        <v>Error</v>
      </c>
      <c r="K663" s="1" t="str">
        <f>IF(ISBLANK(Raw_Data!A663),"Missing","Available")</f>
        <v>Available</v>
      </c>
      <c r="L663" s="5" t="str">
        <f>IF(ISNUMBER(Raw_Data!G663),"Numeric","Not Numeric")</f>
        <v>Numeric</v>
      </c>
    </row>
    <row r="664" spans="1:12" x14ac:dyDescent="0.25">
      <c r="A664" s="4" t="str">
        <f>Raw_Data!A664</f>
        <v>WI</v>
      </c>
      <c r="B664" s="1" t="b">
        <f>Raw_Data!T664</f>
        <v>0</v>
      </c>
      <c r="C664" s="1" t="str">
        <f t="shared" si="10"/>
        <v>Retained</v>
      </c>
      <c r="D664" s="1" t="str">
        <f>IF(Raw_Data!S664=0,"Low Contact",IF(Raw_Data!S664&lt;=2,"Normal Contact","High Contact"))</f>
        <v>Normal Contact</v>
      </c>
      <c r="E664" s="1" t="str">
        <f>IF(AND(Raw_Data!G664&gt;200,Raw_Data!H664&gt;100),"High Usage","Normal Usage")</f>
        <v>Normal Usage</v>
      </c>
      <c r="F664" s="1" t="str" cm="1">
        <f t="array" ref="F664">_xlfn.IFS(B664=TRUE,"High Risk",AND(Raw_Data!S664&gt;=3,Raw_Data!G664&gt;200),"High Risk",Raw_Data!S664&gt;=2,"Medium Risk",TRUE,"Low Risk")</f>
        <v>Medium Risk</v>
      </c>
      <c r="G664" s="1" t="str">
        <f>IF(OR(Raw_Data!D664="Yes",Raw_Data!E664="Yes"),"Has Plan","No Special Plan")</f>
        <v>Has Plan</v>
      </c>
      <c r="H664" s="1" t="str">
        <f>IF(NOT(Raw_Data!S664&gt;=3),"Normal Service Contact","Frequent Service Contact")</f>
        <v>Normal Service Contact</v>
      </c>
      <c r="I664" s="1" t="str" cm="1">
        <f t="array" ref="I664">_xlfn.SWITCH(Raw_Data!D664,"Yes","International Customer","No","Domestic Plan","Unknown")</f>
        <v>Domestic Plan</v>
      </c>
      <c r="J664" s="1" t="str">
        <f>IF(ISERROR(Raw_Data!G664/0),"Error","Valid")</f>
        <v>Error</v>
      </c>
      <c r="K664" s="1" t="str">
        <f>IF(ISBLANK(Raw_Data!A664),"Missing","Available")</f>
        <v>Available</v>
      </c>
      <c r="L664" s="5" t="str">
        <f>IF(ISNUMBER(Raw_Data!G664),"Numeric","Not Numeric")</f>
        <v>Numeric</v>
      </c>
    </row>
    <row r="665" spans="1:12" x14ac:dyDescent="0.25">
      <c r="A665" s="4" t="str">
        <f>Raw_Data!A665</f>
        <v>AL</v>
      </c>
      <c r="B665" s="1" t="b">
        <f>Raw_Data!T665</f>
        <v>0</v>
      </c>
      <c r="C665" s="1" t="str">
        <f t="shared" si="10"/>
        <v>Retained</v>
      </c>
      <c r="D665" s="1" t="str">
        <f>IF(Raw_Data!S665=0,"Low Contact",IF(Raw_Data!S665&lt;=2,"Normal Contact","High Contact"))</f>
        <v>Normal Contact</v>
      </c>
      <c r="E665" s="1" t="str">
        <f>IF(AND(Raw_Data!G665&gt;200,Raw_Data!H665&gt;100),"High Usage","Normal Usage")</f>
        <v>Normal Usage</v>
      </c>
      <c r="F665" s="1" t="str" cm="1">
        <f t="array" ref="F665">_xlfn.IFS(B665=TRUE,"High Risk",AND(Raw_Data!S665&gt;=3,Raw_Data!G665&gt;200),"High Risk",Raw_Data!S665&gt;=2,"Medium Risk",TRUE,"Low Risk")</f>
        <v>Low Risk</v>
      </c>
      <c r="G665" s="1" t="str">
        <f>IF(OR(Raw_Data!D665="Yes",Raw_Data!E665="Yes"),"Has Plan","No Special Plan")</f>
        <v>Has Plan</v>
      </c>
      <c r="H665" s="1" t="str">
        <f>IF(NOT(Raw_Data!S665&gt;=3),"Normal Service Contact","Frequent Service Contact")</f>
        <v>Normal Service Contact</v>
      </c>
      <c r="I665" s="1" t="str" cm="1">
        <f t="array" ref="I665">_xlfn.SWITCH(Raw_Data!D665,"Yes","International Customer","No","Domestic Plan","Unknown")</f>
        <v>Domestic Plan</v>
      </c>
      <c r="J665" s="1" t="str">
        <f>IF(ISERROR(Raw_Data!G665/0),"Error","Valid")</f>
        <v>Error</v>
      </c>
      <c r="K665" s="1" t="str">
        <f>IF(ISBLANK(Raw_Data!A665),"Missing","Available")</f>
        <v>Available</v>
      </c>
      <c r="L665" s="5" t="str">
        <f>IF(ISNUMBER(Raw_Data!G665),"Numeric","Not Numeric")</f>
        <v>Numeric</v>
      </c>
    </row>
    <row r="666" spans="1:12" x14ac:dyDescent="0.25">
      <c r="A666" s="4" t="str">
        <f>Raw_Data!A666</f>
        <v>VT</v>
      </c>
      <c r="B666" s="1" t="b">
        <f>Raw_Data!T666</f>
        <v>0</v>
      </c>
      <c r="C666" s="1" t="str">
        <f t="shared" si="10"/>
        <v>Retained</v>
      </c>
      <c r="D666" s="1" t="str">
        <f>IF(Raw_Data!S666=0,"Low Contact",IF(Raw_Data!S666&lt;=2,"Normal Contact","High Contact"))</f>
        <v>High Contact</v>
      </c>
      <c r="E666" s="1" t="str">
        <f>IF(AND(Raw_Data!G666&gt;200,Raw_Data!H666&gt;100),"High Usage","Normal Usage")</f>
        <v>Normal Usage</v>
      </c>
      <c r="F666" s="1" t="str" cm="1">
        <f t="array" ref="F666">_xlfn.IFS(B666=TRUE,"High Risk",AND(Raw_Data!S666&gt;=3,Raw_Data!G666&gt;200),"High Risk",Raw_Data!S666&gt;=2,"Medium Risk",TRUE,"Low Risk")</f>
        <v>Medium Risk</v>
      </c>
      <c r="G666" s="1" t="str">
        <f>IF(OR(Raw_Data!D666="Yes",Raw_Data!E666="Yes"),"Has Plan","No Special Plan")</f>
        <v>No Special Plan</v>
      </c>
      <c r="H666" s="1" t="str">
        <f>IF(NOT(Raw_Data!S666&gt;=3),"Normal Service Contact","Frequent Service Contact")</f>
        <v>Frequent Service Contact</v>
      </c>
      <c r="I666" s="1" t="str" cm="1">
        <f t="array" ref="I666">_xlfn.SWITCH(Raw_Data!D666,"Yes","International Customer","No","Domestic Plan","Unknown")</f>
        <v>Domestic Plan</v>
      </c>
      <c r="J666" s="1" t="str">
        <f>IF(ISERROR(Raw_Data!G666/0),"Error","Valid")</f>
        <v>Error</v>
      </c>
      <c r="K666" s="1" t="str">
        <f>IF(ISBLANK(Raw_Data!A666),"Missing","Available")</f>
        <v>Available</v>
      </c>
      <c r="L666" s="5" t="str">
        <f>IF(ISNUMBER(Raw_Data!G666),"Numeric","Not Numeric")</f>
        <v>Numeric</v>
      </c>
    </row>
    <row r="667" spans="1:12" x14ac:dyDescent="0.25">
      <c r="A667" s="4" t="str">
        <f>Raw_Data!A667</f>
        <v>WV</v>
      </c>
      <c r="B667" s="1" t="b">
        <f>Raw_Data!T667</f>
        <v>0</v>
      </c>
      <c r="C667" s="1" t="str">
        <f t="shared" si="10"/>
        <v>Retained</v>
      </c>
      <c r="D667" s="1" t="str">
        <f>IF(Raw_Data!S667=0,"Low Contact",IF(Raw_Data!S667&lt;=2,"Normal Contact","High Contact"))</f>
        <v>Normal Contact</v>
      </c>
      <c r="E667" s="1" t="str">
        <f>IF(AND(Raw_Data!G667&gt;200,Raw_Data!H667&gt;100),"High Usage","Normal Usage")</f>
        <v>Normal Usage</v>
      </c>
      <c r="F667" s="1" t="str" cm="1">
        <f t="array" ref="F667">_xlfn.IFS(B667=TRUE,"High Risk",AND(Raw_Data!S667&gt;=3,Raw_Data!G667&gt;200),"High Risk",Raw_Data!S667&gt;=2,"Medium Risk",TRUE,"Low Risk")</f>
        <v>Low Risk</v>
      </c>
      <c r="G667" s="1" t="str">
        <f>IF(OR(Raw_Data!D667="Yes",Raw_Data!E667="Yes"),"Has Plan","No Special Plan")</f>
        <v>No Special Plan</v>
      </c>
      <c r="H667" s="1" t="str">
        <f>IF(NOT(Raw_Data!S667&gt;=3),"Normal Service Contact","Frequent Service Contact")</f>
        <v>Normal Service Contact</v>
      </c>
      <c r="I667" s="1" t="str" cm="1">
        <f t="array" ref="I667">_xlfn.SWITCH(Raw_Data!D667,"Yes","International Customer","No","Domestic Plan","Unknown")</f>
        <v>Domestic Plan</v>
      </c>
      <c r="J667" s="1" t="str">
        <f>IF(ISERROR(Raw_Data!G667/0),"Error","Valid")</f>
        <v>Error</v>
      </c>
      <c r="K667" s="1" t="str">
        <f>IF(ISBLANK(Raw_Data!A667),"Missing","Available")</f>
        <v>Available</v>
      </c>
      <c r="L667" s="5" t="str">
        <f>IF(ISNUMBER(Raw_Data!G667),"Numeric","Not Numeric")</f>
        <v>Numeric</v>
      </c>
    </row>
    <row r="668" spans="1:12" x14ac:dyDescent="0.25">
      <c r="A668" s="9" t="str">
        <f>Raw_Data!A668</f>
        <v>CT</v>
      </c>
      <c r="B668" s="10" t="b">
        <f>Raw_Data!T668</f>
        <v>0</v>
      </c>
      <c r="C668" s="10" t="str">
        <f t="shared" si="10"/>
        <v>Retained</v>
      </c>
      <c r="D668" s="10" t="str">
        <f>IF(Raw_Data!S668=0,"Low Contact",IF(Raw_Data!S668&lt;=2,"Normal Contact","High Contact"))</f>
        <v>Normal Contact</v>
      </c>
      <c r="E668" s="10" t="str">
        <f>IF(AND(Raw_Data!G668&gt;200,Raw_Data!H668&gt;100),"High Usage","Normal Usage")</f>
        <v>High Usage</v>
      </c>
      <c r="F668" s="10" t="str" cm="1">
        <f t="array" ref="F668">_xlfn.IFS(B668=TRUE,"High Risk",AND(Raw_Data!S668&gt;=3,Raw_Data!G668&gt;200),"High Risk",Raw_Data!S668&gt;=2,"Medium Risk",TRUE,"Low Risk")</f>
        <v>Medium Risk</v>
      </c>
      <c r="G668" s="10" t="str">
        <f>IF(OR(Raw_Data!D668="Yes",Raw_Data!E668="Yes"),"Has Plan","No Special Plan")</f>
        <v>Has Plan</v>
      </c>
      <c r="H668" s="10" t="str">
        <f>IF(NOT(Raw_Data!S668&gt;=3),"Normal Service Contact","Frequent Service Contact")</f>
        <v>Normal Service Contact</v>
      </c>
      <c r="I668" s="10" t="str" cm="1">
        <f t="array" ref="I668">_xlfn.SWITCH(Raw_Data!D668,"Yes","International Customer","No","Domestic Plan","Unknown")</f>
        <v>International Customer</v>
      </c>
      <c r="J668" s="10" t="str">
        <f>IF(ISERROR(Raw_Data!G668/0),"Error","Valid")</f>
        <v>Error</v>
      </c>
      <c r="K668" s="10" t="str">
        <f>IF(ISBLANK(Raw_Data!A668),"Missing","Available")</f>
        <v>Available</v>
      </c>
      <c r="L668" s="11" t="str">
        <f>IF(ISNUMBER(Raw_Data!G668),"Numeric","Not Numeric")</f>
        <v>Numeric</v>
      </c>
    </row>
    <row r="669" spans="1:12" x14ac:dyDescent="0.25">
      <c r="A669" s="9" t="s">
        <v>120</v>
      </c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1">
        <f>SUBTOTAL(103,Table3[ISNUMBER])</f>
        <v>667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7891-9501-4F27-9558-2F70471A4BAF}">
  <dimension ref="A1:R11"/>
  <sheetViews>
    <sheetView workbookViewId="0">
      <selection activeCell="E10" sqref="E10"/>
    </sheetView>
  </sheetViews>
  <sheetFormatPr defaultRowHeight="15" x14ac:dyDescent="0.25"/>
  <cols>
    <col min="1" max="1" width="10.140625" bestFit="1" customWidth="1"/>
    <col min="4" max="4" width="19.42578125" bestFit="1" customWidth="1"/>
    <col min="5" max="5" width="16.28515625" bestFit="1" customWidth="1"/>
  </cols>
  <sheetData>
    <row r="1" spans="1:18" x14ac:dyDescent="0.25">
      <c r="A1" s="1" t="s">
        <v>84</v>
      </c>
      <c r="B1" s="1" t="s">
        <v>85</v>
      </c>
      <c r="D1" s="1" t="s">
        <v>84</v>
      </c>
      <c r="E1" s="1" t="s">
        <v>89</v>
      </c>
      <c r="F1" s="1"/>
      <c r="G1" s="1" t="s">
        <v>84</v>
      </c>
      <c r="H1" s="1" t="s">
        <v>90</v>
      </c>
      <c r="I1" s="1"/>
      <c r="J1" s="1" t="s">
        <v>84</v>
      </c>
      <c r="K1" s="1" t="s">
        <v>91</v>
      </c>
      <c r="L1" s="1"/>
      <c r="M1">
        <v>408</v>
      </c>
      <c r="N1">
        <v>415</v>
      </c>
      <c r="O1">
        <v>510</v>
      </c>
      <c r="Q1" t="s">
        <v>84</v>
      </c>
      <c r="R1" t="s">
        <v>92</v>
      </c>
    </row>
    <row r="2" spans="1:18" x14ac:dyDescent="0.25">
      <c r="A2" s="1">
        <v>408</v>
      </c>
      <c r="B2" s="1" t="s">
        <v>86</v>
      </c>
      <c r="D2" s="1">
        <v>408</v>
      </c>
      <c r="E2" s="1" t="str">
        <f>VLOOKUP(D2,$A$2:$B$4,2,FALSE)</f>
        <v>Area 408</v>
      </c>
      <c r="F2" s="1"/>
      <c r="G2" s="1">
        <v>415</v>
      </c>
      <c r="H2" s="1" t="str">
        <f>_xlfn.XLOOKUP(G2,$A$2:$A$4,$B$2:$B$4,"Not Found")</f>
        <v>Area 415</v>
      </c>
      <c r="I2" s="1"/>
      <c r="J2" s="1">
        <v>510</v>
      </c>
      <c r="K2" s="1" t="str">
        <f>INDEX($B$2:$B$4,MATCH(J2,$A$2:$A$4,0))</f>
        <v>Area 510</v>
      </c>
      <c r="L2" s="1"/>
      <c r="M2" t="s">
        <v>86</v>
      </c>
      <c r="N2" t="s">
        <v>87</v>
      </c>
      <c r="O2" t="s">
        <v>88</v>
      </c>
      <c r="Q2">
        <v>415</v>
      </c>
      <c r="R2" t="str">
        <f>HLOOKUP(Q2,$M$1:$O$2,2,FALSE)</f>
        <v>Area 415</v>
      </c>
    </row>
    <row r="3" spans="1:18" x14ac:dyDescent="0.25">
      <c r="A3" s="1">
        <v>415</v>
      </c>
      <c r="B3" s="1" t="s">
        <v>87</v>
      </c>
    </row>
    <row r="4" spans="1:18" x14ac:dyDescent="0.25">
      <c r="A4" s="1">
        <v>510</v>
      </c>
      <c r="B4" s="1" t="s">
        <v>88</v>
      </c>
    </row>
    <row r="5" spans="1:18" x14ac:dyDescent="0.25">
      <c r="D5" s="1" t="s">
        <v>93</v>
      </c>
      <c r="E5" s="1" t="s">
        <v>74</v>
      </c>
    </row>
    <row r="6" spans="1:18" x14ac:dyDescent="0.25">
      <c r="D6" s="1">
        <v>10</v>
      </c>
      <c r="E6" s="1" t="b" cm="1">
        <f t="array" ref="E6">_xlfn.XLOOKUP(D6,ROW(Raw_Data!T2:T668),Raw_Data!T2:T668)</f>
        <v>0</v>
      </c>
    </row>
    <row r="9" spans="1:18" x14ac:dyDescent="0.25">
      <c r="D9" s="1" t="s">
        <v>74</v>
      </c>
      <c r="E9" s="1" t="b">
        <f>INDEX(Raw_Data!T2:T668,MATCH(MAX(Raw_Data!G2:G668),Raw_Data!G2:G668,0))</f>
        <v>1</v>
      </c>
    </row>
    <row r="10" spans="1:18" x14ac:dyDescent="0.25">
      <c r="D10" s="1" t="s">
        <v>94</v>
      </c>
      <c r="E10" s="1" cm="1">
        <f t="array" aca="1" ref="E10" ca="1">INDIRECT("Raw_Data!G"&amp;ROW())</f>
        <v>186.1</v>
      </c>
    </row>
    <row r="11" spans="1:18" x14ac:dyDescent="0.25">
      <c r="D11" s="1" t="s">
        <v>95</v>
      </c>
      <c r="E11" s="1">
        <f ca="1">OFFSET(Raw_Data!G2,0,2)</f>
        <v>31.37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961E-5101-4C58-97F3-365C606F7FB2}">
  <dimension ref="A1:I54"/>
  <sheetViews>
    <sheetView workbookViewId="0">
      <selection activeCell="I3" sqref="I3"/>
    </sheetView>
  </sheetViews>
  <sheetFormatPr defaultRowHeight="15" x14ac:dyDescent="0.25"/>
  <sheetData>
    <row r="1" spans="1:9" x14ac:dyDescent="0.25">
      <c r="A1" t="s">
        <v>96</v>
      </c>
    </row>
    <row r="3" spans="1:9" x14ac:dyDescent="0.25">
      <c r="A3" t="s">
        <v>97</v>
      </c>
      <c r="C3" t="s">
        <v>98</v>
      </c>
      <c r="E3" t="s">
        <v>76</v>
      </c>
      <c r="G3" t="s">
        <v>99</v>
      </c>
      <c r="I3" t="s">
        <v>100</v>
      </c>
    </row>
    <row r="4" spans="1:9" x14ac:dyDescent="0.25">
      <c r="A4" t="str" cm="1">
        <f t="array" ref="A4:A54">_xlfn.UNIQUE(Raw_Data!A2:A668)</f>
        <v>LA</v>
      </c>
      <c r="C4" t="str" cm="1">
        <f t="array" ref="C4:C5">_xlfn.UNIQUE(Raw_Data!D2:D668)</f>
        <v>No</v>
      </c>
    </row>
    <row r="5" spans="1:9" x14ac:dyDescent="0.25">
      <c r="A5" t="str">
        <v>IN</v>
      </c>
      <c r="C5" t="str">
        <v>Yes</v>
      </c>
    </row>
    <row r="6" spans="1:9" x14ac:dyDescent="0.25">
      <c r="A6" t="str">
        <v>NY</v>
      </c>
    </row>
    <row r="7" spans="1:9" x14ac:dyDescent="0.25">
      <c r="A7" t="str">
        <v>SC</v>
      </c>
    </row>
    <row r="8" spans="1:9" x14ac:dyDescent="0.25">
      <c r="A8" t="str">
        <v>HI</v>
      </c>
    </row>
    <row r="9" spans="1:9" x14ac:dyDescent="0.25">
      <c r="A9" t="str">
        <v>AK</v>
      </c>
    </row>
    <row r="10" spans="1:9" x14ac:dyDescent="0.25">
      <c r="A10" t="str">
        <v>MI</v>
      </c>
    </row>
    <row r="11" spans="1:9" x14ac:dyDescent="0.25">
      <c r="A11" t="str">
        <v>ID</v>
      </c>
    </row>
    <row r="12" spans="1:9" x14ac:dyDescent="0.25">
      <c r="A12" t="str">
        <v>VA</v>
      </c>
    </row>
    <row r="13" spans="1:9" x14ac:dyDescent="0.25">
      <c r="A13" t="str">
        <v>WI</v>
      </c>
    </row>
    <row r="14" spans="1:9" x14ac:dyDescent="0.25">
      <c r="A14" t="str">
        <v>MN</v>
      </c>
    </row>
    <row r="15" spans="1:9" x14ac:dyDescent="0.25">
      <c r="A15" t="str">
        <v>VT</v>
      </c>
    </row>
    <row r="16" spans="1:9" x14ac:dyDescent="0.25">
      <c r="A16" t="str">
        <v>MT</v>
      </c>
    </row>
    <row r="17" spans="1:1" x14ac:dyDescent="0.25">
      <c r="A17" t="str">
        <v>MA</v>
      </c>
    </row>
    <row r="18" spans="1:1" x14ac:dyDescent="0.25">
      <c r="A18" t="str">
        <v>KY</v>
      </c>
    </row>
    <row r="19" spans="1:1" x14ac:dyDescent="0.25">
      <c r="A19" t="str">
        <v>CO</v>
      </c>
    </row>
    <row r="20" spans="1:1" x14ac:dyDescent="0.25">
      <c r="A20" t="str">
        <v>AZ</v>
      </c>
    </row>
    <row r="21" spans="1:1" x14ac:dyDescent="0.25">
      <c r="A21" t="str">
        <v>CA</v>
      </c>
    </row>
    <row r="22" spans="1:1" x14ac:dyDescent="0.25">
      <c r="A22" t="str">
        <v>WA</v>
      </c>
    </row>
    <row r="23" spans="1:1" x14ac:dyDescent="0.25">
      <c r="A23" t="str">
        <v>NE</v>
      </c>
    </row>
    <row r="24" spans="1:1" x14ac:dyDescent="0.25">
      <c r="A24" t="str">
        <v>OH</v>
      </c>
    </row>
    <row r="25" spans="1:1" x14ac:dyDescent="0.25">
      <c r="A25" t="str">
        <v>MO</v>
      </c>
    </row>
    <row r="26" spans="1:1" x14ac:dyDescent="0.25">
      <c r="A26" t="str">
        <v>AL</v>
      </c>
    </row>
    <row r="27" spans="1:1" x14ac:dyDescent="0.25">
      <c r="A27" t="str">
        <v>NH</v>
      </c>
    </row>
    <row r="28" spans="1:1" x14ac:dyDescent="0.25">
      <c r="A28" t="str">
        <v>NM</v>
      </c>
    </row>
    <row r="29" spans="1:1" x14ac:dyDescent="0.25">
      <c r="A29" t="str">
        <v>OR</v>
      </c>
    </row>
    <row r="30" spans="1:1" x14ac:dyDescent="0.25">
      <c r="A30" t="str">
        <v>TX</v>
      </c>
    </row>
    <row r="31" spans="1:1" x14ac:dyDescent="0.25">
      <c r="A31" t="str">
        <v>MS</v>
      </c>
    </row>
    <row r="32" spans="1:1" x14ac:dyDescent="0.25">
      <c r="A32" t="str">
        <v>WY</v>
      </c>
    </row>
    <row r="33" spans="1:1" x14ac:dyDescent="0.25">
      <c r="A33" t="str">
        <v>FL</v>
      </c>
    </row>
    <row r="34" spans="1:1" x14ac:dyDescent="0.25">
      <c r="A34" t="str">
        <v>KS</v>
      </c>
    </row>
    <row r="35" spans="1:1" x14ac:dyDescent="0.25">
      <c r="A35" t="str">
        <v>NC</v>
      </c>
    </row>
    <row r="36" spans="1:1" x14ac:dyDescent="0.25">
      <c r="A36" t="str">
        <v>SD</v>
      </c>
    </row>
    <row r="37" spans="1:1" x14ac:dyDescent="0.25">
      <c r="A37" t="str">
        <v>OK</v>
      </c>
    </row>
    <row r="38" spans="1:1" x14ac:dyDescent="0.25">
      <c r="A38" t="str">
        <v>CT</v>
      </c>
    </row>
    <row r="39" spans="1:1" x14ac:dyDescent="0.25">
      <c r="A39" t="str">
        <v>RI</v>
      </c>
    </row>
    <row r="40" spans="1:1" x14ac:dyDescent="0.25">
      <c r="A40" t="str">
        <v>DE</v>
      </c>
    </row>
    <row r="41" spans="1:1" x14ac:dyDescent="0.25">
      <c r="A41" t="str">
        <v>UT</v>
      </c>
    </row>
    <row r="42" spans="1:1" x14ac:dyDescent="0.25">
      <c r="A42" t="str">
        <v>NV</v>
      </c>
    </row>
    <row r="43" spans="1:1" x14ac:dyDescent="0.25">
      <c r="A43" t="str">
        <v>DC</v>
      </c>
    </row>
    <row r="44" spans="1:1" x14ac:dyDescent="0.25">
      <c r="A44" t="str">
        <v>ME</v>
      </c>
    </row>
    <row r="45" spans="1:1" x14ac:dyDescent="0.25">
      <c r="A45" t="str">
        <v>IL</v>
      </c>
    </row>
    <row r="46" spans="1:1" x14ac:dyDescent="0.25">
      <c r="A46" t="str">
        <v>NJ</v>
      </c>
    </row>
    <row r="47" spans="1:1" x14ac:dyDescent="0.25">
      <c r="A47" t="str">
        <v>MD</v>
      </c>
    </row>
    <row r="48" spans="1:1" x14ac:dyDescent="0.25">
      <c r="A48" t="str">
        <v>WV</v>
      </c>
    </row>
    <row r="49" spans="1:1" x14ac:dyDescent="0.25">
      <c r="A49" t="str">
        <v>PA</v>
      </c>
    </row>
    <row r="50" spans="1:1" x14ac:dyDescent="0.25">
      <c r="A50" t="str">
        <v>ND</v>
      </c>
    </row>
    <row r="51" spans="1:1" x14ac:dyDescent="0.25">
      <c r="A51" t="str">
        <v>AR</v>
      </c>
    </row>
    <row r="52" spans="1:1" x14ac:dyDescent="0.25">
      <c r="A52" t="str">
        <v>TN</v>
      </c>
    </row>
    <row r="53" spans="1:1" x14ac:dyDescent="0.25">
      <c r="A53" t="str">
        <v>IA</v>
      </c>
    </row>
    <row r="54" spans="1:1" x14ac:dyDescent="0.25">
      <c r="A54" t="str">
        <v>GA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90CB-6A5F-4045-AB50-E4F78F2EA29D}">
  <dimension ref="A1:G668"/>
  <sheetViews>
    <sheetView workbookViewId="0">
      <selection activeCell="F9" sqref="F9"/>
    </sheetView>
  </sheetViews>
  <sheetFormatPr defaultRowHeight="15" x14ac:dyDescent="0.25"/>
  <cols>
    <col min="4" max="4" width="13.140625" bestFit="1" customWidth="1"/>
    <col min="7" max="7" width="15.28515625" bestFit="1" customWidth="1"/>
  </cols>
  <sheetData>
    <row r="1" spans="1:7" x14ac:dyDescent="0.25">
      <c r="A1" s="2" t="s">
        <v>107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</row>
    <row r="2" spans="1:7" x14ac:dyDescent="0.25">
      <c r="A2" s="1" t="str" cm="1">
        <f t="array" ref="A2:A668">(Raw_Data!A2:A668)</f>
        <v>LA</v>
      </c>
      <c r="B2" s="1" t="str">
        <f>TRIM(A2)</f>
        <v>LA</v>
      </c>
      <c r="C2" s="1" t="str">
        <f>CLEAN(A2)</f>
        <v>LA</v>
      </c>
      <c r="D2" s="1" t="str">
        <f>TRIM(CLEAN(A2))</f>
        <v>LA</v>
      </c>
      <c r="E2" s="1" t="str">
        <f>SUBSTITUTE(D2," ","")</f>
        <v>LA</v>
      </c>
      <c r="F2" s="1" t="str">
        <f>IF(ISBLANK(A2),"Missing","Complete")</f>
        <v>Complete</v>
      </c>
      <c r="G2" s="1" t="str">
        <f>IF(COUNTIF($A$2:A2,A2)&gt;1,"Duplicate","Unique")</f>
        <v>Unique</v>
      </c>
    </row>
    <row r="3" spans="1:7" x14ac:dyDescent="0.25">
      <c r="A3" s="1" t="str">
        <v>IN</v>
      </c>
      <c r="B3" s="1" t="str">
        <f t="shared" ref="B3:B66" si="0">TRIM(A3)</f>
        <v>IN</v>
      </c>
      <c r="C3" s="1" t="str">
        <f t="shared" ref="C3:C66" si="1">CLEAN(A3)</f>
        <v>IN</v>
      </c>
      <c r="D3" s="1" t="str">
        <f t="shared" ref="D3:D66" si="2">TRIM(CLEAN(A3))</f>
        <v>IN</v>
      </c>
      <c r="E3" s="1" t="str">
        <f t="shared" ref="E3:E66" si="3">SUBSTITUTE(D3," ","")</f>
        <v>IN</v>
      </c>
      <c r="F3" s="1" t="str">
        <f t="shared" ref="F3:F66" si="4">IF(ISBLANK(A3),"Missing","Complete")</f>
        <v>Complete</v>
      </c>
      <c r="G3" s="1" t="str">
        <f>IF(COUNTIF($A$2:A3,A3)&gt;1,"Duplicate","Unique")</f>
        <v>Unique</v>
      </c>
    </row>
    <row r="4" spans="1:7" x14ac:dyDescent="0.25">
      <c r="A4" s="1" t="str">
        <v>NY</v>
      </c>
      <c r="B4" s="1" t="str">
        <f t="shared" si="0"/>
        <v>NY</v>
      </c>
      <c r="C4" s="1" t="str">
        <f t="shared" si="1"/>
        <v>NY</v>
      </c>
      <c r="D4" s="1" t="str">
        <f t="shared" si="2"/>
        <v>NY</v>
      </c>
      <c r="E4" s="1" t="str">
        <f t="shared" si="3"/>
        <v>NY</v>
      </c>
      <c r="F4" s="1" t="str">
        <f t="shared" si="4"/>
        <v>Complete</v>
      </c>
      <c r="G4" s="1" t="str">
        <f>IF(COUNTIF($A$2:A4,A4)&gt;1,"Duplicate","Unique")</f>
        <v>Unique</v>
      </c>
    </row>
    <row r="5" spans="1:7" x14ac:dyDescent="0.25">
      <c r="A5" s="1" t="str">
        <v>SC</v>
      </c>
      <c r="B5" s="1" t="str">
        <f t="shared" si="0"/>
        <v>SC</v>
      </c>
      <c r="C5" s="1" t="str">
        <f t="shared" si="1"/>
        <v>SC</v>
      </c>
      <c r="D5" s="1" t="str">
        <f t="shared" si="2"/>
        <v>SC</v>
      </c>
      <c r="E5" s="1" t="str">
        <f t="shared" si="3"/>
        <v>SC</v>
      </c>
      <c r="F5" s="1" t="str">
        <f t="shared" si="4"/>
        <v>Complete</v>
      </c>
      <c r="G5" s="1" t="str">
        <f>IF(COUNTIF($A$2:A5,A5)&gt;1,"Duplicate","Unique")</f>
        <v>Unique</v>
      </c>
    </row>
    <row r="6" spans="1:7" x14ac:dyDescent="0.25">
      <c r="A6" s="1" t="str">
        <v>HI</v>
      </c>
      <c r="B6" s="1" t="str">
        <f t="shared" si="0"/>
        <v>HI</v>
      </c>
      <c r="C6" s="1" t="str">
        <f t="shared" si="1"/>
        <v>HI</v>
      </c>
      <c r="D6" s="1" t="str">
        <f t="shared" si="2"/>
        <v>HI</v>
      </c>
      <c r="E6" s="1" t="str">
        <f t="shared" si="3"/>
        <v>HI</v>
      </c>
      <c r="F6" s="1" t="str">
        <f t="shared" si="4"/>
        <v>Complete</v>
      </c>
      <c r="G6" s="1" t="str">
        <f>IF(COUNTIF($A$2:A6,A6)&gt;1,"Duplicate","Unique")</f>
        <v>Unique</v>
      </c>
    </row>
    <row r="7" spans="1:7" x14ac:dyDescent="0.25">
      <c r="A7" s="1" t="str">
        <v>AK</v>
      </c>
      <c r="B7" s="1" t="str">
        <f t="shared" si="0"/>
        <v>AK</v>
      </c>
      <c r="C7" s="1" t="str">
        <f t="shared" si="1"/>
        <v>AK</v>
      </c>
      <c r="D7" s="1" t="str">
        <f t="shared" si="2"/>
        <v>AK</v>
      </c>
      <c r="E7" s="1" t="str">
        <f t="shared" si="3"/>
        <v>AK</v>
      </c>
      <c r="F7" s="1" t="str">
        <f t="shared" si="4"/>
        <v>Complete</v>
      </c>
      <c r="G7" s="1" t="str">
        <f>IF(COUNTIF($A$2:A7,A7)&gt;1,"Duplicate","Unique")</f>
        <v>Unique</v>
      </c>
    </row>
    <row r="8" spans="1:7" x14ac:dyDescent="0.25">
      <c r="A8" s="1" t="str">
        <v>MI</v>
      </c>
      <c r="B8" s="1" t="str">
        <f t="shared" si="0"/>
        <v>MI</v>
      </c>
      <c r="C8" s="1" t="str">
        <f t="shared" si="1"/>
        <v>MI</v>
      </c>
      <c r="D8" s="1" t="str">
        <f t="shared" si="2"/>
        <v>MI</v>
      </c>
      <c r="E8" s="1" t="str">
        <f t="shared" si="3"/>
        <v>MI</v>
      </c>
      <c r="F8" s="1" t="str">
        <f t="shared" si="4"/>
        <v>Complete</v>
      </c>
      <c r="G8" s="1" t="str">
        <f>IF(COUNTIF($A$2:A8,A8)&gt;1,"Duplicate","Unique")</f>
        <v>Unique</v>
      </c>
    </row>
    <row r="9" spans="1:7" x14ac:dyDescent="0.25">
      <c r="A9" s="1" t="str">
        <v>ID</v>
      </c>
      <c r="B9" s="1" t="str">
        <f t="shared" si="0"/>
        <v>ID</v>
      </c>
      <c r="C9" s="1" t="str">
        <f t="shared" si="1"/>
        <v>ID</v>
      </c>
      <c r="D9" s="1" t="str">
        <f t="shared" si="2"/>
        <v>ID</v>
      </c>
      <c r="E9" s="1" t="str">
        <f t="shared" si="3"/>
        <v>ID</v>
      </c>
      <c r="F9" s="1" t="str">
        <f t="shared" si="4"/>
        <v>Complete</v>
      </c>
      <c r="G9" s="1" t="str">
        <f>IF(COUNTIF($A$2:A9,A9)&gt;1,"Duplicate","Unique")</f>
        <v>Unique</v>
      </c>
    </row>
    <row r="10" spans="1:7" x14ac:dyDescent="0.25">
      <c r="A10" s="1" t="str">
        <v>VA</v>
      </c>
      <c r="B10" s="1" t="str">
        <f t="shared" si="0"/>
        <v>VA</v>
      </c>
      <c r="C10" s="1" t="str">
        <f t="shared" si="1"/>
        <v>VA</v>
      </c>
      <c r="D10" s="1" t="str">
        <f t="shared" si="2"/>
        <v>VA</v>
      </c>
      <c r="E10" s="1" t="str">
        <f t="shared" si="3"/>
        <v>VA</v>
      </c>
      <c r="F10" s="1" t="str">
        <f t="shared" si="4"/>
        <v>Complete</v>
      </c>
      <c r="G10" s="1" t="str">
        <f>IF(COUNTIF($A$2:A10,A10)&gt;1,"Duplicate","Unique")</f>
        <v>Unique</v>
      </c>
    </row>
    <row r="11" spans="1:7" x14ac:dyDescent="0.25">
      <c r="A11" s="1" t="str">
        <v>WI</v>
      </c>
      <c r="B11" s="1" t="str">
        <f t="shared" si="0"/>
        <v>WI</v>
      </c>
      <c r="C11" s="1" t="str">
        <f t="shared" si="1"/>
        <v>WI</v>
      </c>
      <c r="D11" s="1" t="str">
        <f t="shared" si="2"/>
        <v>WI</v>
      </c>
      <c r="E11" s="1" t="str">
        <f t="shared" si="3"/>
        <v>WI</v>
      </c>
      <c r="F11" s="1" t="str">
        <f t="shared" si="4"/>
        <v>Complete</v>
      </c>
      <c r="G11" s="1" t="str">
        <f>IF(COUNTIF($A$2:A11,A11)&gt;1,"Duplicate","Unique")</f>
        <v>Unique</v>
      </c>
    </row>
    <row r="12" spans="1:7" x14ac:dyDescent="0.25">
      <c r="A12" s="1" t="str">
        <v>MN</v>
      </c>
      <c r="B12" s="1" t="str">
        <f t="shared" si="0"/>
        <v>MN</v>
      </c>
      <c r="C12" s="1" t="str">
        <f t="shared" si="1"/>
        <v>MN</v>
      </c>
      <c r="D12" s="1" t="str">
        <f t="shared" si="2"/>
        <v>MN</v>
      </c>
      <c r="E12" s="1" t="str">
        <f t="shared" si="3"/>
        <v>MN</v>
      </c>
      <c r="F12" s="1" t="str">
        <f t="shared" si="4"/>
        <v>Complete</v>
      </c>
      <c r="G12" s="1" t="str">
        <f>IF(COUNTIF($A$2:A12,A12)&gt;1,"Duplicate","Unique")</f>
        <v>Unique</v>
      </c>
    </row>
    <row r="13" spans="1:7" x14ac:dyDescent="0.25">
      <c r="A13" s="1" t="str">
        <v>HI</v>
      </c>
      <c r="B13" s="1" t="str">
        <f t="shared" si="0"/>
        <v>HI</v>
      </c>
      <c r="C13" s="1" t="str">
        <f t="shared" si="1"/>
        <v>HI</v>
      </c>
      <c r="D13" s="1" t="str">
        <f t="shared" si="2"/>
        <v>HI</v>
      </c>
      <c r="E13" s="1" t="str">
        <f t="shared" si="3"/>
        <v>HI</v>
      </c>
      <c r="F13" s="1" t="str">
        <f t="shared" si="4"/>
        <v>Complete</v>
      </c>
      <c r="G13" s="1" t="str">
        <f>IF(COUNTIF($A$2:A13,A13)&gt;1,"Duplicate","Unique")</f>
        <v>Duplicate</v>
      </c>
    </row>
    <row r="14" spans="1:7" x14ac:dyDescent="0.25">
      <c r="A14" s="1" t="str">
        <v>MN</v>
      </c>
      <c r="B14" s="1" t="str">
        <f t="shared" si="0"/>
        <v>MN</v>
      </c>
      <c r="C14" s="1" t="str">
        <f t="shared" si="1"/>
        <v>MN</v>
      </c>
      <c r="D14" s="1" t="str">
        <f t="shared" si="2"/>
        <v>MN</v>
      </c>
      <c r="E14" s="1" t="str">
        <f t="shared" si="3"/>
        <v>MN</v>
      </c>
      <c r="F14" s="1" t="str">
        <f t="shared" si="4"/>
        <v>Complete</v>
      </c>
      <c r="G14" s="1" t="str">
        <f>IF(COUNTIF($A$2:A14,A14)&gt;1,"Duplicate","Unique")</f>
        <v>Duplicate</v>
      </c>
    </row>
    <row r="15" spans="1:7" x14ac:dyDescent="0.25">
      <c r="A15" s="1" t="str">
        <v>VT</v>
      </c>
      <c r="B15" s="1" t="str">
        <f t="shared" si="0"/>
        <v>VT</v>
      </c>
      <c r="C15" s="1" t="str">
        <f t="shared" si="1"/>
        <v>VT</v>
      </c>
      <c r="D15" s="1" t="str">
        <f t="shared" si="2"/>
        <v>VT</v>
      </c>
      <c r="E15" s="1" t="str">
        <f t="shared" si="3"/>
        <v>VT</v>
      </c>
      <c r="F15" s="1" t="str">
        <f t="shared" si="4"/>
        <v>Complete</v>
      </c>
      <c r="G15" s="1" t="str">
        <f>IF(COUNTIF($A$2:A15,A15)&gt;1,"Duplicate","Unique")</f>
        <v>Unique</v>
      </c>
    </row>
    <row r="16" spans="1:7" x14ac:dyDescent="0.25">
      <c r="A16" s="1" t="str">
        <v>LA</v>
      </c>
      <c r="B16" s="1" t="str">
        <f t="shared" si="0"/>
        <v>LA</v>
      </c>
      <c r="C16" s="1" t="str">
        <f t="shared" si="1"/>
        <v>LA</v>
      </c>
      <c r="D16" s="1" t="str">
        <f t="shared" si="2"/>
        <v>LA</v>
      </c>
      <c r="E16" s="1" t="str">
        <f t="shared" si="3"/>
        <v>LA</v>
      </c>
      <c r="F16" s="1" t="str">
        <f t="shared" si="4"/>
        <v>Complete</v>
      </c>
      <c r="G16" s="1" t="str">
        <f>IF(COUNTIF($A$2:A16,A16)&gt;1,"Duplicate","Unique")</f>
        <v>Duplicate</v>
      </c>
    </row>
    <row r="17" spans="1:7" x14ac:dyDescent="0.25">
      <c r="A17" s="1" t="str">
        <v>MT</v>
      </c>
      <c r="B17" s="1" t="str">
        <f t="shared" si="0"/>
        <v>MT</v>
      </c>
      <c r="C17" s="1" t="str">
        <f t="shared" si="1"/>
        <v>MT</v>
      </c>
      <c r="D17" s="1" t="str">
        <f t="shared" si="2"/>
        <v>MT</v>
      </c>
      <c r="E17" s="1" t="str">
        <f t="shared" si="3"/>
        <v>MT</v>
      </c>
      <c r="F17" s="1" t="str">
        <f t="shared" si="4"/>
        <v>Complete</v>
      </c>
      <c r="G17" s="1" t="str">
        <f>IF(COUNTIF($A$2:A17,A17)&gt;1,"Duplicate","Unique")</f>
        <v>Unique</v>
      </c>
    </row>
    <row r="18" spans="1:7" x14ac:dyDescent="0.25">
      <c r="A18" s="1" t="str">
        <v>ID</v>
      </c>
      <c r="B18" s="1" t="str">
        <f t="shared" si="0"/>
        <v>ID</v>
      </c>
      <c r="C18" s="1" t="str">
        <f t="shared" si="1"/>
        <v>ID</v>
      </c>
      <c r="D18" s="1" t="str">
        <f t="shared" si="2"/>
        <v>ID</v>
      </c>
      <c r="E18" s="1" t="str">
        <f t="shared" si="3"/>
        <v>ID</v>
      </c>
      <c r="F18" s="1" t="str">
        <f t="shared" si="4"/>
        <v>Complete</v>
      </c>
      <c r="G18" s="1" t="str">
        <f>IF(COUNTIF($A$2:A18,A18)&gt;1,"Duplicate","Unique")</f>
        <v>Duplicate</v>
      </c>
    </row>
    <row r="19" spans="1:7" x14ac:dyDescent="0.25">
      <c r="A19" s="1" t="str">
        <v>MA</v>
      </c>
      <c r="B19" s="1" t="str">
        <f t="shared" si="0"/>
        <v>MA</v>
      </c>
      <c r="C19" s="1" t="str">
        <f t="shared" si="1"/>
        <v>MA</v>
      </c>
      <c r="D19" s="1" t="str">
        <f t="shared" si="2"/>
        <v>MA</v>
      </c>
      <c r="E19" s="1" t="str">
        <f t="shared" si="3"/>
        <v>MA</v>
      </c>
      <c r="F19" s="1" t="str">
        <f t="shared" si="4"/>
        <v>Complete</v>
      </c>
      <c r="G19" s="1" t="str">
        <f>IF(COUNTIF($A$2:A19,A19)&gt;1,"Duplicate","Unique")</f>
        <v>Unique</v>
      </c>
    </row>
    <row r="20" spans="1:7" x14ac:dyDescent="0.25">
      <c r="A20" s="1" t="str">
        <v>KY</v>
      </c>
      <c r="B20" s="1" t="str">
        <f t="shared" si="0"/>
        <v>KY</v>
      </c>
      <c r="C20" s="1" t="str">
        <f t="shared" si="1"/>
        <v>KY</v>
      </c>
      <c r="D20" s="1" t="str">
        <f t="shared" si="2"/>
        <v>KY</v>
      </c>
      <c r="E20" s="1" t="str">
        <f t="shared" si="3"/>
        <v>KY</v>
      </c>
      <c r="F20" s="1" t="str">
        <f t="shared" si="4"/>
        <v>Complete</v>
      </c>
      <c r="G20" s="1" t="str">
        <f>IF(COUNTIF($A$2:A20,A20)&gt;1,"Duplicate","Unique")</f>
        <v>Unique</v>
      </c>
    </row>
    <row r="21" spans="1:7" x14ac:dyDescent="0.25">
      <c r="A21" s="1" t="str">
        <v>MI</v>
      </c>
      <c r="B21" s="1" t="str">
        <f t="shared" si="0"/>
        <v>MI</v>
      </c>
      <c r="C21" s="1" t="str">
        <f t="shared" si="1"/>
        <v>MI</v>
      </c>
      <c r="D21" s="1" t="str">
        <f t="shared" si="2"/>
        <v>MI</v>
      </c>
      <c r="E21" s="1" t="str">
        <f t="shared" si="3"/>
        <v>MI</v>
      </c>
      <c r="F21" s="1" t="str">
        <f t="shared" si="4"/>
        <v>Complete</v>
      </c>
      <c r="G21" s="1" t="str">
        <f>IF(COUNTIF($A$2:A21,A21)&gt;1,"Duplicate","Unique")</f>
        <v>Duplicate</v>
      </c>
    </row>
    <row r="22" spans="1:7" x14ac:dyDescent="0.25">
      <c r="A22" s="1" t="str">
        <v>CO</v>
      </c>
      <c r="B22" s="1" t="str">
        <f t="shared" si="0"/>
        <v>CO</v>
      </c>
      <c r="C22" s="1" t="str">
        <f t="shared" si="1"/>
        <v>CO</v>
      </c>
      <c r="D22" s="1" t="str">
        <f t="shared" si="2"/>
        <v>CO</v>
      </c>
      <c r="E22" s="1" t="str">
        <f t="shared" si="3"/>
        <v>CO</v>
      </c>
      <c r="F22" s="1" t="str">
        <f t="shared" si="4"/>
        <v>Complete</v>
      </c>
      <c r="G22" s="1" t="str">
        <f>IF(COUNTIF($A$2:A22,A22)&gt;1,"Duplicate","Unique")</f>
        <v>Unique</v>
      </c>
    </row>
    <row r="23" spans="1:7" x14ac:dyDescent="0.25">
      <c r="A23" s="1" t="str">
        <v>AZ</v>
      </c>
      <c r="B23" s="1" t="str">
        <f t="shared" si="0"/>
        <v>AZ</v>
      </c>
      <c r="C23" s="1" t="str">
        <f t="shared" si="1"/>
        <v>AZ</v>
      </c>
      <c r="D23" s="1" t="str">
        <f t="shared" si="2"/>
        <v>AZ</v>
      </c>
      <c r="E23" s="1" t="str">
        <f t="shared" si="3"/>
        <v>AZ</v>
      </c>
      <c r="F23" s="1" t="str">
        <f t="shared" si="4"/>
        <v>Complete</v>
      </c>
      <c r="G23" s="1" t="str">
        <f>IF(COUNTIF($A$2:A23,A23)&gt;1,"Duplicate","Unique")</f>
        <v>Unique</v>
      </c>
    </row>
    <row r="24" spans="1:7" x14ac:dyDescent="0.25">
      <c r="A24" s="1" t="str">
        <v>ID</v>
      </c>
      <c r="B24" s="1" t="str">
        <f t="shared" si="0"/>
        <v>ID</v>
      </c>
      <c r="C24" s="1" t="str">
        <f t="shared" si="1"/>
        <v>ID</v>
      </c>
      <c r="D24" s="1" t="str">
        <f t="shared" si="2"/>
        <v>ID</v>
      </c>
      <c r="E24" s="1" t="str">
        <f t="shared" si="3"/>
        <v>ID</v>
      </c>
      <c r="F24" s="1" t="str">
        <f t="shared" si="4"/>
        <v>Complete</v>
      </c>
      <c r="G24" s="1" t="str">
        <f>IF(COUNTIF($A$2:A24,A24)&gt;1,"Duplicate","Unique")</f>
        <v>Duplicate</v>
      </c>
    </row>
    <row r="25" spans="1:7" x14ac:dyDescent="0.25">
      <c r="A25" s="1" t="str">
        <v>CA</v>
      </c>
      <c r="B25" s="1" t="str">
        <f t="shared" si="0"/>
        <v>CA</v>
      </c>
      <c r="C25" s="1" t="str">
        <f t="shared" si="1"/>
        <v>CA</v>
      </c>
      <c r="D25" s="1" t="str">
        <f t="shared" si="2"/>
        <v>CA</v>
      </c>
      <c r="E25" s="1" t="str">
        <f t="shared" si="3"/>
        <v>CA</v>
      </c>
      <c r="F25" s="1" t="str">
        <f t="shared" si="4"/>
        <v>Complete</v>
      </c>
      <c r="G25" s="1" t="str">
        <f>IF(COUNTIF($A$2:A25,A25)&gt;1,"Duplicate","Unique")</f>
        <v>Unique</v>
      </c>
    </row>
    <row r="26" spans="1:7" x14ac:dyDescent="0.25">
      <c r="A26" s="1" t="str">
        <v>WA</v>
      </c>
      <c r="B26" s="1" t="str">
        <f t="shared" si="0"/>
        <v>WA</v>
      </c>
      <c r="C26" s="1" t="str">
        <f t="shared" si="1"/>
        <v>WA</v>
      </c>
      <c r="D26" s="1" t="str">
        <f t="shared" si="2"/>
        <v>WA</v>
      </c>
      <c r="E26" s="1" t="str">
        <f t="shared" si="3"/>
        <v>WA</v>
      </c>
      <c r="F26" s="1" t="str">
        <f t="shared" si="4"/>
        <v>Complete</v>
      </c>
      <c r="G26" s="1" t="str">
        <f>IF(COUNTIF($A$2:A26,A26)&gt;1,"Duplicate","Unique")</f>
        <v>Unique</v>
      </c>
    </row>
    <row r="27" spans="1:7" x14ac:dyDescent="0.25">
      <c r="A27" s="1" t="str">
        <v>LA</v>
      </c>
      <c r="B27" s="1" t="str">
        <f t="shared" si="0"/>
        <v>LA</v>
      </c>
      <c r="C27" s="1" t="str">
        <f t="shared" si="1"/>
        <v>LA</v>
      </c>
      <c r="D27" s="1" t="str">
        <f t="shared" si="2"/>
        <v>LA</v>
      </c>
      <c r="E27" s="1" t="str">
        <f t="shared" si="3"/>
        <v>LA</v>
      </c>
      <c r="F27" s="1" t="str">
        <f t="shared" si="4"/>
        <v>Complete</v>
      </c>
      <c r="G27" s="1" t="str">
        <f>IF(COUNTIF($A$2:A27,A27)&gt;1,"Duplicate","Unique")</f>
        <v>Duplicate</v>
      </c>
    </row>
    <row r="28" spans="1:7" x14ac:dyDescent="0.25">
      <c r="A28" s="1" t="str">
        <v>NE</v>
      </c>
      <c r="B28" s="1" t="str">
        <f t="shared" si="0"/>
        <v>NE</v>
      </c>
      <c r="C28" s="1" t="str">
        <f t="shared" si="1"/>
        <v>NE</v>
      </c>
      <c r="D28" s="1" t="str">
        <f t="shared" si="2"/>
        <v>NE</v>
      </c>
      <c r="E28" s="1" t="str">
        <f t="shared" si="3"/>
        <v>NE</v>
      </c>
      <c r="F28" s="1" t="str">
        <f t="shared" si="4"/>
        <v>Complete</v>
      </c>
      <c r="G28" s="1" t="str">
        <f>IF(COUNTIF($A$2:A28,A28)&gt;1,"Duplicate","Unique")</f>
        <v>Unique</v>
      </c>
    </row>
    <row r="29" spans="1:7" x14ac:dyDescent="0.25">
      <c r="A29" s="1" t="str">
        <v>OH</v>
      </c>
      <c r="B29" s="1" t="str">
        <f t="shared" si="0"/>
        <v>OH</v>
      </c>
      <c r="C29" s="1" t="str">
        <f t="shared" si="1"/>
        <v>OH</v>
      </c>
      <c r="D29" s="1" t="str">
        <f t="shared" si="2"/>
        <v>OH</v>
      </c>
      <c r="E29" s="1" t="str">
        <f t="shared" si="3"/>
        <v>OH</v>
      </c>
      <c r="F29" s="1" t="str">
        <f t="shared" si="4"/>
        <v>Complete</v>
      </c>
      <c r="G29" s="1" t="str">
        <f>IF(COUNTIF($A$2:A29,A29)&gt;1,"Duplicate","Unique")</f>
        <v>Unique</v>
      </c>
    </row>
    <row r="30" spans="1:7" x14ac:dyDescent="0.25">
      <c r="A30" s="1" t="str">
        <v>MO</v>
      </c>
      <c r="B30" s="1" t="str">
        <f t="shared" si="0"/>
        <v>MO</v>
      </c>
      <c r="C30" s="1" t="str">
        <f t="shared" si="1"/>
        <v>MO</v>
      </c>
      <c r="D30" s="1" t="str">
        <f t="shared" si="2"/>
        <v>MO</v>
      </c>
      <c r="E30" s="1" t="str">
        <f t="shared" si="3"/>
        <v>MO</v>
      </c>
      <c r="F30" s="1" t="str">
        <f t="shared" si="4"/>
        <v>Complete</v>
      </c>
      <c r="G30" s="1" t="str">
        <f>IF(COUNTIF($A$2:A30,A30)&gt;1,"Duplicate","Unique")</f>
        <v>Unique</v>
      </c>
    </row>
    <row r="31" spans="1:7" x14ac:dyDescent="0.25">
      <c r="A31" s="1" t="str">
        <v>AL</v>
      </c>
      <c r="B31" s="1" t="str">
        <f t="shared" si="0"/>
        <v>AL</v>
      </c>
      <c r="C31" s="1" t="str">
        <f t="shared" si="1"/>
        <v>AL</v>
      </c>
      <c r="D31" s="1" t="str">
        <f t="shared" si="2"/>
        <v>AL</v>
      </c>
      <c r="E31" s="1" t="str">
        <f t="shared" si="3"/>
        <v>AL</v>
      </c>
      <c r="F31" s="1" t="str">
        <f t="shared" si="4"/>
        <v>Complete</v>
      </c>
      <c r="G31" s="1" t="str">
        <f>IF(COUNTIF($A$2:A31,A31)&gt;1,"Duplicate","Unique")</f>
        <v>Unique</v>
      </c>
    </row>
    <row r="32" spans="1:7" x14ac:dyDescent="0.25">
      <c r="A32" s="1" t="str">
        <v>NH</v>
      </c>
      <c r="B32" s="1" t="str">
        <f t="shared" si="0"/>
        <v>NH</v>
      </c>
      <c r="C32" s="1" t="str">
        <f t="shared" si="1"/>
        <v>NH</v>
      </c>
      <c r="D32" s="1" t="str">
        <f t="shared" si="2"/>
        <v>NH</v>
      </c>
      <c r="E32" s="1" t="str">
        <f t="shared" si="3"/>
        <v>NH</v>
      </c>
      <c r="F32" s="1" t="str">
        <f t="shared" si="4"/>
        <v>Complete</v>
      </c>
      <c r="G32" s="1" t="str">
        <f>IF(COUNTIF($A$2:A32,A32)&gt;1,"Duplicate","Unique")</f>
        <v>Unique</v>
      </c>
    </row>
    <row r="33" spans="1:7" x14ac:dyDescent="0.25">
      <c r="A33" s="1" t="str">
        <v>NM</v>
      </c>
      <c r="B33" s="1" t="str">
        <f t="shared" si="0"/>
        <v>NM</v>
      </c>
      <c r="C33" s="1" t="str">
        <f t="shared" si="1"/>
        <v>NM</v>
      </c>
      <c r="D33" s="1" t="str">
        <f t="shared" si="2"/>
        <v>NM</v>
      </c>
      <c r="E33" s="1" t="str">
        <f t="shared" si="3"/>
        <v>NM</v>
      </c>
      <c r="F33" s="1" t="str">
        <f t="shared" si="4"/>
        <v>Complete</v>
      </c>
      <c r="G33" s="1" t="str">
        <f>IF(COUNTIF($A$2:A33,A33)&gt;1,"Duplicate","Unique")</f>
        <v>Unique</v>
      </c>
    </row>
    <row r="34" spans="1:7" x14ac:dyDescent="0.25">
      <c r="A34" s="1" t="str">
        <v>OR</v>
      </c>
      <c r="B34" s="1" t="str">
        <f t="shared" si="0"/>
        <v>OR</v>
      </c>
      <c r="C34" s="1" t="str">
        <f t="shared" si="1"/>
        <v>OR</v>
      </c>
      <c r="D34" s="1" t="str">
        <f t="shared" si="2"/>
        <v>OR</v>
      </c>
      <c r="E34" s="1" t="str">
        <f t="shared" si="3"/>
        <v>OR</v>
      </c>
      <c r="F34" s="1" t="str">
        <f t="shared" si="4"/>
        <v>Complete</v>
      </c>
      <c r="G34" s="1" t="str">
        <f>IF(COUNTIF($A$2:A34,A34)&gt;1,"Duplicate","Unique")</f>
        <v>Unique</v>
      </c>
    </row>
    <row r="35" spans="1:7" x14ac:dyDescent="0.25">
      <c r="A35" s="1" t="str">
        <v>MI</v>
      </c>
      <c r="B35" s="1" t="str">
        <f t="shared" si="0"/>
        <v>MI</v>
      </c>
      <c r="C35" s="1" t="str">
        <f t="shared" si="1"/>
        <v>MI</v>
      </c>
      <c r="D35" s="1" t="str">
        <f t="shared" si="2"/>
        <v>MI</v>
      </c>
      <c r="E35" s="1" t="str">
        <f t="shared" si="3"/>
        <v>MI</v>
      </c>
      <c r="F35" s="1" t="str">
        <f t="shared" si="4"/>
        <v>Complete</v>
      </c>
      <c r="G35" s="1" t="str">
        <f>IF(COUNTIF($A$2:A35,A35)&gt;1,"Duplicate","Unique")</f>
        <v>Duplicate</v>
      </c>
    </row>
    <row r="36" spans="1:7" x14ac:dyDescent="0.25">
      <c r="A36" s="1" t="str">
        <v>AZ</v>
      </c>
      <c r="B36" s="1" t="str">
        <f t="shared" si="0"/>
        <v>AZ</v>
      </c>
      <c r="C36" s="1" t="str">
        <f t="shared" si="1"/>
        <v>AZ</v>
      </c>
      <c r="D36" s="1" t="str">
        <f t="shared" si="2"/>
        <v>AZ</v>
      </c>
      <c r="E36" s="1" t="str">
        <f t="shared" si="3"/>
        <v>AZ</v>
      </c>
      <c r="F36" s="1" t="str">
        <f t="shared" si="4"/>
        <v>Complete</v>
      </c>
      <c r="G36" s="1" t="str">
        <f>IF(COUNTIF($A$2:A36,A36)&gt;1,"Duplicate","Unique")</f>
        <v>Duplicate</v>
      </c>
    </row>
    <row r="37" spans="1:7" x14ac:dyDescent="0.25">
      <c r="A37" s="1" t="str">
        <v>TX</v>
      </c>
      <c r="B37" s="1" t="str">
        <f t="shared" si="0"/>
        <v>TX</v>
      </c>
      <c r="C37" s="1" t="str">
        <f t="shared" si="1"/>
        <v>TX</v>
      </c>
      <c r="D37" s="1" t="str">
        <f t="shared" si="2"/>
        <v>TX</v>
      </c>
      <c r="E37" s="1" t="str">
        <f t="shared" si="3"/>
        <v>TX</v>
      </c>
      <c r="F37" s="1" t="str">
        <f t="shared" si="4"/>
        <v>Complete</v>
      </c>
      <c r="G37" s="1" t="str">
        <f>IF(COUNTIF($A$2:A37,A37)&gt;1,"Duplicate","Unique")</f>
        <v>Unique</v>
      </c>
    </row>
    <row r="38" spans="1:7" x14ac:dyDescent="0.25">
      <c r="A38" s="1" t="str">
        <v>IN</v>
      </c>
      <c r="B38" s="1" t="str">
        <f t="shared" si="0"/>
        <v>IN</v>
      </c>
      <c r="C38" s="1" t="str">
        <f t="shared" si="1"/>
        <v>IN</v>
      </c>
      <c r="D38" s="1" t="str">
        <f t="shared" si="2"/>
        <v>IN</v>
      </c>
      <c r="E38" s="1" t="str">
        <f t="shared" si="3"/>
        <v>IN</v>
      </c>
      <c r="F38" s="1" t="str">
        <f t="shared" si="4"/>
        <v>Complete</v>
      </c>
      <c r="G38" s="1" t="str">
        <f>IF(COUNTIF($A$2:A38,A38)&gt;1,"Duplicate","Unique")</f>
        <v>Duplicate</v>
      </c>
    </row>
    <row r="39" spans="1:7" x14ac:dyDescent="0.25">
      <c r="A39" s="1" t="str">
        <v>LA</v>
      </c>
      <c r="B39" s="1" t="str">
        <f t="shared" si="0"/>
        <v>LA</v>
      </c>
      <c r="C39" s="1" t="str">
        <f t="shared" si="1"/>
        <v>LA</v>
      </c>
      <c r="D39" s="1" t="str">
        <f t="shared" si="2"/>
        <v>LA</v>
      </c>
      <c r="E39" s="1" t="str">
        <f t="shared" si="3"/>
        <v>LA</v>
      </c>
      <c r="F39" s="1" t="str">
        <f t="shared" si="4"/>
        <v>Complete</v>
      </c>
      <c r="G39" s="1" t="str">
        <f>IF(COUNTIF($A$2:A39,A39)&gt;1,"Duplicate","Unique")</f>
        <v>Duplicate</v>
      </c>
    </row>
    <row r="40" spans="1:7" x14ac:dyDescent="0.25">
      <c r="A40" s="1" t="str">
        <v>MS</v>
      </c>
      <c r="B40" s="1" t="str">
        <f t="shared" si="0"/>
        <v>MS</v>
      </c>
      <c r="C40" s="1" t="str">
        <f t="shared" si="1"/>
        <v>MS</v>
      </c>
      <c r="D40" s="1" t="str">
        <f t="shared" si="2"/>
        <v>MS</v>
      </c>
      <c r="E40" s="1" t="str">
        <f t="shared" si="3"/>
        <v>MS</v>
      </c>
      <c r="F40" s="1" t="str">
        <f t="shared" si="4"/>
        <v>Complete</v>
      </c>
      <c r="G40" s="1" t="str">
        <f>IF(COUNTIF($A$2:A40,A40)&gt;1,"Duplicate","Unique")</f>
        <v>Unique</v>
      </c>
    </row>
    <row r="41" spans="1:7" x14ac:dyDescent="0.25">
      <c r="A41" s="1" t="str">
        <v>IN</v>
      </c>
      <c r="B41" s="1" t="str">
        <f t="shared" si="0"/>
        <v>IN</v>
      </c>
      <c r="C41" s="1" t="str">
        <f t="shared" si="1"/>
        <v>IN</v>
      </c>
      <c r="D41" s="1" t="str">
        <f t="shared" si="2"/>
        <v>IN</v>
      </c>
      <c r="E41" s="1" t="str">
        <f t="shared" si="3"/>
        <v>IN</v>
      </c>
      <c r="F41" s="1" t="str">
        <f t="shared" si="4"/>
        <v>Complete</v>
      </c>
      <c r="G41" s="1" t="str">
        <f>IF(COUNTIF($A$2:A41,A41)&gt;1,"Duplicate","Unique")</f>
        <v>Duplicate</v>
      </c>
    </row>
    <row r="42" spans="1:7" x14ac:dyDescent="0.25">
      <c r="A42" s="1" t="str">
        <v>KY</v>
      </c>
      <c r="B42" s="1" t="str">
        <f t="shared" si="0"/>
        <v>KY</v>
      </c>
      <c r="C42" s="1" t="str">
        <f t="shared" si="1"/>
        <v>KY</v>
      </c>
      <c r="D42" s="1" t="str">
        <f t="shared" si="2"/>
        <v>KY</v>
      </c>
      <c r="E42" s="1" t="str">
        <f t="shared" si="3"/>
        <v>KY</v>
      </c>
      <c r="F42" s="1" t="str">
        <f t="shared" si="4"/>
        <v>Complete</v>
      </c>
      <c r="G42" s="1" t="str">
        <f>IF(COUNTIF($A$2:A42,A42)&gt;1,"Duplicate","Unique")</f>
        <v>Duplicate</v>
      </c>
    </row>
    <row r="43" spans="1:7" x14ac:dyDescent="0.25">
      <c r="A43" s="1" t="str">
        <v>MN</v>
      </c>
      <c r="B43" s="1" t="str">
        <f t="shared" si="0"/>
        <v>MN</v>
      </c>
      <c r="C43" s="1" t="str">
        <f t="shared" si="1"/>
        <v>MN</v>
      </c>
      <c r="D43" s="1" t="str">
        <f t="shared" si="2"/>
        <v>MN</v>
      </c>
      <c r="E43" s="1" t="str">
        <f t="shared" si="3"/>
        <v>MN</v>
      </c>
      <c r="F43" s="1" t="str">
        <f t="shared" si="4"/>
        <v>Complete</v>
      </c>
      <c r="G43" s="1" t="str">
        <f>IF(COUNTIF($A$2:A43,A43)&gt;1,"Duplicate","Unique")</f>
        <v>Duplicate</v>
      </c>
    </row>
    <row r="44" spans="1:7" x14ac:dyDescent="0.25">
      <c r="A44" s="1" t="str">
        <v>WY</v>
      </c>
      <c r="B44" s="1" t="str">
        <f t="shared" si="0"/>
        <v>WY</v>
      </c>
      <c r="C44" s="1" t="str">
        <f t="shared" si="1"/>
        <v>WY</v>
      </c>
      <c r="D44" s="1" t="str">
        <f t="shared" si="2"/>
        <v>WY</v>
      </c>
      <c r="E44" s="1" t="str">
        <f t="shared" si="3"/>
        <v>WY</v>
      </c>
      <c r="F44" s="1" t="str">
        <f t="shared" si="4"/>
        <v>Complete</v>
      </c>
      <c r="G44" s="1" t="str">
        <f>IF(COUNTIF($A$2:A44,A44)&gt;1,"Duplicate","Unique")</f>
        <v>Unique</v>
      </c>
    </row>
    <row r="45" spans="1:7" x14ac:dyDescent="0.25">
      <c r="A45" s="1" t="str">
        <v>AZ</v>
      </c>
      <c r="B45" s="1" t="str">
        <f t="shared" si="0"/>
        <v>AZ</v>
      </c>
      <c r="C45" s="1" t="str">
        <f t="shared" si="1"/>
        <v>AZ</v>
      </c>
      <c r="D45" s="1" t="str">
        <f t="shared" si="2"/>
        <v>AZ</v>
      </c>
      <c r="E45" s="1" t="str">
        <f t="shared" si="3"/>
        <v>AZ</v>
      </c>
      <c r="F45" s="1" t="str">
        <f t="shared" si="4"/>
        <v>Complete</v>
      </c>
      <c r="G45" s="1" t="str">
        <f>IF(COUNTIF($A$2:A45,A45)&gt;1,"Duplicate","Unique")</f>
        <v>Duplicate</v>
      </c>
    </row>
    <row r="46" spans="1:7" x14ac:dyDescent="0.25">
      <c r="A46" s="1" t="str">
        <v>NM</v>
      </c>
      <c r="B46" s="1" t="str">
        <f t="shared" si="0"/>
        <v>NM</v>
      </c>
      <c r="C46" s="1" t="str">
        <f t="shared" si="1"/>
        <v>NM</v>
      </c>
      <c r="D46" s="1" t="str">
        <f t="shared" si="2"/>
        <v>NM</v>
      </c>
      <c r="E46" s="1" t="str">
        <f t="shared" si="3"/>
        <v>NM</v>
      </c>
      <c r="F46" s="1" t="str">
        <f t="shared" si="4"/>
        <v>Complete</v>
      </c>
      <c r="G46" s="1" t="str">
        <f>IF(COUNTIF($A$2:A46,A46)&gt;1,"Duplicate","Unique")</f>
        <v>Duplicate</v>
      </c>
    </row>
    <row r="47" spans="1:7" x14ac:dyDescent="0.25">
      <c r="A47" s="1" t="str">
        <v>MI</v>
      </c>
      <c r="B47" s="1" t="str">
        <f t="shared" si="0"/>
        <v>MI</v>
      </c>
      <c r="C47" s="1" t="str">
        <f t="shared" si="1"/>
        <v>MI</v>
      </c>
      <c r="D47" s="1" t="str">
        <f t="shared" si="2"/>
        <v>MI</v>
      </c>
      <c r="E47" s="1" t="str">
        <f t="shared" si="3"/>
        <v>MI</v>
      </c>
      <c r="F47" s="1" t="str">
        <f t="shared" si="4"/>
        <v>Complete</v>
      </c>
      <c r="G47" s="1" t="str">
        <f>IF(COUNTIF($A$2:A47,A47)&gt;1,"Duplicate","Unique")</f>
        <v>Duplicate</v>
      </c>
    </row>
    <row r="48" spans="1:7" x14ac:dyDescent="0.25">
      <c r="A48" s="1" t="str">
        <v>FL</v>
      </c>
      <c r="B48" s="1" t="str">
        <f t="shared" si="0"/>
        <v>FL</v>
      </c>
      <c r="C48" s="1" t="str">
        <f t="shared" si="1"/>
        <v>FL</v>
      </c>
      <c r="D48" s="1" t="str">
        <f t="shared" si="2"/>
        <v>FL</v>
      </c>
      <c r="E48" s="1" t="str">
        <f t="shared" si="3"/>
        <v>FL</v>
      </c>
      <c r="F48" s="1" t="str">
        <f t="shared" si="4"/>
        <v>Complete</v>
      </c>
      <c r="G48" s="1" t="str">
        <f>IF(COUNTIF($A$2:A48,A48)&gt;1,"Duplicate","Unique")</f>
        <v>Unique</v>
      </c>
    </row>
    <row r="49" spans="1:7" x14ac:dyDescent="0.25">
      <c r="A49" s="1" t="str">
        <v>KS</v>
      </c>
      <c r="B49" s="1" t="str">
        <f t="shared" si="0"/>
        <v>KS</v>
      </c>
      <c r="C49" s="1" t="str">
        <f t="shared" si="1"/>
        <v>KS</v>
      </c>
      <c r="D49" s="1" t="str">
        <f t="shared" si="2"/>
        <v>KS</v>
      </c>
      <c r="E49" s="1" t="str">
        <f t="shared" si="3"/>
        <v>KS</v>
      </c>
      <c r="F49" s="1" t="str">
        <f t="shared" si="4"/>
        <v>Complete</v>
      </c>
      <c r="G49" s="1" t="str">
        <f>IF(COUNTIF($A$2:A49,A49)&gt;1,"Duplicate","Unique")</f>
        <v>Unique</v>
      </c>
    </row>
    <row r="50" spans="1:7" x14ac:dyDescent="0.25">
      <c r="A50" s="1" t="str">
        <v>SC</v>
      </c>
      <c r="B50" s="1" t="str">
        <f t="shared" si="0"/>
        <v>SC</v>
      </c>
      <c r="C50" s="1" t="str">
        <f t="shared" si="1"/>
        <v>SC</v>
      </c>
      <c r="D50" s="1" t="str">
        <f t="shared" si="2"/>
        <v>SC</v>
      </c>
      <c r="E50" s="1" t="str">
        <f t="shared" si="3"/>
        <v>SC</v>
      </c>
      <c r="F50" s="1" t="str">
        <f t="shared" si="4"/>
        <v>Complete</v>
      </c>
      <c r="G50" s="1" t="str">
        <f>IF(COUNTIF($A$2:A50,A50)&gt;1,"Duplicate","Unique")</f>
        <v>Duplicate</v>
      </c>
    </row>
    <row r="51" spans="1:7" x14ac:dyDescent="0.25">
      <c r="A51" s="1" t="str">
        <v>NC</v>
      </c>
      <c r="B51" s="1" t="str">
        <f t="shared" si="0"/>
        <v>NC</v>
      </c>
      <c r="C51" s="1" t="str">
        <f t="shared" si="1"/>
        <v>NC</v>
      </c>
      <c r="D51" s="1" t="str">
        <f t="shared" si="2"/>
        <v>NC</v>
      </c>
      <c r="E51" s="1" t="str">
        <f t="shared" si="3"/>
        <v>NC</v>
      </c>
      <c r="F51" s="1" t="str">
        <f t="shared" si="4"/>
        <v>Complete</v>
      </c>
      <c r="G51" s="1" t="str">
        <f>IF(COUNTIF($A$2:A51,A51)&gt;1,"Duplicate","Unique")</f>
        <v>Unique</v>
      </c>
    </row>
    <row r="52" spans="1:7" x14ac:dyDescent="0.25">
      <c r="A52" s="1" t="str">
        <v>MO</v>
      </c>
      <c r="B52" s="1" t="str">
        <f t="shared" si="0"/>
        <v>MO</v>
      </c>
      <c r="C52" s="1" t="str">
        <f t="shared" si="1"/>
        <v>MO</v>
      </c>
      <c r="D52" s="1" t="str">
        <f t="shared" si="2"/>
        <v>MO</v>
      </c>
      <c r="E52" s="1" t="str">
        <f t="shared" si="3"/>
        <v>MO</v>
      </c>
      <c r="F52" s="1" t="str">
        <f t="shared" si="4"/>
        <v>Complete</v>
      </c>
      <c r="G52" s="1" t="str">
        <f>IF(COUNTIF($A$2:A52,A52)&gt;1,"Duplicate","Unique")</f>
        <v>Duplicate</v>
      </c>
    </row>
    <row r="53" spans="1:7" x14ac:dyDescent="0.25">
      <c r="A53" s="1" t="str">
        <v>WA</v>
      </c>
      <c r="B53" s="1" t="str">
        <f t="shared" si="0"/>
        <v>WA</v>
      </c>
      <c r="C53" s="1" t="str">
        <f t="shared" si="1"/>
        <v>WA</v>
      </c>
      <c r="D53" s="1" t="str">
        <f t="shared" si="2"/>
        <v>WA</v>
      </c>
      <c r="E53" s="1" t="str">
        <f t="shared" si="3"/>
        <v>WA</v>
      </c>
      <c r="F53" s="1" t="str">
        <f t="shared" si="4"/>
        <v>Complete</v>
      </c>
      <c r="G53" s="1" t="str">
        <f>IF(COUNTIF($A$2:A53,A53)&gt;1,"Duplicate","Unique")</f>
        <v>Duplicate</v>
      </c>
    </row>
    <row r="54" spans="1:7" x14ac:dyDescent="0.25">
      <c r="A54" s="1" t="str">
        <v>SD</v>
      </c>
      <c r="B54" s="1" t="str">
        <f t="shared" si="0"/>
        <v>SD</v>
      </c>
      <c r="C54" s="1" t="str">
        <f t="shared" si="1"/>
        <v>SD</v>
      </c>
      <c r="D54" s="1" t="str">
        <f t="shared" si="2"/>
        <v>SD</v>
      </c>
      <c r="E54" s="1" t="str">
        <f t="shared" si="3"/>
        <v>SD</v>
      </c>
      <c r="F54" s="1" t="str">
        <f t="shared" si="4"/>
        <v>Complete</v>
      </c>
      <c r="G54" s="1" t="str">
        <f>IF(COUNTIF($A$2:A54,A54)&gt;1,"Duplicate","Unique")</f>
        <v>Unique</v>
      </c>
    </row>
    <row r="55" spans="1:7" x14ac:dyDescent="0.25">
      <c r="A55" s="1" t="str">
        <v>MT</v>
      </c>
      <c r="B55" s="1" t="str">
        <f t="shared" si="0"/>
        <v>MT</v>
      </c>
      <c r="C55" s="1" t="str">
        <f t="shared" si="1"/>
        <v>MT</v>
      </c>
      <c r="D55" s="1" t="str">
        <f t="shared" si="2"/>
        <v>MT</v>
      </c>
      <c r="E55" s="1" t="str">
        <f t="shared" si="3"/>
        <v>MT</v>
      </c>
      <c r="F55" s="1" t="str">
        <f t="shared" si="4"/>
        <v>Complete</v>
      </c>
      <c r="G55" s="1" t="str">
        <f>IF(COUNTIF($A$2:A55,A55)&gt;1,"Duplicate","Unique")</f>
        <v>Duplicate</v>
      </c>
    </row>
    <row r="56" spans="1:7" x14ac:dyDescent="0.25">
      <c r="A56" s="1" t="str">
        <v>MN</v>
      </c>
      <c r="B56" s="1" t="str">
        <f t="shared" si="0"/>
        <v>MN</v>
      </c>
      <c r="C56" s="1" t="str">
        <f t="shared" si="1"/>
        <v>MN</v>
      </c>
      <c r="D56" s="1" t="str">
        <f t="shared" si="2"/>
        <v>MN</v>
      </c>
      <c r="E56" s="1" t="str">
        <f t="shared" si="3"/>
        <v>MN</v>
      </c>
      <c r="F56" s="1" t="str">
        <f t="shared" si="4"/>
        <v>Complete</v>
      </c>
      <c r="G56" s="1" t="str">
        <f>IF(COUNTIF($A$2:A56,A56)&gt;1,"Duplicate","Unique")</f>
        <v>Duplicate</v>
      </c>
    </row>
    <row r="57" spans="1:7" x14ac:dyDescent="0.25">
      <c r="A57" s="1" t="str">
        <v>SD</v>
      </c>
      <c r="B57" s="1" t="str">
        <f t="shared" si="0"/>
        <v>SD</v>
      </c>
      <c r="C57" s="1" t="str">
        <f t="shared" si="1"/>
        <v>SD</v>
      </c>
      <c r="D57" s="1" t="str">
        <f t="shared" si="2"/>
        <v>SD</v>
      </c>
      <c r="E57" s="1" t="str">
        <f t="shared" si="3"/>
        <v>SD</v>
      </c>
      <c r="F57" s="1" t="str">
        <f t="shared" si="4"/>
        <v>Complete</v>
      </c>
      <c r="G57" s="1" t="str">
        <f>IF(COUNTIF($A$2:A57,A57)&gt;1,"Duplicate","Unique")</f>
        <v>Duplicate</v>
      </c>
    </row>
    <row r="58" spans="1:7" x14ac:dyDescent="0.25">
      <c r="A58" s="1" t="str">
        <v>OK</v>
      </c>
      <c r="B58" s="1" t="str">
        <f t="shared" si="0"/>
        <v>OK</v>
      </c>
      <c r="C58" s="1" t="str">
        <f t="shared" si="1"/>
        <v>OK</v>
      </c>
      <c r="D58" s="1" t="str">
        <f t="shared" si="2"/>
        <v>OK</v>
      </c>
      <c r="E58" s="1" t="str">
        <f t="shared" si="3"/>
        <v>OK</v>
      </c>
      <c r="F58" s="1" t="str">
        <f t="shared" si="4"/>
        <v>Complete</v>
      </c>
      <c r="G58" s="1" t="str">
        <f>IF(COUNTIF($A$2:A58,A58)&gt;1,"Duplicate","Unique")</f>
        <v>Unique</v>
      </c>
    </row>
    <row r="59" spans="1:7" x14ac:dyDescent="0.25">
      <c r="A59" s="1" t="str">
        <v>CT</v>
      </c>
      <c r="B59" s="1" t="str">
        <f t="shared" si="0"/>
        <v>CT</v>
      </c>
      <c r="C59" s="1" t="str">
        <f t="shared" si="1"/>
        <v>CT</v>
      </c>
      <c r="D59" s="1" t="str">
        <f t="shared" si="2"/>
        <v>CT</v>
      </c>
      <c r="E59" s="1" t="str">
        <f t="shared" si="3"/>
        <v>CT</v>
      </c>
      <c r="F59" s="1" t="str">
        <f t="shared" si="4"/>
        <v>Complete</v>
      </c>
      <c r="G59" s="1" t="str">
        <f>IF(COUNTIF($A$2:A59,A59)&gt;1,"Duplicate","Unique")</f>
        <v>Unique</v>
      </c>
    </row>
    <row r="60" spans="1:7" x14ac:dyDescent="0.25">
      <c r="A60" s="1" t="str">
        <v>CT</v>
      </c>
      <c r="B60" s="1" t="str">
        <f t="shared" si="0"/>
        <v>CT</v>
      </c>
      <c r="C60" s="1" t="str">
        <f t="shared" si="1"/>
        <v>CT</v>
      </c>
      <c r="D60" s="1" t="str">
        <f t="shared" si="2"/>
        <v>CT</v>
      </c>
      <c r="E60" s="1" t="str">
        <f t="shared" si="3"/>
        <v>CT</v>
      </c>
      <c r="F60" s="1" t="str">
        <f t="shared" si="4"/>
        <v>Complete</v>
      </c>
      <c r="G60" s="1" t="str">
        <f>IF(COUNTIF($A$2:A60,A60)&gt;1,"Duplicate","Unique")</f>
        <v>Duplicate</v>
      </c>
    </row>
    <row r="61" spans="1:7" x14ac:dyDescent="0.25">
      <c r="A61" s="1" t="str">
        <v>MN</v>
      </c>
      <c r="B61" s="1" t="str">
        <f t="shared" si="0"/>
        <v>MN</v>
      </c>
      <c r="C61" s="1" t="str">
        <f t="shared" si="1"/>
        <v>MN</v>
      </c>
      <c r="D61" s="1" t="str">
        <f t="shared" si="2"/>
        <v>MN</v>
      </c>
      <c r="E61" s="1" t="str">
        <f t="shared" si="3"/>
        <v>MN</v>
      </c>
      <c r="F61" s="1" t="str">
        <f t="shared" si="4"/>
        <v>Complete</v>
      </c>
      <c r="G61" s="1" t="str">
        <f>IF(COUNTIF($A$2:A61,A61)&gt;1,"Duplicate","Unique")</f>
        <v>Duplicate</v>
      </c>
    </row>
    <row r="62" spans="1:7" x14ac:dyDescent="0.25">
      <c r="A62" s="1" t="str">
        <v>FL</v>
      </c>
      <c r="B62" s="1" t="str">
        <f t="shared" si="0"/>
        <v>FL</v>
      </c>
      <c r="C62" s="1" t="str">
        <f t="shared" si="1"/>
        <v>FL</v>
      </c>
      <c r="D62" s="1" t="str">
        <f t="shared" si="2"/>
        <v>FL</v>
      </c>
      <c r="E62" s="1" t="str">
        <f t="shared" si="3"/>
        <v>FL</v>
      </c>
      <c r="F62" s="1" t="str">
        <f t="shared" si="4"/>
        <v>Complete</v>
      </c>
      <c r="G62" s="1" t="str">
        <f>IF(COUNTIF($A$2:A62,A62)&gt;1,"Duplicate","Unique")</f>
        <v>Duplicate</v>
      </c>
    </row>
    <row r="63" spans="1:7" x14ac:dyDescent="0.25">
      <c r="A63" s="1" t="str">
        <v>RI</v>
      </c>
      <c r="B63" s="1" t="str">
        <f t="shared" si="0"/>
        <v>RI</v>
      </c>
      <c r="C63" s="1" t="str">
        <f t="shared" si="1"/>
        <v>RI</v>
      </c>
      <c r="D63" s="1" t="str">
        <f t="shared" si="2"/>
        <v>RI</v>
      </c>
      <c r="E63" s="1" t="str">
        <f t="shared" si="3"/>
        <v>RI</v>
      </c>
      <c r="F63" s="1" t="str">
        <f t="shared" si="4"/>
        <v>Complete</v>
      </c>
      <c r="G63" s="1" t="str">
        <f>IF(COUNTIF($A$2:A63,A63)&gt;1,"Duplicate","Unique")</f>
        <v>Unique</v>
      </c>
    </row>
    <row r="64" spans="1:7" x14ac:dyDescent="0.25">
      <c r="A64" s="1" t="str">
        <v>IN</v>
      </c>
      <c r="B64" s="1" t="str">
        <f t="shared" si="0"/>
        <v>IN</v>
      </c>
      <c r="C64" s="1" t="str">
        <f t="shared" si="1"/>
        <v>IN</v>
      </c>
      <c r="D64" s="1" t="str">
        <f t="shared" si="2"/>
        <v>IN</v>
      </c>
      <c r="E64" s="1" t="str">
        <f t="shared" si="3"/>
        <v>IN</v>
      </c>
      <c r="F64" s="1" t="str">
        <f t="shared" si="4"/>
        <v>Complete</v>
      </c>
      <c r="G64" s="1" t="str">
        <f>IF(COUNTIF($A$2:A64,A64)&gt;1,"Duplicate","Unique")</f>
        <v>Duplicate</v>
      </c>
    </row>
    <row r="65" spans="1:7" x14ac:dyDescent="0.25">
      <c r="A65" s="1" t="str">
        <v>AL</v>
      </c>
      <c r="B65" s="1" t="str">
        <f t="shared" si="0"/>
        <v>AL</v>
      </c>
      <c r="C65" s="1" t="str">
        <f t="shared" si="1"/>
        <v>AL</v>
      </c>
      <c r="D65" s="1" t="str">
        <f t="shared" si="2"/>
        <v>AL</v>
      </c>
      <c r="E65" s="1" t="str">
        <f t="shared" si="3"/>
        <v>AL</v>
      </c>
      <c r="F65" s="1" t="str">
        <f t="shared" si="4"/>
        <v>Complete</v>
      </c>
      <c r="G65" s="1" t="str">
        <f>IF(COUNTIF($A$2:A65,A65)&gt;1,"Duplicate","Unique")</f>
        <v>Duplicate</v>
      </c>
    </row>
    <row r="66" spans="1:7" x14ac:dyDescent="0.25">
      <c r="A66" s="1" t="str">
        <v>OR</v>
      </c>
      <c r="B66" s="1" t="str">
        <f t="shared" si="0"/>
        <v>OR</v>
      </c>
      <c r="C66" s="1" t="str">
        <f t="shared" si="1"/>
        <v>OR</v>
      </c>
      <c r="D66" s="1" t="str">
        <f t="shared" si="2"/>
        <v>OR</v>
      </c>
      <c r="E66" s="1" t="str">
        <f t="shared" si="3"/>
        <v>OR</v>
      </c>
      <c r="F66" s="1" t="str">
        <f t="shared" si="4"/>
        <v>Complete</v>
      </c>
      <c r="G66" s="1" t="str">
        <f>IF(COUNTIF($A$2:A66,A66)&gt;1,"Duplicate","Unique")</f>
        <v>Duplicate</v>
      </c>
    </row>
    <row r="67" spans="1:7" x14ac:dyDescent="0.25">
      <c r="A67" s="1" t="str">
        <v>MS</v>
      </c>
      <c r="B67" s="1" t="str">
        <f t="shared" ref="B67:B130" si="5">TRIM(A67)</f>
        <v>MS</v>
      </c>
      <c r="C67" s="1" t="str">
        <f t="shared" ref="C67:C130" si="6">CLEAN(A67)</f>
        <v>MS</v>
      </c>
      <c r="D67" s="1" t="str">
        <f t="shared" ref="D67:D130" si="7">TRIM(CLEAN(A67))</f>
        <v>MS</v>
      </c>
      <c r="E67" s="1" t="str">
        <f t="shared" ref="E67:E130" si="8">SUBSTITUTE(D67," ","")</f>
        <v>MS</v>
      </c>
      <c r="F67" s="1" t="str">
        <f t="shared" ref="F67:F130" si="9">IF(ISBLANK(A67),"Missing","Complete")</f>
        <v>Complete</v>
      </c>
      <c r="G67" s="1" t="str">
        <f>IF(COUNTIF($A$2:A67,A67)&gt;1,"Duplicate","Unique")</f>
        <v>Duplicate</v>
      </c>
    </row>
    <row r="68" spans="1:7" x14ac:dyDescent="0.25">
      <c r="A68" s="1" t="str">
        <v>CA</v>
      </c>
      <c r="B68" s="1" t="str">
        <f t="shared" si="5"/>
        <v>CA</v>
      </c>
      <c r="C68" s="1" t="str">
        <f t="shared" si="6"/>
        <v>CA</v>
      </c>
      <c r="D68" s="1" t="str">
        <f t="shared" si="7"/>
        <v>CA</v>
      </c>
      <c r="E68" s="1" t="str">
        <f t="shared" si="8"/>
        <v>CA</v>
      </c>
      <c r="F68" s="1" t="str">
        <f t="shared" si="9"/>
        <v>Complete</v>
      </c>
      <c r="G68" s="1" t="str">
        <f>IF(COUNTIF($A$2:A68,A68)&gt;1,"Duplicate","Unique")</f>
        <v>Duplicate</v>
      </c>
    </row>
    <row r="69" spans="1:7" x14ac:dyDescent="0.25">
      <c r="A69" s="1" t="str">
        <v>DE</v>
      </c>
      <c r="B69" s="1" t="str">
        <f t="shared" si="5"/>
        <v>DE</v>
      </c>
      <c r="C69" s="1" t="str">
        <f t="shared" si="6"/>
        <v>DE</v>
      </c>
      <c r="D69" s="1" t="str">
        <f t="shared" si="7"/>
        <v>DE</v>
      </c>
      <c r="E69" s="1" t="str">
        <f t="shared" si="8"/>
        <v>DE</v>
      </c>
      <c r="F69" s="1" t="str">
        <f t="shared" si="9"/>
        <v>Complete</v>
      </c>
      <c r="G69" s="1" t="str">
        <f>IF(COUNTIF($A$2:A69,A69)&gt;1,"Duplicate","Unique")</f>
        <v>Unique</v>
      </c>
    </row>
    <row r="70" spans="1:7" x14ac:dyDescent="0.25">
      <c r="A70" s="1" t="str">
        <v>MS</v>
      </c>
      <c r="B70" s="1" t="str">
        <f t="shared" si="5"/>
        <v>MS</v>
      </c>
      <c r="C70" s="1" t="str">
        <f t="shared" si="6"/>
        <v>MS</v>
      </c>
      <c r="D70" s="1" t="str">
        <f t="shared" si="7"/>
        <v>MS</v>
      </c>
      <c r="E70" s="1" t="str">
        <f t="shared" si="8"/>
        <v>MS</v>
      </c>
      <c r="F70" s="1" t="str">
        <f t="shared" si="9"/>
        <v>Complete</v>
      </c>
      <c r="G70" s="1" t="str">
        <f>IF(COUNTIF($A$2:A70,A70)&gt;1,"Duplicate","Unique")</f>
        <v>Duplicate</v>
      </c>
    </row>
    <row r="71" spans="1:7" x14ac:dyDescent="0.25">
      <c r="A71" s="1" t="str">
        <v>NC</v>
      </c>
      <c r="B71" s="1" t="str">
        <f t="shared" si="5"/>
        <v>NC</v>
      </c>
      <c r="C71" s="1" t="str">
        <f t="shared" si="6"/>
        <v>NC</v>
      </c>
      <c r="D71" s="1" t="str">
        <f t="shared" si="7"/>
        <v>NC</v>
      </c>
      <c r="E71" s="1" t="str">
        <f t="shared" si="8"/>
        <v>NC</v>
      </c>
      <c r="F71" s="1" t="str">
        <f t="shared" si="9"/>
        <v>Complete</v>
      </c>
      <c r="G71" s="1" t="str">
        <f>IF(COUNTIF($A$2:A71,A71)&gt;1,"Duplicate","Unique")</f>
        <v>Duplicate</v>
      </c>
    </row>
    <row r="72" spans="1:7" x14ac:dyDescent="0.25">
      <c r="A72" s="1" t="str">
        <v>SD</v>
      </c>
      <c r="B72" s="1" t="str">
        <f t="shared" si="5"/>
        <v>SD</v>
      </c>
      <c r="C72" s="1" t="str">
        <f t="shared" si="6"/>
        <v>SD</v>
      </c>
      <c r="D72" s="1" t="str">
        <f t="shared" si="7"/>
        <v>SD</v>
      </c>
      <c r="E72" s="1" t="str">
        <f t="shared" si="8"/>
        <v>SD</v>
      </c>
      <c r="F72" s="1" t="str">
        <f t="shared" si="9"/>
        <v>Complete</v>
      </c>
      <c r="G72" s="1" t="str">
        <f>IF(COUNTIF($A$2:A72,A72)&gt;1,"Duplicate","Unique")</f>
        <v>Duplicate</v>
      </c>
    </row>
    <row r="73" spans="1:7" x14ac:dyDescent="0.25">
      <c r="A73" s="1" t="str">
        <v>NH</v>
      </c>
      <c r="B73" s="1" t="str">
        <f t="shared" si="5"/>
        <v>NH</v>
      </c>
      <c r="C73" s="1" t="str">
        <f t="shared" si="6"/>
        <v>NH</v>
      </c>
      <c r="D73" s="1" t="str">
        <f t="shared" si="7"/>
        <v>NH</v>
      </c>
      <c r="E73" s="1" t="str">
        <f t="shared" si="8"/>
        <v>NH</v>
      </c>
      <c r="F73" s="1" t="str">
        <f t="shared" si="9"/>
        <v>Complete</v>
      </c>
      <c r="G73" s="1" t="str">
        <f>IF(COUNTIF($A$2:A73,A73)&gt;1,"Duplicate","Unique")</f>
        <v>Duplicate</v>
      </c>
    </row>
    <row r="74" spans="1:7" x14ac:dyDescent="0.25">
      <c r="A74" s="1" t="str">
        <v>MA</v>
      </c>
      <c r="B74" s="1" t="str">
        <f t="shared" si="5"/>
        <v>MA</v>
      </c>
      <c r="C74" s="1" t="str">
        <f t="shared" si="6"/>
        <v>MA</v>
      </c>
      <c r="D74" s="1" t="str">
        <f t="shared" si="7"/>
        <v>MA</v>
      </c>
      <c r="E74" s="1" t="str">
        <f t="shared" si="8"/>
        <v>MA</v>
      </c>
      <c r="F74" s="1" t="str">
        <f t="shared" si="9"/>
        <v>Complete</v>
      </c>
      <c r="G74" s="1" t="str">
        <f>IF(COUNTIF($A$2:A74,A74)&gt;1,"Duplicate","Unique")</f>
        <v>Duplicate</v>
      </c>
    </row>
    <row r="75" spans="1:7" x14ac:dyDescent="0.25">
      <c r="A75" s="1" t="str">
        <v>TX</v>
      </c>
      <c r="B75" s="1" t="str">
        <f t="shared" si="5"/>
        <v>TX</v>
      </c>
      <c r="C75" s="1" t="str">
        <f t="shared" si="6"/>
        <v>TX</v>
      </c>
      <c r="D75" s="1" t="str">
        <f t="shared" si="7"/>
        <v>TX</v>
      </c>
      <c r="E75" s="1" t="str">
        <f t="shared" si="8"/>
        <v>TX</v>
      </c>
      <c r="F75" s="1" t="str">
        <f t="shared" si="9"/>
        <v>Complete</v>
      </c>
      <c r="G75" s="1" t="str">
        <f>IF(COUNTIF($A$2:A75,A75)&gt;1,"Duplicate","Unique")</f>
        <v>Duplicate</v>
      </c>
    </row>
    <row r="76" spans="1:7" x14ac:dyDescent="0.25">
      <c r="A76" s="1" t="str">
        <v>OR</v>
      </c>
      <c r="B76" s="1" t="str">
        <f t="shared" si="5"/>
        <v>OR</v>
      </c>
      <c r="C76" s="1" t="str">
        <f t="shared" si="6"/>
        <v>OR</v>
      </c>
      <c r="D76" s="1" t="str">
        <f t="shared" si="7"/>
        <v>OR</v>
      </c>
      <c r="E76" s="1" t="str">
        <f t="shared" si="8"/>
        <v>OR</v>
      </c>
      <c r="F76" s="1" t="str">
        <f t="shared" si="9"/>
        <v>Complete</v>
      </c>
      <c r="G76" s="1" t="str">
        <f>IF(COUNTIF($A$2:A76,A76)&gt;1,"Duplicate","Unique")</f>
        <v>Duplicate</v>
      </c>
    </row>
    <row r="77" spans="1:7" x14ac:dyDescent="0.25">
      <c r="A77" s="1" t="str">
        <v>UT</v>
      </c>
      <c r="B77" s="1" t="str">
        <f t="shared" si="5"/>
        <v>UT</v>
      </c>
      <c r="C77" s="1" t="str">
        <f t="shared" si="6"/>
        <v>UT</v>
      </c>
      <c r="D77" s="1" t="str">
        <f t="shared" si="7"/>
        <v>UT</v>
      </c>
      <c r="E77" s="1" t="str">
        <f t="shared" si="8"/>
        <v>UT</v>
      </c>
      <c r="F77" s="1" t="str">
        <f t="shared" si="9"/>
        <v>Complete</v>
      </c>
      <c r="G77" s="1" t="str">
        <f>IF(COUNTIF($A$2:A77,A77)&gt;1,"Duplicate","Unique")</f>
        <v>Unique</v>
      </c>
    </row>
    <row r="78" spans="1:7" x14ac:dyDescent="0.25">
      <c r="A78" s="1" t="str">
        <v>NV</v>
      </c>
      <c r="B78" s="1" t="str">
        <f t="shared" si="5"/>
        <v>NV</v>
      </c>
      <c r="C78" s="1" t="str">
        <f t="shared" si="6"/>
        <v>NV</v>
      </c>
      <c r="D78" s="1" t="str">
        <f t="shared" si="7"/>
        <v>NV</v>
      </c>
      <c r="E78" s="1" t="str">
        <f t="shared" si="8"/>
        <v>NV</v>
      </c>
      <c r="F78" s="1" t="str">
        <f t="shared" si="9"/>
        <v>Complete</v>
      </c>
      <c r="G78" s="1" t="str">
        <f>IF(COUNTIF($A$2:A78,A78)&gt;1,"Duplicate","Unique")</f>
        <v>Unique</v>
      </c>
    </row>
    <row r="79" spans="1:7" x14ac:dyDescent="0.25">
      <c r="A79" s="1" t="str">
        <v>NE</v>
      </c>
      <c r="B79" s="1" t="str">
        <f t="shared" si="5"/>
        <v>NE</v>
      </c>
      <c r="C79" s="1" t="str">
        <f t="shared" si="6"/>
        <v>NE</v>
      </c>
      <c r="D79" s="1" t="str">
        <f t="shared" si="7"/>
        <v>NE</v>
      </c>
      <c r="E79" s="1" t="str">
        <f t="shared" si="8"/>
        <v>NE</v>
      </c>
      <c r="F79" s="1" t="str">
        <f t="shared" si="9"/>
        <v>Complete</v>
      </c>
      <c r="G79" s="1" t="str">
        <f>IF(COUNTIF($A$2:A79,A79)&gt;1,"Duplicate","Unique")</f>
        <v>Duplicate</v>
      </c>
    </row>
    <row r="80" spans="1:7" x14ac:dyDescent="0.25">
      <c r="A80" s="1" t="str">
        <v>AZ</v>
      </c>
      <c r="B80" s="1" t="str">
        <f t="shared" si="5"/>
        <v>AZ</v>
      </c>
      <c r="C80" s="1" t="str">
        <f t="shared" si="6"/>
        <v>AZ</v>
      </c>
      <c r="D80" s="1" t="str">
        <f t="shared" si="7"/>
        <v>AZ</v>
      </c>
      <c r="E80" s="1" t="str">
        <f t="shared" si="8"/>
        <v>AZ</v>
      </c>
      <c r="F80" s="1" t="str">
        <f t="shared" si="9"/>
        <v>Complete</v>
      </c>
      <c r="G80" s="1" t="str">
        <f>IF(COUNTIF($A$2:A80,A80)&gt;1,"Duplicate","Unique")</f>
        <v>Duplicate</v>
      </c>
    </row>
    <row r="81" spans="1:7" x14ac:dyDescent="0.25">
      <c r="A81" s="1" t="str">
        <v>DC</v>
      </c>
      <c r="B81" s="1" t="str">
        <f t="shared" si="5"/>
        <v>DC</v>
      </c>
      <c r="C81" s="1" t="str">
        <f t="shared" si="6"/>
        <v>DC</v>
      </c>
      <c r="D81" s="1" t="str">
        <f t="shared" si="7"/>
        <v>DC</v>
      </c>
      <c r="E81" s="1" t="str">
        <f t="shared" si="8"/>
        <v>DC</v>
      </c>
      <c r="F81" s="1" t="str">
        <f t="shared" si="9"/>
        <v>Complete</v>
      </c>
      <c r="G81" s="1" t="str">
        <f>IF(COUNTIF($A$2:A81,A81)&gt;1,"Duplicate","Unique")</f>
        <v>Unique</v>
      </c>
    </row>
    <row r="82" spans="1:7" x14ac:dyDescent="0.25">
      <c r="A82" s="1" t="str">
        <v>MA</v>
      </c>
      <c r="B82" s="1" t="str">
        <f t="shared" si="5"/>
        <v>MA</v>
      </c>
      <c r="C82" s="1" t="str">
        <f t="shared" si="6"/>
        <v>MA</v>
      </c>
      <c r="D82" s="1" t="str">
        <f t="shared" si="7"/>
        <v>MA</v>
      </c>
      <c r="E82" s="1" t="str">
        <f t="shared" si="8"/>
        <v>MA</v>
      </c>
      <c r="F82" s="1" t="str">
        <f t="shared" si="9"/>
        <v>Complete</v>
      </c>
      <c r="G82" s="1" t="str">
        <f>IF(COUNTIF($A$2:A82,A82)&gt;1,"Duplicate","Unique")</f>
        <v>Duplicate</v>
      </c>
    </row>
    <row r="83" spans="1:7" x14ac:dyDescent="0.25">
      <c r="A83" s="1" t="str">
        <v>AZ</v>
      </c>
      <c r="B83" s="1" t="str">
        <f t="shared" si="5"/>
        <v>AZ</v>
      </c>
      <c r="C83" s="1" t="str">
        <f t="shared" si="6"/>
        <v>AZ</v>
      </c>
      <c r="D83" s="1" t="str">
        <f t="shared" si="7"/>
        <v>AZ</v>
      </c>
      <c r="E83" s="1" t="str">
        <f t="shared" si="8"/>
        <v>AZ</v>
      </c>
      <c r="F83" s="1" t="str">
        <f t="shared" si="9"/>
        <v>Complete</v>
      </c>
      <c r="G83" s="1" t="str">
        <f>IF(COUNTIF($A$2:A83,A83)&gt;1,"Duplicate","Unique")</f>
        <v>Duplicate</v>
      </c>
    </row>
    <row r="84" spans="1:7" x14ac:dyDescent="0.25">
      <c r="A84" s="1" t="str">
        <v>MI</v>
      </c>
      <c r="B84" s="1" t="str">
        <f t="shared" si="5"/>
        <v>MI</v>
      </c>
      <c r="C84" s="1" t="str">
        <f t="shared" si="6"/>
        <v>MI</v>
      </c>
      <c r="D84" s="1" t="str">
        <f t="shared" si="7"/>
        <v>MI</v>
      </c>
      <c r="E84" s="1" t="str">
        <f t="shared" si="8"/>
        <v>MI</v>
      </c>
      <c r="F84" s="1" t="str">
        <f t="shared" si="9"/>
        <v>Complete</v>
      </c>
      <c r="G84" s="1" t="str">
        <f>IF(COUNTIF($A$2:A84,A84)&gt;1,"Duplicate","Unique")</f>
        <v>Duplicate</v>
      </c>
    </row>
    <row r="85" spans="1:7" x14ac:dyDescent="0.25">
      <c r="A85" s="1" t="str">
        <v>TX</v>
      </c>
      <c r="B85" s="1" t="str">
        <f t="shared" si="5"/>
        <v>TX</v>
      </c>
      <c r="C85" s="1" t="str">
        <f t="shared" si="6"/>
        <v>TX</v>
      </c>
      <c r="D85" s="1" t="str">
        <f t="shared" si="7"/>
        <v>TX</v>
      </c>
      <c r="E85" s="1" t="str">
        <f t="shared" si="8"/>
        <v>TX</v>
      </c>
      <c r="F85" s="1" t="str">
        <f t="shared" si="9"/>
        <v>Complete</v>
      </c>
      <c r="G85" s="1" t="str">
        <f>IF(COUNTIF($A$2:A85,A85)&gt;1,"Duplicate","Unique")</f>
        <v>Duplicate</v>
      </c>
    </row>
    <row r="86" spans="1:7" x14ac:dyDescent="0.25">
      <c r="A86" s="1" t="str">
        <v>ID</v>
      </c>
      <c r="B86" s="1" t="str">
        <f t="shared" si="5"/>
        <v>ID</v>
      </c>
      <c r="C86" s="1" t="str">
        <f t="shared" si="6"/>
        <v>ID</v>
      </c>
      <c r="D86" s="1" t="str">
        <f t="shared" si="7"/>
        <v>ID</v>
      </c>
      <c r="E86" s="1" t="str">
        <f t="shared" si="8"/>
        <v>ID</v>
      </c>
      <c r="F86" s="1" t="str">
        <f t="shared" si="9"/>
        <v>Complete</v>
      </c>
      <c r="G86" s="1" t="str">
        <f>IF(COUNTIF($A$2:A86,A86)&gt;1,"Duplicate","Unique")</f>
        <v>Duplicate</v>
      </c>
    </row>
    <row r="87" spans="1:7" x14ac:dyDescent="0.25">
      <c r="A87" s="1" t="str">
        <v>AL</v>
      </c>
      <c r="B87" s="1" t="str">
        <f t="shared" si="5"/>
        <v>AL</v>
      </c>
      <c r="C87" s="1" t="str">
        <f t="shared" si="6"/>
        <v>AL</v>
      </c>
      <c r="D87" s="1" t="str">
        <f t="shared" si="7"/>
        <v>AL</v>
      </c>
      <c r="E87" s="1" t="str">
        <f t="shared" si="8"/>
        <v>AL</v>
      </c>
      <c r="F87" s="1" t="str">
        <f t="shared" si="9"/>
        <v>Complete</v>
      </c>
      <c r="G87" s="1" t="str">
        <f>IF(COUNTIF($A$2:A87,A87)&gt;1,"Duplicate","Unique")</f>
        <v>Duplicate</v>
      </c>
    </row>
    <row r="88" spans="1:7" x14ac:dyDescent="0.25">
      <c r="A88" s="1" t="str">
        <v>SD</v>
      </c>
      <c r="B88" s="1" t="str">
        <f t="shared" si="5"/>
        <v>SD</v>
      </c>
      <c r="C88" s="1" t="str">
        <f t="shared" si="6"/>
        <v>SD</v>
      </c>
      <c r="D88" s="1" t="str">
        <f t="shared" si="7"/>
        <v>SD</v>
      </c>
      <c r="E88" s="1" t="str">
        <f t="shared" si="8"/>
        <v>SD</v>
      </c>
      <c r="F88" s="1" t="str">
        <f t="shared" si="9"/>
        <v>Complete</v>
      </c>
      <c r="G88" s="1" t="str">
        <f>IF(COUNTIF($A$2:A88,A88)&gt;1,"Duplicate","Unique")</f>
        <v>Duplicate</v>
      </c>
    </row>
    <row r="89" spans="1:7" x14ac:dyDescent="0.25">
      <c r="A89" s="1" t="str">
        <v>LA</v>
      </c>
      <c r="B89" s="1" t="str">
        <f t="shared" si="5"/>
        <v>LA</v>
      </c>
      <c r="C89" s="1" t="str">
        <f t="shared" si="6"/>
        <v>LA</v>
      </c>
      <c r="D89" s="1" t="str">
        <f t="shared" si="7"/>
        <v>LA</v>
      </c>
      <c r="E89" s="1" t="str">
        <f t="shared" si="8"/>
        <v>LA</v>
      </c>
      <c r="F89" s="1" t="str">
        <f t="shared" si="9"/>
        <v>Complete</v>
      </c>
      <c r="G89" s="1" t="str">
        <f>IF(COUNTIF($A$2:A89,A89)&gt;1,"Duplicate","Unique")</f>
        <v>Duplicate</v>
      </c>
    </row>
    <row r="90" spans="1:7" x14ac:dyDescent="0.25">
      <c r="A90" s="1" t="str">
        <v>AZ</v>
      </c>
      <c r="B90" s="1" t="str">
        <f t="shared" si="5"/>
        <v>AZ</v>
      </c>
      <c r="C90" s="1" t="str">
        <f t="shared" si="6"/>
        <v>AZ</v>
      </c>
      <c r="D90" s="1" t="str">
        <f t="shared" si="7"/>
        <v>AZ</v>
      </c>
      <c r="E90" s="1" t="str">
        <f t="shared" si="8"/>
        <v>AZ</v>
      </c>
      <c r="F90" s="1" t="str">
        <f t="shared" si="9"/>
        <v>Complete</v>
      </c>
      <c r="G90" s="1" t="str">
        <f>IF(COUNTIF($A$2:A90,A90)&gt;1,"Duplicate","Unique")</f>
        <v>Duplicate</v>
      </c>
    </row>
    <row r="91" spans="1:7" x14ac:dyDescent="0.25">
      <c r="A91" s="1" t="str">
        <v>RI</v>
      </c>
      <c r="B91" s="1" t="str">
        <f t="shared" si="5"/>
        <v>RI</v>
      </c>
      <c r="C91" s="1" t="str">
        <f t="shared" si="6"/>
        <v>RI</v>
      </c>
      <c r="D91" s="1" t="str">
        <f t="shared" si="7"/>
        <v>RI</v>
      </c>
      <c r="E91" s="1" t="str">
        <f t="shared" si="8"/>
        <v>RI</v>
      </c>
      <c r="F91" s="1" t="str">
        <f t="shared" si="9"/>
        <v>Complete</v>
      </c>
      <c r="G91" s="1" t="str">
        <f>IF(COUNTIF($A$2:A91,A91)&gt;1,"Duplicate","Unique")</f>
        <v>Duplicate</v>
      </c>
    </row>
    <row r="92" spans="1:7" x14ac:dyDescent="0.25">
      <c r="A92" s="1" t="str">
        <v>OH</v>
      </c>
      <c r="B92" s="1" t="str">
        <f t="shared" si="5"/>
        <v>OH</v>
      </c>
      <c r="C92" s="1" t="str">
        <f t="shared" si="6"/>
        <v>OH</v>
      </c>
      <c r="D92" s="1" t="str">
        <f t="shared" si="7"/>
        <v>OH</v>
      </c>
      <c r="E92" s="1" t="str">
        <f t="shared" si="8"/>
        <v>OH</v>
      </c>
      <c r="F92" s="1" t="str">
        <f t="shared" si="9"/>
        <v>Complete</v>
      </c>
      <c r="G92" s="1" t="str">
        <f>IF(COUNTIF($A$2:A92,A92)&gt;1,"Duplicate","Unique")</f>
        <v>Duplicate</v>
      </c>
    </row>
    <row r="93" spans="1:7" x14ac:dyDescent="0.25">
      <c r="A93" s="1" t="str">
        <v>AZ</v>
      </c>
      <c r="B93" s="1" t="str">
        <f t="shared" si="5"/>
        <v>AZ</v>
      </c>
      <c r="C93" s="1" t="str">
        <f t="shared" si="6"/>
        <v>AZ</v>
      </c>
      <c r="D93" s="1" t="str">
        <f t="shared" si="7"/>
        <v>AZ</v>
      </c>
      <c r="E93" s="1" t="str">
        <f t="shared" si="8"/>
        <v>AZ</v>
      </c>
      <c r="F93" s="1" t="str">
        <f t="shared" si="9"/>
        <v>Complete</v>
      </c>
      <c r="G93" s="1" t="str">
        <f>IF(COUNTIF($A$2:A93,A93)&gt;1,"Duplicate","Unique")</f>
        <v>Duplicate</v>
      </c>
    </row>
    <row r="94" spans="1:7" x14ac:dyDescent="0.25">
      <c r="A94" s="1" t="str">
        <v>MI</v>
      </c>
      <c r="B94" s="1" t="str">
        <f t="shared" si="5"/>
        <v>MI</v>
      </c>
      <c r="C94" s="1" t="str">
        <f t="shared" si="6"/>
        <v>MI</v>
      </c>
      <c r="D94" s="1" t="str">
        <f t="shared" si="7"/>
        <v>MI</v>
      </c>
      <c r="E94" s="1" t="str">
        <f t="shared" si="8"/>
        <v>MI</v>
      </c>
      <c r="F94" s="1" t="str">
        <f t="shared" si="9"/>
        <v>Complete</v>
      </c>
      <c r="G94" s="1" t="str">
        <f>IF(COUNTIF($A$2:A94,A94)&gt;1,"Duplicate","Unique")</f>
        <v>Duplicate</v>
      </c>
    </row>
    <row r="95" spans="1:7" x14ac:dyDescent="0.25">
      <c r="A95" s="1" t="str">
        <v>NV</v>
      </c>
      <c r="B95" s="1" t="str">
        <f t="shared" si="5"/>
        <v>NV</v>
      </c>
      <c r="C95" s="1" t="str">
        <f t="shared" si="6"/>
        <v>NV</v>
      </c>
      <c r="D95" s="1" t="str">
        <f t="shared" si="7"/>
        <v>NV</v>
      </c>
      <c r="E95" s="1" t="str">
        <f t="shared" si="8"/>
        <v>NV</v>
      </c>
      <c r="F95" s="1" t="str">
        <f t="shared" si="9"/>
        <v>Complete</v>
      </c>
      <c r="G95" s="1" t="str">
        <f>IF(COUNTIF($A$2:A95,A95)&gt;1,"Duplicate","Unique")</f>
        <v>Duplicate</v>
      </c>
    </row>
    <row r="96" spans="1:7" x14ac:dyDescent="0.25">
      <c r="A96" s="1" t="str">
        <v>MA</v>
      </c>
      <c r="B96" s="1" t="str">
        <f t="shared" si="5"/>
        <v>MA</v>
      </c>
      <c r="C96" s="1" t="str">
        <f t="shared" si="6"/>
        <v>MA</v>
      </c>
      <c r="D96" s="1" t="str">
        <f t="shared" si="7"/>
        <v>MA</v>
      </c>
      <c r="E96" s="1" t="str">
        <f t="shared" si="8"/>
        <v>MA</v>
      </c>
      <c r="F96" s="1" t="str">
        <f t="shared" si="9"/>
        <v>Complete</v>
      </c>
      <c r="G96" s="1" t="str">
        <f>IF(COUNTIF($A$2:A96,A96)&gt;1,"Duplicate","Unique")</f>
        <v>Duplicate</v>
      </c>
    </row>
    <row r="97" spans="1:7" x14ac:dyDescent="0.25">
      <c r="A97" s="1" t="str">
        <v>IN</v>
      </c>
      <c r="B97" s="1" t="str">
        <f t="shared" si="5"/>
        <v>IN</v>
      </c>
      <c r="C97" s="1" t="str">
        <f t="shared" si="6"/>
        <v>IN</v>
      </c>
      <c r="D97" s="1" t="str">
        <f t="shared" si="7"/>
        <v>IN</v>
      </c>
      <c r="E97" s="1" t="str">
        <f t="shared" si="8"/>
        <v>IN</v>
      </c>
      <c r="F97" s="1" t="str">
        <f t="shared" si="9"/>
        <v>Complete</v>
      </c>
      <c r="G97" s="1" t="str">
        <f>IF(COUNTIF($A$2:A97,A97)&gt;1,"Duplicate","Unique")</f>
        <v>Duplicate</v>
      </c>
    </row>
    <row r="98" spans="1:7" x14ac:dyDescent="0.25">
      <c r="A98" s="1" t="str">
        <v>AL</v>
      </c>
      <c r="B98" s="1" t="str">
        <f t="shared" si="5"/>
        <v>AL</v>
      </c>
      <c r="C98" s="1" t="str">
        <f t="shared" si="6"/>
        <v>AL</v>
      </c>
      <c r="D98" s="1" t="str">
        <f t="shared" si="7"/>
        <v>AL</v>
      </c>
      <c r="E98" s="1" t="str">
        <f t="shared" si="8"/>
        <v>AL</v>
      </c>
      <c r="F98" s="1" t="str">
        <f t="shared" si="9"/>
        <v>Complete</v>
      </c>
      <c r="G98" s="1" t="str">
        <f>IF(COUNTIF($A$2:A98,A98)&gt;1,"Duplicate","Unique")</f>
        <v>Duplicate</v>
      </c>
    </row>
    <row r="99" spans="1:7" x14ac:dyDescent="0.25">
      <c r="A99" s="1" t="str">
        <v>RI</v>
      </c>
      <c r="B99" s="1" t="str">
        <f t="shared" si="5"/>
        <v>RI</v>
      </c>
      <c r="C99" s="1" t="str">
        <f t="shared" si="6"/>
        <v>RI</v>
      </c>
      <c r="D99" s="1" t="str">
        <f t="shared" si="7"/>
        <v>RI</v>
      </c>
      <c r="E99" s="1" t="str">
        <f t="shared" si="8"/>
        <v>RI</v>
      </c>
      <c r="F99" s="1" t="str">
        <f t="shared" si="9"/>
        <v>Complete</v>
      </c>
      <c r="G99" s="1" t="str">
        <f>IF(COUNTIF($A$2:A99,A99)&gt;1,"Duplicate","Unique")</f>
        <v>Duplicate</v>
      </c>
    </row>
    <row r="100" spans="1:7" x14ac:dyDescent="0.25">
      <c r="A100" s="1" t="str">
        <v>ME</v>
      </c>
      <c r="B100" s="1" t="str">
        <f t="shared" si="5"/>
        <v>ME</v>
      </c>
      <c r="C100" s="1" t="str">
        <f t="shared" si="6"/>
        <v>ME</v>
      </c>
      <c r="D100" s="1" t="str">
        <f t="shared" si="7"/>
        <v>ME</v>
      </c>
      <c r="E100" s="1" t="str">
        <f t="shared" si="8"/>
        <v>ME</v>
      </c>
      <c r="F100" s="1" t="str">
        <f t="shared" si="9"/>
        <v>Complete</v>
      </c>
      <c r="G100" s="1" t="str">
        <f>IF(COUNTIF($A$2:A100,A100)&gt;1,"Duplicate","Unique")</f>
        <v>Unique</v>
      </c>
    </row>
    <row r="101" spans="1:7" x14ac:dyDescent="0.25">
      <c r="A101" s="1" t="str">
        <v>SD</v>
      </c>
      <c r="B101" s="1" t="str">
        <f t="shared" si="5"/>
        <v>SD</v>
      </c>
      <c r="C101" s="1" t="str">
        <f t="shared" si="6"/>
        <v>SD</v>
      </c>
      <c r="D101" s="1" t="str">
        <f t="shared" si="7"/>
        <v>SD</v>
      </c>
      <c r="E101" s="1" t="str">
        <f t="shared" si="8"/>
        <v>SD</v>
      </c>
      <c r="F101" s="1" t="str">
        <f t="shared" si="9"/>
        <v>Complete</v>
      </c>
      <c r="G101" s="1" t="str">
        <f>IF(COUNTIF($A$2:A101,A101)&gt;1,"Duplicate","Unique")</f>
        <v>Duplicate</v>
      </c>
    </row>
    <row r="102" spans="1:7" x14ac:dyDescent="0.25">
      <c r="A102" s="1" t="str">
        <v>MO</v>
      </c>
      <c r="B102" s="1" t="str">
        <f t="shared" si="5"/>
        <v>MO</v>
      </c>
      <c r="C102" s="1" t="str">
        <f t="shared" si="6"/>
        <v>MO</v>
      </c>
      <c r="D102" s="1" t="str">
        <f t="shared" si="7"/>
        <v>MO</v>
      </c>
      <c r="E102" s="1" t="str">
        <f t="shared" si="8"/>
        <v>MO</v>
      </c>
      <c r="F102" s="1" t="str">
        <f t="shared" si="9"/>
        <v>Complete</v>
      </c>
      <c r="G102" s="1" t="str">
        <f>IF(COUNTIF($A$2:A102,A102)&gt;1,"Duplicate","Unique")</f>
        <v>Duplicate</v>
      </c>
    </row>
    <row r="103" spans="1:7" x14ac:dyDescent="0.25">
      <c r="A103" s="1" t="str">
        <v>OK</v>
      </c>
      <c r="B103" s="1" t="str">
        <f t="shared" si="5"/>
        <v>OK</v>
      </c>
      <c r="C103" s="1" t="str">
        <f t="shared" si="6"/>
        <v>OK</v>
      </c>
      <c r="D103" s="1" t="str">
        <f t="shared" si="7"/>
        <v>OK</v>
      </c>
      <c r="E103" s="1" t="str">
        <f t="shared" si="8"/>
        <v>OK</v>
      </c>
      <c r="F103" s="1" t="str">
        <f t="shared" si="9"/>
        <v>Complete</v>
      </c>
      <c r="G103" s="1" t="str">
        <f>IF(COUNTIF($A$2:A103,A103)&gt;1,"Duplicate","Unique")</f>
        <v>Duplicate</v>
      </c>
    </row>
    <row r="104" spans="1:7" x14ac:dyDescent="0.25">
      <c r="A104" s="1" t="str">
        <v>IL</v>
      </c>
      <c r="B104" s="1" t="str">
        <f t="shared" si="5"/>
        <v>IL</v>
      </c>
      <c r="C104" s="1" t="str">
        <f t="shared" si="6"/>
        <v>IL</v>
      </c>
      <c r="D104" s="1" t="str">
        <f t="shared" si="7"/>
        <v>IL</v>
      </c>
      <c r="E104" s="1" t="str">
        <f t="shared" si="8"/>
        <v>IL</v>
      </c>
      <c r="F104" s="1" t="str">
        <f t="shared" si="9"/>
        <v>Complete</v>
      </c>
      <c r="G104" s="1" t="str">
        <f>IF(COUNTIF($A$2:A104,A104)&gt;1,"Duplicate","Unique")</f>
        <v>Unique</v>
      </c>
    </row>
    <row r="105" spans="1:7" x14ac:dyDescent="0.25">
      <c r="A105" s="1" t="str">
        <v>NJ</v>
      </c>
      <c r="B105" s="1" t="str">
        <f t="shared" si="5"/>
        <v>NJ</v>
      </c>
      <c r="C105" s="1" t="str">
        <f t="shared" si="6"/>
        <v>NJ</v>
      </c>
      <c r="D105" s="1" t="str">
        <f t="shared" si="7"/>
        <v>NJ</v>
      </c>
      <c r="E105" s="1" t="str">
        <f t="shared" si="8"/>
        <v>NJ</v>
      </c>
      <c r="F105" s="1" t="str">
        <f t="shared" si="9"/>
        <v>Complete</v>
      </c>
      <c r="G105" s="1" t="str">
        <f>IF(COUNTIF($A$2:A105,A105)&gt;1,"Duplicate","Unique")</f>
        <v>Unique</v>
      </c>
    </row>
    <row r="106" spans="1:7" x14ac:dyDescent="0.25">
      <c r="A106" s="1" t="str">
        <v>LA</v>
      </c>
      <c r="B106" s="1" t="str">
        <f t="shared" si="5"/>
        <v>LA</v>
      </c>
      <c r="C106" s="1" t="str">
        <f t="shared" si="6"/>
        <v>LA</v>
      </c>
      <c r="D106" s="1" t="str">
        <f t="shared" si="7"/>
        <v>LA</v>
      </c>
      <c r="E106" s="1" t="str">
        <f t="shared" si="8"/>
        <v>LA</v>
      </c>
      <c r="F106" s="1" t="str">
        <f t="shared" si="9"/>
        <v>Complete</v>
      </c>
      <c r="G106" s="1" t="str">
        <f>IF(COUNTIF($A$2:A106,A106)&gt;1,"Duplicate","Unique")</f>
        <v>Duplicate</v>
      </c>
    </row>
    <row r="107" spans="1:7" x14ac:dyDescent="0.25">
      <c r="A107" s="1" t="str">
        <v>OR</v>
      </c>
      <c r="B107" s="1" t="str">
        <f t="shared" si="5"/>
        <v>OR</v>
      </c>
      <c r="C107" s="1" t="str">
        <f t="shared" si="6"/>
        <v>OR</v>
      </c>
      <c r="D107" s="1" t="str">
        <f t="shared" si="7"/>
        <v>OR</v>
      </c>
      <c r="E107" s="1" t="str">
        <f t="shared" si="8"/>
        <v>OR</v>
      </c>
      <c r="F107" s="1" t="str">
        <f t="shared" si="9"/>
        <v>Complete</v>
      </c>
      <c r="G107" s="1" t="str">
        <f>IF(COUNTIF($A$2:A107,A107)&gt;1,"Duplicate","Unique")</f>
        <v>Duplicate</v>
      </c>
    </row>
    <row r="108" spans="1:7" x14ac:dyDescent="0.25">
      <c r="A108" s="1" t="str">
        <v>RI</v>
      </c>
      <c r="B108" s="1" t="str">
        <f t="shared" si="5"/>
        <v>RI</v>
      </c>
      <c r="C108" s="1" t="str">
        <f t="shared" si="6"/>
        <v>RI</v>
      </c>
      <c r="D108" s="1" t="str">
        <f t="shared" si="7"/>
        <v>RI</v>
      </c>
      <c r="E108" s="1" t="str">
        <f t="shared" si="8"/>
        <v>RI</v>
      </c>
      <c r="F108" s="1" t="str">
        <f t="shared" si="9"/>
        <v>Complete</v>
      </c>
      <c r="G108" s="1" t="str">
        <f>IF(COUNTIF($A$2:A108,A108)&gt;1,"Duplicate","Unique")</f>
        <v>Duplicate</v>
      </c>
    </row>
    <row r="109" spans="1:7" x14ac:dyDescent="0.25">
      <c r="A109" s="1" t="str">
        <v>NC</v>
      </c>
      <c r="B109" s="1" t="str">
        <f t="shared" si="5"/>
        <v>NC</v>
      </c>
      <c r="C109" s="1" t="str">
        <f t="shared" si="6"/>
        <v>NC</v>
      </c>
      <c r="D109" s="1" t="str">
        <f t="shared" si="7"/>
        <v>NC</v>
      </c>
      <c r="E109" s="1" t="str">
        <f t="shared" si="8"/>
        <v>NC</v>
      </c>
      <c r="F109" s="1" t="str">
        <f t="shared" si="9"/>
        <v>Complete</v>
      </c>
      <c r="G109" s="1" t="str">
        <f>IF(COUNTIF($A$2:A109,A109)&gt;1,"Duplicate","Unique")</f>
        <v>Duplicate</v>
      </c>
    </row>
    <row r="110" spans="1:7" x14ac:dyDescent="0.25">
      <c r="A110" s="1" t="str">
        <v>MD</v>
      </c>
      <c r="B110" s="1" t="str">
        <f t="shared" si="5"/>
        <v>MD</v>
      </c>
      <c r="C110" s="1" t="str">
        <f t="shared" si="6"/>
        <v>MD</v>
      </c>
      <c r="D110" s="1" t="str">
        <f t="shared" si="7"/>
        <v>MD</v>
      </c>
      <c r="E110" s="1" t="str">
        <f t="shared" si="8"/>
        <v>MD</v>
      </c>
      <c r="F110" s="1" t="str">
        <f t="shared" si="9"/>
        <v>Complete</v>
      </c>
      <c r="G110" s="1" t="str">
        <f>IF(COUNTIF($A$2:A110,A110)&gt;1,"Duplicate","Unique")</f>
        <v>Unique</v>
      </c>
    </row>
    <row r="111" spans="1:7" x14ac:dyDescent="0.25">
      <c r="A111" s="1" t="str">
        <v>WI</v>
      </c>
      <c r="B111" s="1" t="str">
        <f t="shared" si="5"/>
        <v>WI</v>
      </c>
      <c r="C111" s="1" t="str">
        <f t="shared" si="6"/>
        <v>WI</v>
      </c>
      <c r="D111" s="1" t="str">
        <f t="shared" si="7"/>
        <v>WI</v>
      </c>
      <c r="E111" s="1" t="str">
        <f t="shared" si="8"/>
        <v>WI</v>
      </c>
      <c r="F111" s="1" t="str">
        <f t="shared" si="9"/>
        <v>Complete</v>
      </c>
      <c r="G111" s="1" t="str">
        <f>IF(COUNTIF($A$2:A111,A111)&gt;1,"Duplicate","Unique")</f>
        <v>Duplicate</v>
      </c>
    </row>
    <row r="112" spans="1:7" x14ac:dyDescent="0.25">
      <c r="A112" s="1" t="str">
        <v>VT</v>
      </c>
      <c r="B112" s="1" t="str">
        <f t="shared" si="5"/>
        <v>VT</v>
      </c>
      <c r="C112" s="1" t="str">
        <f t="shared" si="6"/>
        <v>VT</v>
      </c>
      <c r="D112" s="1" t="str">
        <f t="shared" si="7"/>
        <v>VT</v>
      </c>
      <c r="E112" s="1" t="str">
        <f t="shared" si="8"/>
        <v>VT</v>
      </c>
      <c r="F112" s="1" t="str">
        <f t="shared" si="9"/>
        <v>Complete</v>
      </c>
      <c r="G112" s="1" t="str">
        <f>IF(COUNTIF($A$2:A112,A112)&gt;1,"Duplicate","Unique")</f>
        <v>Duplicate</v>
      </c>
    </row>
    <row r="113" spans="1:7" x14ac:dyDescent="0.25">
      <c r="A113" s="1" t="str">
        <v>NY</v>
      </c>
      <c r="B113" s="1" t="str">
        <f t="shared" si="5"/>
        <v>NY</v>
      </c>
      <c r="C113" s="1" t="str">
        <f t="shared" si="6"/>
        <v>NY</v>
      </c>
      <c r="D113" s="1" t="str">
        <f t="shared" si="7"/>
        <v>NY</v>
      </c>
      <c r="E113" s="1" t="str">
        <f t="shared" si="8"/>
        <v>NY</v>
      </c>
      <c r="F113" s="1" t="str">
        <f t="shared" si="9"/>
        <v>Complete</v>
      </c>
      <c r="G113" s="1" t="str">
        <f>IF(COUNTIF($A$2:A113,A113)&gt;1,"Duplicate","Unique")</f>
        <v>Duplicate</v>
      </c>
    </row>
    <row r="114" spans="1:7" x14ac:dyDescent="0.25">
      <c r="A114" s="1" t="str">
        <v>VT</v>
      </c>
      <c r="B114" s="1" t="str">
        <f t="shared" si="5"/>
        <v>VT</v>
      </c>
      <c r="C114" s="1" t="str">
        <f t="shared" si="6"/>
        <v>VT</v>
      </c>
      <c r="D114" s="1" t="str">
        <f t="shared" si="7"/>
        <v>VT</v>
      </c>
      <c r="E114" s="1" t="str">
        <f t="shared" si="8"/>
        <v>VT</v>
      </c>
      <c r="F114" s="1" t="str">
        <f t="shared" si="9"/>
        <v>Complete</v>
      </c>
      <c r="G114" s="1" t="str">
        <f>IF(COUNTIF($A$2:A114,A114)&gt;1,"Duplicate","Unique")</f>
        <v>Duplicate</v>
      </c>
    </row>
    <row r="115" spans="1:7" x14ac:dyDescent="0.25">
      <c r="A115" s="1" t="str">
        <v>AZ</v>
      </c>
      <c r="B115" s="1" t="str">
        <f t="shared" si="5"/>
        <v>AZ</v>
      </c>
      <c r="C115" s="1" t="str">
        <f t="shared" si="6"/>
        <v>AZ</v>
      </c>
      <c r="D115" s="1" t="str">
        <f t="shared" si="7"/>
        <v>AZ</v>
      </c>
      <c r="E115" s="1" t="str">
        <f t="shared" si="8"/>
        <v>AZ</v>
      </c>
      <c r="F115" s="1" t="str">
        <f t="shared" si="9"/>
        <v>Complete</v>
      </c>
      <c r="G115" s="1" t="str">
        <f>IF(COUNTIF($A$2:A115,A115)&gt;1,"Duplicate","Unique")</f>
        <v>Duplicate</v>
      </c>
    </row>
    <row r="116" spans="1:7" x14ac:dyDescent="0.25">
      <c r="A116" s="1" t="str">
        <v>WV</v>
      </c>
      <c r="B116" s="1" t="str">
        <f t="shared" si="5"/>
        <v>WV</v>
      </c>
      <c r="C116" s="1" t="str">
        <f t="shared" si="6"/>
        <v>WV</v>
      </c>
      <c r="D116" s="1" t="str">
        <f t="shared" si="7"/>
        <v>WV</v>
      </c>
      <c r="E116" s="1" t="str">
        <f t="shared" si="8"/>
        <v>WV</v>
      </c>
      <c r="F116" s="1" t="str">
        <f t="shared" si="9"/>
        <v>Complete</v>
      </c>
      <c r="G116" s="1" t="str">
        <f>IF(COUNTIF($A$2:A116,A116)&gt;1,"Duplicate","Unique")</f>
        <v>Unique</v>
      </c>
    </row>
    <row r="117" spans="1:7" x14ac:dyDescent="0.25">
      <c r="A117" s="1" t="str">
        <v>OK</v>
      </c>
      <c r="B117" s="1" t="str">
        <f t="shared" si="5"/>
        <v>OK</v>
      </c>
      <c r="C117" s="1" t="str">
        <f t="shared" si="6"/>
        <v>OK</v>
      </c>
      <c r="D117" s="1" t="str">
        <f t="shared" si="7"/>
        <v>OK</v>
      </c>
      <c r="E117" s="1" t="str">
        <f t="shared" si="8"/>
        <v>OK</v>
      </c>
      <c r="F117" s="1" t="str">
        <f t="shared" si="9"/>
        <v>Complete</v>
      </c>
      <c r="G117" s="1" t="str">
        <f>IF(COUNTIF($A$2:A117,A117)&gt;1,"Duplicate","Unique")</f>
        <v>Duplicate</v>
      </c>
    </row>
    <row r="118" spans="1:7" x14ac:dyDescent="0.25">
      <c r="A118" s="1" t="str">
        <v>WI</v>
      </c>
      <c r="B118" s="1" t="str">
        <f t="shared" si="5"/>
        <v>WI</v>
      </c>
      <c r="C118" s="1" t="str">
        <f t="shared" si="6"/>
        <v>WI</v>
      </c>
      <c r="D118" s="1" t="str">
        <f t="shared" si="7"/>
        <v>WI</v>
      </c>
      <c r="E118" s="1" t="str">
        <f t="shared" si="8"/>
        <v>WI</v>
      </c>
      <c r="F118" s="1" t="str">
        <f t="shared" si="9"/>
        <v>Complete</v>
      </c>
      <c r="G118" s="1" t="str">
        <f>IF(COUNTIF($A$2:A118,A118)&gt;1,"Duplicate","Unique")</f>
        <v>Duplicate</v>
      </c>
    </row>
    <row r="119" spans="1:7" x14ac:dyDescent="0.25">
      <c r="A119" s="1" t="str">
        <v>PA</v>
      </c>
      <c r="B119" s="1" t="str">
        <f t="shared" si="5"/>
        <v>PA</v>
      </c>
      <c r="C119" s="1" t="str">
        <f t="shared" si="6"/>
        <v>PA</v>
      </c>
      <c r="D119" s="1" t="str">
        <f t="shared" si="7"/>
        <v>PA</v>
      </c>
      <c r="E119" s="1" t="str">
        <f t="shared" si="8"/>
        <v>PA</v>
      </c>
      <c r="F119" s="1" t="str">
        <f t="shared" si="9"/>
        <v>Complete</v>
      </c>
      <c r="G119" s="1" t="str">
        <f>IF(COUNTIF($A$2:A119,A119)&gt;1,"Duplicate","Unique")</f>
        <v>Unique</v>
      </c>
    </row>
    <row r="120" spans="1:7" x14ac:dyDescent="0.25">
      <c r="A120" s="1" t="str">
        <v>NY</v>
      </c>
      <c r="B120" s="1" t="str">
        <f t="shared" si="5"/>
        <v>NY</v>
      </c>
      <c r="C120" s="1" t="str">
        <f t="shared" si="6"/>
        <v>NY</v>
      </c>
      <c r="D120" s="1" t="str">
        <f t="shared" si="7"/>
        <v>NY</v>
      </c>
      <c r="E120" s="1" t="str">
        <f t="shared" si="8"/>
        <v>NY</v>
      </c>
      <c r="F120" s="1" t="str">
        <f t="shared" si="9"/>
        <v>Complete</v>
      </c>
      <c r="G120" s="1" t="str">
        <f>IF(COUNTIF($A$2:A120,A120)&gt;1,"Duplicate","Unique")</f>
        <v>Duplicate</v>
      </c>
    </row>
    <row r="121" spans="1:7" x14ac:dyDescent="0.25">
      <c r="A121" s="1" t="str">
        <v>NM</v>
      </c>
      <c r="B121" s="1" t="str">
        <f t="shared" si="5"/>
        <v>NM</v>
      </c>
      <c r="C121" s="1" t="str">
        <f t="shared" si="6"/>
        <v>NM</v>
      </c>
      <c r="D121" s="1" t="str">
        <f t="shared" si="7"/>
        <v>NM</v>
      </c>
      <c r="E121" s="1" t="str">
        <f t="shared" si="8"/>
        <v>NM</v>
      </c>
      <c r="F121" s="1" t="str">
        <f t="shared" si="9"/>
        <v>Complete</v>
      </c>
      <c r="G121" s="1" t="str">
        <f>IF(COUNTIF($A$2:A121,A121)&gt;1,"Duplicate","Unique")</f>
        <v>Duplicate</v>
      </c>
    </row>
    <row r="122" spans="1:7" x14ac:dyDescent="0.25">
      <c r="A122" s="1" t="str">
        <v>NC</v>
      </c>
      <c r="B122" s="1" t="str">
        <f t="shared" si="5"/>
        <v>NC</v>
      </c>
      <c r="C122" s="1" t="str">
        <f t="shared" si="6"/>
        <v>NC</v>
      </c>
      <c r="D122" s="1" t="str">
        <f t="shared" si="7"/>
        <v>NC</v>
      </c>
      <c r="E122" s="1" t="str">
        <f t="shared" si="8"/>
        <v>NC</v>
      </c>
      <c r="F122" s="1" t="str">
        <f t="shared" si="9"/>
        <v>Complete</v>
      </c>
      <c r="G122" s="1" t="str">
        <f>IF(COUNTIF($A$2:A122,A122)&gt;1,"Duplicate","Unique")</f>
        <v>Duplicate</v>
      </c>
    </row>
    <row r="123" spans="1:7" x14ac:dyDescent="0.25">
      <c r="A123" s="1" t="str">
        <v>WY</v>
      </c>
      <c r="B123" s="1" t="str">
        <f t="shared" si="5"/>
        <v>WY</v>
      </c>
      <c r="C123" s="1" t="str">
        <f t="shared" si="6"/>
        <v>WY</v>
      </c>
      <c r="D123" s="1" t="str">
        <f t="shared" si="7"/>
        <v>WY</v>
      </c>
      <c r="E123" s="1" t="str">
        <f t="shared" si="8"/>
        <v>WY</v>
      </c>
      <c r="F123" s="1" t="str">
        <f t="shared" si="9"/>
        <v>Complete</v>
      </c>
      <c r="G123" s="1" t="str">
        <f>IF(COUNTIF($A$2:A123,A123)&gt;1,"Duplicate","Unique")</f>
        <v>Duplicate</v>
      </c>
    </row>
    <row r="124" spans="1:7" x14ac:dyDescent="0.25">
      <c r="A124" s="1" t="str">
        <v>PA</v>
      </c>
      <c r="B124" s="1" t="str">
        <f t="shared" si="5"/>
        <v>PA</v>
      </c>
      <c r="C124" s="1" t="str">
        <f t="shared" si="6"/>
        <v>PA</v>
      </c>
      <c r="D124" s="1" t="str">
        <f t="shared" si="7"/>
        <v>PA</v>
      </c>
      <c r="E124" s="1" t="str">
        <f t="shared" si="8"/>
        <v>PA</v>
      </c>
      <c r="F124" s="1" t="str">
        <f t="shared" si="9"/>
        <v>Complete</v>
      </c>
      <c r="G124" s="1" t="str">
        <f>IF(COUNTIF($A$2:A124,A124)&gt;1,"Duplicate","Unique")</f>
        <v>Duplicate</v>
      </c>
    </row>
    <row r="125" spans="1:7" x14ac:dyDescent="0.25">
      <c r="A125" s="1" t="str">
        <v>NV</v>
      </c>
      <c r="B125" s="1" t="str">
        <f t="shared" si="5"/>
        <v>NV</v>
      </c>
      <c r="C125" s="1" t="str">
        <f t="shared" si="6"/>
        <v>NV</v>
      </c>
      <c r="D125" s="1" t="str">
        <f t="shared" si="7"/>
        <v>NV</v>
      </c>
      <c r="E125" s="1" t="str">
        <f t="shared" si="8"/>
        <v>NV</v>
      </c>
      <c r="F125" s="1" t="str">
        <f t="shared" si="9"/>
        <v>Complete</v>
      </c>
      <c r="G125" s="1" t="str">
        <f>IF(COUNTIF($A$2:A125,A125)&gt;1,"Duplicate","Unique")</f>
        <v>Duplicate</v>
      </c>
    </row>
    <row r="126" spans="1:7" x14ac:dyDescent="0.25">
      <c r="A126" s="1" t="str">
        <v>WA</v>
      </c>
      <c r="B126" s="1" t="str">
        <f t="shared" si="5"/>
        <v>WA</v>
      </c>
      <c r="C126" s="1" t="str">
        <f t="shared" si="6"/>
        <v>WA</v>
      </c>
      <c r="D126" s="1" t="str">
        <f t="shared" si="7"/>
        <v>WA</v>
      </c>
      <c r="E126" s="1" t="str">
        <f t="shared" si="8"/>
        <v>WA</v>
      </c>
      <c r="F126" s="1" t="str">
        <f t="shared" si="9"/>
        <v>Complete</v>
      </c>
      <c r="G126" s="1" t="str">
        <f>IF(COUNTIF($A$2:A126,A126)&gt;1,"Duplicate","Unique")</f>
        <v>Duplicate</v>
      </c>
    </row>
    <row r="127" spans="1:7" x14ac:dyDescent="0.25">
      <c r="A127" s="1" t="str">
        <v>FL</v>
      </c>
      <c r="B127" s="1" t="str">
        <f t="shared" si="5"/>
        <v>FL</v>
      </c>
      <c r="C127" s="1" t="str">
        <f t="shared" si="6"/>
        <v>FL</v>
      </c>
      <c r="D127" s="1" t="str">
        <f t="shared" si="7"/>
        <v>FL</v>
      </c>
      <c r="E127" s="1" t="str">
        <f t="shared" si="8"/>
        <v>FL</v>
      </c>
      <c r="F127" s="1" t="str">
        <f t="shared" si="9"/>
        <v>Complete</v>
      </c>
      <c r="G127" s="1" t="str">
        <f>IF(COUNTIF($A$2:A127,A127)&gt;1,"Duplicate","Unique")</f>
        <v>Duplicate</v>
      </c>
    </row>
    <row r="128" spans="1:7" x14ac:dyDescent="0.25">
      <c r="A128" s="1" t="str">
        <v>ME</v>
      </c>
      <c r="B128" s="1" t="str">
        <f t="shared" si="5"/>
        <v>ME</v>
      </c>
      <c r="C128" s="1" t="str">
        <f t="shared" si="6"/>
        <v>ME</v>
      </c>
      <c r="D128" s="1" t="str">
        <f t="shared" si="7"/>
        <v>ME</v>
      </c>
      <c r="E128" s="1" t="str">
        <f t="shared" si="8"/>
        <v>ME</v>
      </c>
      <c r="F128" s="1" t="str">
        <f t="shared" si="9"/>
        <v>Complete</v>
      </c>
      <c r="G128" s="1" t="str">
        <f>IF(COUNTIF($A$2:A128,A128)&gt;1,"Duplicate","Unique")</f>
        <v>Duplicate</v>
      </c>
    </row>
    <row r="129" spans="1:7" x14ac:dyDescent="0.25">
      <c r="A129" s="1" t="str">
        <v>LA</v>
      </c>
      <c r="B129" s="1" t="str">
        <f t="shared" si="5"/>
        <v>LA</v>
      </c>
      <c r="C129" s="1" t="str">
        <f t="shared" si="6"/>
        <v>LA</v>
      </c>
      <c r="D129" s="1" t="str">
        <f t="shared" si="7"/>
        <v>LA</v>
      </c>
      <c r="E129" s="1" t="str">
        <f t="shared" si="8"/>
        <v>LA</v>
      </c>
      <c r="F129" s="1" t="str">
        <f t="shared" si="9"/>
        <v>Complete</v>
      </c>
      <c r="G129" s="1" t="str">
        <f>IF(COUNTIF($A$2:A129,A129)&gt;1,"Duplicate","Unique")</f>
        <v>Duplicate</v>
      </c>
    </row>
    <row r="130" spans="1:7" x14ac:dyDescent="0.25">
      <c r="A130" s="1" t="str">
        <v>KS</v>
      </c>
      <c r="B130" s="1" t="str">
        <f t="shared" si="5"/>
        <v>KS</v>
      </c>
      <c r="C130" s="1" t="str">
        <f t="shared" si="6"/>
        <v>KS</v>
      </c>
      <c r="D130" s="1" t="str">
        <f t="shared" si="7"/>
        <v>KS</v>
      </c>
      <c r="E130" s="1" t="str">
        <f t="shared" si="8"/>
        <v>KS</v>
      </c>
      <c r="F130" s="1" t="str">
        <f t="shared" si="9"/>
        <v>Complete</v>
      </c>
      <c r="G130" s="1" t="str">
        <f>IF(COUNTIF($A$2:A130,A130)&gt;1,"Duplicate","Unique")</f>
        <v>Duplicate</v>
      </c>
    </row>
    <row r="131" spans="1:7" x14ac:dyDescent="0.25">
      <c r="A131" s="1" t="str">
        <v>ND</v>
      </c>
      <c r="B131" s="1" t="str">
        <f t="shared" ref="B131:B194" si="10">TRIM(A131)</f>
        <v>ND</v>
      </c>
      <c r="C131" s="1" t="str">
        <f t="shared" ref="C131:C194" si="11">CLEAN(A131)</f>
        <v>ND</v>
      </c>
      <c r="D131" s="1" t="str">
        <f t="shared" ref="D131:D194" si="12">TRIM(CLEAN(A131))</f>
        <v>ND</v>
      </c>
      <c r="E131" s="1" t="str">
        <f t="shared" ref="E131:E194" si="13">SUBSTITUTE(D131," ","")</f>
        <v>ND</v>
      </c>
      <c r="F131" s="1" t="str">
        <f t="shared" ref="F131:F194" si="14">IF(ISBLANK(A131),"Missing","Complete")</f>
        <v>Complete</v>
      </c>
      <c r="G131" s="1" t="str">
        <f>IF(COUNTIF($A$2:A131,A131)&gt;1,"Duplicate","Unique")</f>
        <v>Unique</v>
      </c>
    </row>
    <row r="132" spans="1:7" x14ac:dyDescent="0.25">
      <c r="A132" s="1" t="str">
        <v>WV</v>
      </c>
      <c r="B132" s="1" t="str">
        <f t="shared" si="10"/>
        <v>WV</v>
      </c>
      <c r="C132" s="1" t="str">
        <f t="shared" si="11"/>
        <v>WV</v>
      </c>
      <c r="D132" s="1" t="str">
        <f t="shared" si="12"/>
        <v>WV</v>
      </c>
      <c r="E132" s="1" t="str">
        <f t="shared" si="13"/>
        <v>WV</v>
      </c>
      <c r="F132" s="1" t="str">
        <f t="shared" si="14"/>
        <v>Complete</v>
      </c>
      <c r="G132" s="1" t="str">
        <f>IF(COUNTIF($A$2:A132,A132)&gt;1,"Duplicate","Unique")</f>
        <v>Duplicate</v>
      </c>
    </row>
    <row r="133" spans="1:7" x14ac:dyDescent="0.25">
      <c r="A133" s="1" t="str">
        <v>AR</v>
      </c>
      <c r="B133" s="1" t="str">
        <f t="shared" si="10"/>
        <v>AR</v>
      </c>
      <c r="C133" s="1" t="str">
        <f t="shared" si="11"/>
        <v>AR</v>
      </c>
      <c r="D133" s="1" t="str">
        <f t="shared" si="12"/>
        <v>AR</v>
      </c>
      <c r="E133" s="1" t="str">
        <f t="shared" si="13"/>
        <v>AR</v>
      </c>
      <c r="F133" s="1" t="str">
        <f t="shared" si="14"/>
        <v>Complete</v>
      </c>
      <c r="G133" s="1" t="str">
        <f>IF(COUNTIF($A$2:A133,A133)&gt;1,"Duplicate","Unique")</f>
        <v>Unique</v>
      </c>
    </row>
    <row r="134" spans="1:7" x14ac:dyDescent="0.25">
      <c r="A134" s="1" t="str">
        <v>CA</v>
      </c>
      <c r="B134" s="1" t="str">
        <f t="shared" si="10"/>
        <v>CA</v>
      </c>
      <c r="C134" s="1" t="str">
        <f t="shared" si="11"/>
        <v>CA</v>
      </c>
      <c r="D134" s="1" t="str">
        <f t="shared" si="12"/>
        <v>CA</v>
      </c>
      <c r="E134" s="1" t="str">
        <f t="shared" si="13"/>
        <v>CA</v>
      </c>
      <c r="F134" s="1" t="str">
        <f t="shared" si="14"/>
        <v>Complete</v>
      </c>
      <c r="G134" s="1" t="str">
        <f>IF(COUNTIF($A$2:A134,A134)&gt;1,"Duplicate","Unique")</f>
        <v>Duplicate</v>
      </c>
    </row>
    <row r="135" spans="1:7" x14ac:dyDescent="0.25">
      <c r="A135" s="1" t="str">
        <v>MN</v>
      </c>
      <c r="B135" s="1" t="str">
        <f t="shared" si="10"/>
        <v>MN</v>
      </c>
      <c r="C135" s="1" t="str">
        <f t="shared" si="11"/>
        <v>MN</v>
      </c>
      <c r="D135" s="1" t="str">
        <f t="shared" si="12"/>
        <v>MN</v>
      </c>
      <c r="E135" s="1" t="str">
        <f t="shared" si="13"/>
        <v>MN</v>
      </c>
      <c r="F135" s="1" t="str">
        <f t="shared" si="14"/>
        <v>Complete</v>
      </c>
      <c r="G135" s="1" t="str">
        <f>IF(COUNTIF($A$2:A135,A135)&gt;1,"Duplicate","Unique")</f>
        <v>Duplicate</v>
      </c>
    </row>
    <row r="136" spans="1:7" x14ac:dyDescent="0.25">
      <c r="A136" s="1" t="str">
        <v>MT</v>
      </c>
      <c r="B136" s="1" t="str">
        <f t="shared" si="10"/>
        <v>MT</v>
      </c>
      <c r="C136" s="1" t="str">
        <f t="shared" si="11"/>
        <v>MT</v>
      </c>
      <c r="D136" s="1" t="str">
        <f t="shared" si="12"/>
        <v>MT</v>
      </c>
      <c r="E136" s="1" t="str">
        <f t="shared" si="13"/>
        <v>MT</v>
      </c>
      <c r="F136" s="1" t="str">
        <f t="shared" si="14"/>
        <v>Complete</v>
      </c>
      <c r="G136" s="1" t="str">
        <f>IF(COUNTIF($A$2:A136,A136)&gt;1,"Duplicate","Unique")</f>
        <v>Duplicate</v>
      </c>
    </row>
    <row r="137" spans="1:7" x14ac:dyDescent="0.25">
      <c r="A137" s="1" t="str">
        <v>SD</v>
      </c>
      <c r="B137" s="1" t="str">
        <f t="shared" si="10"/>
        <v>SD</v>
      </c>
      <c r="C137" s="1" t="str">
        <f t="shared" si="11"/>
        <v>SD</v>
      </c>
      <c r="D137" s="1" t="str">
        <f t="shared" si="12"/>
        <v>SD</v>
      </c>
      <c r="E137" s="1" t="str">
        <f t="shared" si="13"/>
        <v>SD</v>
      </c>
      <c r="F137" s="1" t="str">
        <f t="shared" si="14"/>
        <v>Complete</v>
      </c>
      <c r="G137" s="1" t="str">
        <f>IF(COUNTIF($A$2:A137,A137)&gt;1,"Duplicate","Unique")</f>
        <v>Duplicate</v>
      </c>
    </row>
    <row r="138" spans="1:7" x14ac:dyDescent="0.25">
      <c r="A138" s="1" t="str">
        <v>MT</v>
      </c>
      <c r="B138" s="1" t="str">
        <f t="shared" si="10"/>
        <v>MT</v>
      </c>
      <c r="C138" s="1" t="str">
        <f t="shared" si="11"/>
        <v>MT</v>
      </c>
      <c r="D138" s="1" t="str">
        <f t="shared" si="12"/>
        <v>MT</v>
      </c>
      <c r="E138" s="1" t="str">
        <f t="shared" si="13"/>
        <v>MT</v>
      </c>
      <c r="F138" s="1" t="str">
        <f t="shared" si="14"/>
        <v>Complete</v>
      </c>
      <c r="G138" s="1" t="str">
        <f>IF(COUNTIF($A$2:A138,A138)&gt;1,"Duplicate","Unique")</f>
        <v>Duplicate</v>
      </c>
    </row>
    <row r="139" spans="1:7" x14ac:dyDescent="0.25">
      <c r="A139" s="1" t="str">
        <v>WV</v>
      </c>
      <c r="B139" s="1" t="str">
        <f t="shared" si="10"/>
        <v>WV</v>
      </c>
      <c r="C139" s="1" t="str">
        <f t="shared" si="11"/>
        <v>WV</v>
      </c>
      <c r="D139" s="1" t="str">
        <f t="shared" si="12"/>
        <v>WV</v>
      </c>
      <c r="E139" s="1" t="str">
        <f t="shared" si="13"/>
        <v>WV</v>
      </c>
      <c r="F139" s="1" t="str">
        <f t="shared" si="14"/>
        <v>Complete</v>
      </c>
      <c r="G139" s="1" t="str">
        <f>IF(COUNTIF($A$2:A139,A139)&gt;1,"Duplicate","Unique")</f>
        <v>Duplicate</v>
      </c>
    </row>
    <row r="140" spans="1:7" x14ac:dyDescent="0.25">
      <c r="A140" s="1" t="str">
        <v>CT</v>
      </c>
      <c r="B140" s="1" t="str">
        <f t="shared" si="10"/>
        <v>CT</v>
      </c>
      <c r="C140" s="1" t="str">
        <f t="shared" si="11"/>
        <v>CT</v>
      </c>
      <c r="D140" s="1" t="str">
        <f t="shared" si="12"/>
        <v>CT</v>
      </c>
      <c r="E140" s="1" t="str">
        <f t="shared" si="13"/>
        <v>CT</v>
      </c>
      <c r="F140" s="1" t="str">
        <f t="shared" si="14"/>
        <v>Complete</v>
      </c>
      <c r="G140" s="1" t="str">
        <f>IF(COUNTIF($A$2:A140,A140)&gt;1,"Duplicate","Unique")</f>
        <v>Duplicate</v>
      </c>
    </row>
    <row r="141" spans="1:7" x14ac:dyDescent="0.25">
      <c r="A141" s="1" t="str">
        <v>DE</v>
      </c>
      <c r="B141" s="1" t="str">
        <f t="shared" si="10"/>
        <v>DE</v>
      </c>
      <c r="C141" s="1" t="str">
        <f t="shared" si="11"/>
        <v>DE</v>
      </c>
      <c r="D141" s="1" t="str">
        <f t="shared" si="12"/>
        <v>DE</v>
      </c>
      <c r="E141" s="1" t="str">
        <f t="shared" si="13"/>
        <v>DE</v>
      </c>
      <c r="F141" s="1" t="str">
        <f t="shared" si="14"/>
        <v>Complete</v>
      </c>
      <c r="G141" s="1" t="str">
        <f>IF(COUNTIF($A$2:A141,A141)&gt;1,"Duplicate","Unique")</f>
        <v>Duplicate</v>
      </c>
    </row>
    <row r="142" spans="1:7" x14ac:dyDescent="0.25">
      <c r="A142" s="1" t="str">
        <v>LA</v>
      </c>
      <c r="B142" s="1" t="str">
        <f t="shared" si="10"/>
        <v>LA</v>
      </c>
      <c r="C142" s="1" t="str">
        <f t="shared" si="11"/>
        <v>LA</v>
      </c>
      <c r="D142" s="1" t="str">
        <f t="shared" si="12"/>
        <v>LA</v>
      </c>
      <c r="E142" s="1" t="str">
        <f t="shared" si="13"/>
        <v>LA</v>
      </c>
      <c r="F142" s="1" t="str">
        <f t="shared" si="14"/>
        <v>Complete</v>
      </c>
      <c r="G142" s="1" t="str">
        <f>IF(COUNTIF($A$2:A142,A142)&gt;1,"Duplicate","Unique")</f>
        <v>Duplicate</v>
      </c>
    </row>
    <row r="143" spans="1:7" x14ac:dyDescent="0.25">
      <c r="A143" s="1" t="str">
        <v>KS</v>
      </c>
      <c r="B143" s="1" t="str">
        <f t="shared" si="10"/>
        <v>KS</v>
      </c>
      <c r="C143" s="1" t="str">
        <f t="shared" si="11"/>
        <v>KS</v>
      </c>
      <c r="D143" s="1" t="str">
        <f t="shared" si="12"/>
        <v>KS</v>
      </c>
      <c r="E143" s="1" t="str">
        <f t="shared" si="13"/>
        <v>KS</v>
      </c>
      <c r="F143" s="1" t="str">
        <f t="shared" si="14"/>
        <v>Complete</v>
      </c>
      <c r="G143" s="1" t="str">
        <f>IF(COUNTIF($A$2:A143,A143)&gt;1,"Duplicate","Unique")</f>
        <v>Duplicate</v>
      </c>
    </row>
    <row r="144" spans="1:7" x14ac:dyDescent="0.25">
      <c r="A144" s="1" t="str">
        <v>WV</v>
      </c>
      <c r="B144" s="1" t="str">
        <f t="shared" si="10"/>
        <v>WV</v>
      </c>
      <c r="C144" s="1" t="str">
        <f t="shared" si="11"/>
        <v>WV</v>
      </c>
      <c r="D144" s="1" t="str">
        <f t="shared" si="12"/>
        <v>WV</v>
      </c>
      <c r="E144" s="1" t="str">
        <f t="shared" si="13"/>
        <v>WV</v>
      </c>
      <c r="F144" s="1" t="str">
        <f t="shared" si="14"/>
        <v>Complete</v>
      </c>
      <c r="G144" s="1" t="str">
        <f>IF(COUNTIF($A$2:A144,A144)&gt;1,"Duplicate","Unique")</f>
        <v>Duplicate</v>
      </c>
    </row>
    <row r="145" spans="1:7" x14ac:dyDescent="0.25">
      <c r="A145" s="1" t="str">
        <v>ND</v>
      </c>
      <c r="B145" s="1" t="str">
        <f t="shared" si="10"/>
        <v>ND</v>
      </c>
      <c r="C145" s="1" t="str">
        <f t="shared" si="11"/>
        <v>ND</v>
      </c>
      <c r="D145" s="1" t="str">
        <f t="shared" si="12"/>
        <v>ND</v>
      </c>
      <c r="E145" s="1" t="str">
        <f t="shared" si="13"/>
        <v>ND</v>
      </c>
      <c r="F145" s="1" t="str">
        <f t="shared" si="14"/>
        <v>Complete</v>
      </c>
      <c r="G145" s="1" t="str">
        <f>IF(COUNTIF($A$2:A145,A145)&gt;1,"Duplicate","Unique")</f>
        <v>Duplicate</v>
      </c>
    </row>
    <row r="146" spans="1:7" x14ac:dyDescent="0.25">
      <c r="A146" s="1" t="str">
        <v>AK</v>
      </c>
      <c r="B146" s="1" t="str">
        <f t="shared" si="10"/>
        <v>AK</v>
      </c>
      <c r="C146" s="1" t="str">
        <f t="shared" si="11"/>
        <v>AK</v>
      </c>
      <c r="D146" s="1" t="str">
        <f t="shared" si="12"/>
        <v>AK</v>
      </c>
      <c r="E146" s="1" t="str">
        <f t="shared" si="13"/>
        <v>AK</v>
      </c>
      <c r="F146" s="1" t="str">
        <f t="shared" si="14"/>
        <v>Complete</v>
      </c>
      <c r="G146" s="1" t="str">
        <f>IF(COUNTIF($A$2:A146,A146)&gt;1,"Duplicate","Unique")</f>
        <v>Duplicate</v>
      </c>
    </row>
    <row r="147" spans="1:7" x14ac:dyDescent="0.25">
      <c r="A147" s="1" t="str">
        <v>ME</v>
      </c>
      <c r="B147" s="1" t="str">
        <f t="shared" si="10"/>
        <v>ME</v>
      </c>
      <c r="C147" s="1" t="str">
        <f t="shared" si="11"/>
        <v>ME</v>
      </c>
      <c r="D147" s="1" t="str">
        <f t="shared" si="12"/>
        <v>ME</v>
      </c>
      <c r="E147" s="1" t="str">
        <f t="shared" si="13"/>
        <v>ME</v>
      </c>
      <c r="F147" s="1" t="str">
        <f t="shared" si="14"/>
        <v>Complete</v>
      </c>
      <c r="G147" s="1" t="str">
        <f>IF(COUNTIF($A$2:A147,A147)&gt;1,"Duplicate","Unique")</f>
        <v>Duplicate</v>
      </c>
    </row>
    <row r="148" spans="1:7" x14ac:dyDescent="0.25">
      <c r="A148" s="1" t="str">
        <v>MN</v>
      </c>
      <c r="B148" s="1" t="str">
        <f t="shared" si="10"/>
        <v>MN</v>
      </c>
      <c r="C148" s="1" t="str">
        <f t="shared" si="11"/>
        <v>MN</v>
      </c>
      <c r="D148" s="1" t="str">
        <f t="shared" si="12"/>
        <v>MN</v>
      </c>
      <c r="E148" s="1" t="str">
        <f t="shared" si="13"/>
        <v>MN</v>
      </c>
      <c r="F148" s="1" t="str">
        <f t="shared" si="14"/>
        <v>Complete</v>
      </c>
      <c r="G148" s="1" t="str">
        <f>IF(COUNTIF($A$2:A148,A148)&gt;1,"Duplicate","Unique")</f>
        <v>Duplicate</v>
      </c>
    </row>
    <row r="149" spans="1:7" x14ac:dyDescent="0.25">
      <c r="A149" s="1" t="str">
        <v>KS</v>
      </c>
      <c r="B149" s="1" t="str">
        <f t="shared" si="10"/>
        <v>KS</v>
      </c>
      <c r="C149" s="1" t="str">
        <f t="shared" si="11"/>
        <v>KS</v>
      </c>
      <c r="D149" s="1" t="str">
        <f t="shared" si="12"/>
        <v>KS</v>
      </c>
      <c r="E149" s="1" t="str">
        <f t="shared" si="13"/>
        <v>KS</v>
      </c>
      <c r="F149" s="1" t="str">
        <f t="shared" si="14"/>
        <v>Complete</v>
      </c>
      <c r="G149" s="1" t="str">
        <f>IF(COUNTIF($A$2:A149,A149)&gt;1,"Duplicate","Unique")</f>
        <v>Duplicate</v>
      </c>
    </row>
    <row r="150" spans="1:7" x14ac:dyDescent="0.25">
      <c r="A150" s="1" t="str">
        <v>NJ</v>
      </c>
      <c r="B150" s="1" t="str">
        <f t="shared" si="10"/>
        <v>NJ</v>
      </c>
      <c r="C150" s="1" t="str">
        <f t="shared" si="11"/>
        <v>NJ</v>
      </c>
      <c r="D150" s="1" t="str">
        <f t="shared" si="12"/>
        <v>NJ</v>
      </c>
      <c r="E150" s="1" t="str">
        <f t="shared" si="13"/>
        <v>NJ</v>
      </c>
      <c r="F150" s="1" t="str">
        <f t="shared" si="14"/>
        <v>Complete</v>
      </c>
      <c r="G150" s="1" t="str">
        <f>IF(COUNTIF($A$2:A150,A150)&gt;1,"Duplicate","Unique")</f>
        <v>Duplicate</v>
      </c>
    </row>
    <row r="151" spans="1:7" x14ac:dyDescent="0.25">
      <c r="A151" s="1" t="str">
        <v>WI</v>
      </c>
      <c r="B151" s="1" t="str">
        <f t="shared" si="10"/>
        <v>WI</v>
      </c>
      <c r="C151" s="1" t="str">
        <f t="shared" si="11"/>
        <v>WI</v>
      </c>
      <c r="D151" s="1" t="str">
        <f t="shared" si="12"/>
        <v>WI</v>
      </c>
      <c r="E151" s="1" t="str">
        <f t="shared" si="13"/>
        <v>WI</v>
      </c>
      <c r="F151" s="1" t="str">
        <f t="shared" si="14"/>
        <v>Complete</v>
      </c>
      <c r="G151" s="1" t="str">
        <f>IF(COUNTIF($A$2:A151,A151)&gt;1,"Duplicate","Unique")</f>
        <v>Duplicate</v>
      </c>
    </row>
    <row r="152" spans="1:7" x14ac:dyDescent="0.25">
      <c r="A152" s="1" t="str">
        <v>AR</v>
      </c>
      <c r="B152" s="1" t="str">
        <f t="shared" si="10"/>
        <v>AR</v>
      </c>
      <c r="C152" s="1" t="str">
        <f t="shared" si="11"/>
        <v>AR</v>
      </c>
      <c r="D152" s="1" t="str">
        <f t="shared" si="12"/>
        <v>AR</v>
      </c>
      <c r="E152" s="1" t="str">
        <f t="shared" si="13"/>
        <v>AR</v>
      </c>
      <c r="F152" s="1" t="str">
        <f t="shared" si="14"/>
        <v>Complete</v>
      </c>
      <c r="G152" s="1" t="str">
        <f>IF(COUNTIF($A$2:A152,A152)&gt;1,"Duplicate","Unique")</f>
        <v>Duplicate</v>
      </c>
    </row>
    <row r="153" spans="1:7" x14ac:dyDescent="0.25">
      <c r="A153" s="1" t="str">
        <v>WA</v>
      </c>
      <c r="B153" s="1" t="str">
        <f t="shared" si="10"/>
        <v>WA</v>
      </c>
      <c r="C153" s="1" t="str">
        <f t="shared" si="11"/>
        <v>WA</v>
      </c>
      <c r="D153" s="1" t="str">
        <f t="shared" si="12"/>
        <v>WA</v>
      </c>
      <c r="E153" s="1" t="str">
        <f t="shared" si="13"/>
        <v>WA</v>
      </c>
      <c r="F153" s="1" t="str">
        <f t="shared" si="14"/>
        <v>Complete</v>
      </c>
      <c r="G153" s="1" t="str">
        <f>IF(COUNTIF($A$2:A153,A153)&gt;1,"Duplicate","Unique")</f>
        <v>Duplicate</v>
      </c>
    </row>
    <row r="154" spans="1:7" x14ac:dyDescent="0.25">
      <c r="A154" s="1" t="str">
        <v>ID</v>
      </c>
      <c r="B154" s="1" t="str">
        <f t="shared" si="10"/>
        <v>ID</v>
      </c>
      <c r="C154" s="1" t="str">
        <f t="shared" si="11"/>
        <v>ID</v>
      </c>
      <c r="D154" s="1" t="str">
        <f t="shared" si="12"/>
        <v>ID</v>
      </c>
      <c r="E154" s="1" t="str">
        <f t="shared" si="13"/>
        <v>ID</v>
      </c>
      <c r="F154" s="1" t="str">
        <f t="shared" si="14"/>
        <v>Complete</v>
      </c>
      <c r="G154" s="1" t="str">
        <f>IF(COUNTIF($A$2:A154,A154)&gt;1,"Duplicate","Unique")</f>
        <v>Duplicate</v>
      </c>
    </row>
    <row r="155" spans="1:7" x14ac:dyDescent="0.25">
      <c r="A155" s="1" t="str">
        <v>VA</v>
      </c>
      <c r="B155" s="1" t="str">
        <f t="shared" si="10"/>
        <v>VA</v>
      </c>
      <c r="C155" s="1" t="str">
        <f t="shared" si="11"/>
        <v>VA</v>
      </c>
      <c r="D155" s="1" t="str">
        <f t="shared" si="12"/>
        <v>VA</v>
      </c>
      <c r="E155" s="1" t="str">
        <f t="shared" si="13"/>
        <v>VA</v>
      </c>
      <c r="F155" s="1" t="str">
        <f t="shared" si="14"/>
        <v>Complete</v>
      </c>
      <c r="G155" s="1" t="str">
        <f>IF(COUNTIF($A$2:A155,A155)&gt;1,"Duplicate","Unique")</f>
        <v>Duplicate</v>
      </c>
    </row>
    <row r="156" spans="1:7" x14ac:dyDescent="0.25">
      <c r="A156" s="1" t="str">
        <v>WV</v>
      </c>
      <c r="B156" s="1" t="str">
        <f t="shared" si="10"/>
        <v>WV</v>
      </c>
      <c r="C156" s="1" t="str">
        <f t="shared" si="11"/>
        <v>WV</v>
      </c>
      <c r="D156" s="1" t="str">
        <f t="shared" si="12"/>
        <v>WV</v>
      </c>
      <c r="E156" s="1" t="str">
        <f t="shared" si="13"/>
        <v>WV</v>
      </c>
      <c r="F156" s="1" t="str">
        <f t="shared" si="14"/>
        <v>Complete</v>
      </c>
      <c r="G156" s="1" t="str">
        <f>IF(COUNTIF($A$2:A156,A156)&gt;1,"Duplicate","Unique")</f>
        <v>Duplicate</v>
      </c>
    </row>
    <row r="157" spans="1:7" x14ac:dyDescent="0.25">
      <c r="A157" s="1" t="str">
        <v>UT</v>
      </c>
      <c r="B157" s="1" t="str">
        <f t="shared" si="10"/>
        <v>UT</v>
      </c>
      <c r="C157" s="1" t="str">
        <f t="shared" si="11"/>
        <v>UT</v>
      </c>
      <c r="D157" s="1" t="str">
        <f t="shared" si="12"/>
        <v>UT</v>
      </c>
      <c r="E157" s="1" t="str">
        <f t="shared" si="13"/>
        <v>UT</v>
      </c>
      <c r="F157" s="1" t="str">
        <f t="shared" si="14"/>
        <v>Complete</v>
      </c>
      <c r="G157" s="1" t="str">
        <f>IF(COUNTIF($A$2:A157,A157)&gt;1,"Duplicate","Unique")</f>
        <v>Duplicate</v>
      </c>
    </row>
    <row r="158" spans="1:7" x14ac:dyDescent="0.25">
      <c r="A158" s="1" t="str">
        <v>NJ</v>
      </c>
      <c r="B158" s="1" t="str">
        <f t="shared" si="10"/>
        <v>NJ</v>
      </c>
      <c r="C158" s="1" t="str">
        <f t="shared" si="11"/>
        <v>NJ</v>
      </c>
      <c r="D158" s="1" t="str">
        <f t="shared" si="12"/>
        <v>NJ</v>
      </c>
      <c r="E158" s="1" t="str">
        <f t="shared" si="13"/>
        <v>NJ</v>
      </c>
      <c r="F158" s="1" t="str">
        <f t="shared" si="14"/>
        <v>Complete</v>
      </c>
      <c r="G158" s="1" t="str">
        <f>IF(COUNTIF($A$2:A158,A158)&gt;1,"Duplicate","Unique")</f>
        <v>Duplicate</v>
      </c>
    </row>
    <row r="159" spans="1:7" x14ac:dyDescent="0.25">
      <c r="A159" s="1" t="str">
        <v>MS</v>
      </c>
      <c r="B159" s="1" t="str">
        <f t="shared" si="10"/>
        <v>MS</v>
      </c>
      <c r="C159" s="1" t="str">
        <f t="shared" si="11"/>
        <v>MS</v>
      </c>
      <c r="D159" s="1" t="str">
        <f t="shared" si="12"/>
        <v>MS</v>
      </c>
      <c r="E159" s="1" t="str">
        <f t="shared" si="13"/>
        <v>MS</v>
      </c>
      <c r="F159" s="1" t="str">
        <f t="shared" si="14"/>
        <v>Complete</v>
      </c>
      <c r="G159" s="1" t="str">
        <f>IF(COUNTIF($A$2:A159,A159)&gt;1,"Duplicate","Unique")</f>
        <v>Duplicate</v>
      </c>
    </row>
    <row r="160" spans="1:7" x14ac:dyDescent="0.25">
      <c r="A160" s="1" t="str">
        <v>ME</v>
      </c>
      <c r="B160" s="1" t="str">
        <f t="shared" si="10"/>
        <v>ME</v>
      </c>
      <c r="C160" s="1" t="str">
        <f t="shared" si="11"/>
        <v>ME</v>
      </c>
      <c r="D160" s="1" t="str">
        <f t="shared" si="12"/>
        <v>ME</v>
      </c>
      <c r="E160" s="1" t="str">
        <f t="shared" si="13"/>
        <v>ME</v>
      </c>
      <c r="F160" s="1" t="str">
        <f t="shared" si="14"/>
        <v>Complete</v>
      </c>
      <c r="G160" s="1" t="str">
        <f>IF(COUNTIF($A$2:A160,A160)&gt;1,"Duplicate","Unique")</f>
        <v>Duplicate</v>
      </c>
    </row>
    <row r="161" spans="1:7" x14ac:dyDescent="0.25">
      <c r="A161" s="1" t="str">
        <v>NM</v>
      </c>
      <c r="B161" s="1" t="str">
        <f t="shared" si="10"/>
        <v>NM</v>
      </c>
      <c r="C161" s="1" t="str">
        <f t="shared" si="11"/>
        <v>NM</v>
      </c>
      <c r="D161" s="1" t="str">
        <f t="shared" si="12"/>
        <v>NM</v>
      </c>
      <c r="E161" s="1" t="str">
        <f t="shared" si="13"/>
        <v>NM</v>
      </c>
      <c r="F161" s="1" t="str">
        <f t="shared" si="14"/>
        <v>Complete</v>
      </c>
      <c r="G161" s="1" t="str">
        <f>IF(COUNTIF($A$2:A161,A161)&gt;1,"Duplicate","Unique")</f>
        <v>Duplicate</v>
      </c>
    </row>
    <row r="162" spans="1:7" x14ac:dyDescent="0.25">
      <c r="A162" s="1" t="str">
        <v>TX</v>
      </c>
      <c r="B162" s="1" t="str">
        <f t="shared" si="10"/>
        <v>TX</v>
      </c>
      <c r="C162" s="1" t="str">
        <f t="shared" si="11"/>
        <v>TX</v>
      </c>
      <c r="D162" s="1" t="str">
        <f t="shared" si="12"/>
        <v>TX</v>
      </c>
      <c r="E162" s="1" t="str">
        <f t="shared" si="13"/>
        <v>TX</v>
      </c>
      <c r="F162" s="1" t="str">
        <f t="shared" si="14"/>
        <v>Complete</v>
      </c>
      <c r="G162" s="1" t="str">
        <f>IF(COUNTIF($A$2:A162,A162)&gt;1,"Duplicate","Unique")</f>
        <v>Duplicate</v>
      </c>
    </row>
    <row r="163" spans="1:7" x14ac:dyDescent="0.25">
      <c r="A163" s="1" t="str">
        <v>LA</v>
      </c>
      <c r="B163" s="1" t="str">
        <f t="shared" si="10"/>
        <v>LA</v>
      </c>
      <c r="C163" s="1" t="str">
        <f t="shared" si="11"/>
        <v>LA</v>
      </c>
      <c r="D163" s="1" t="str">
        <f t="shared" si="12"/>
        <v>LA</v>
      </c>
      <c r="E163" s="1" t="str">
        <f t="shared" si="13"/>
        <v>LA</v>
      </c>
      <c r="F163" s="1" t="str">
        <f t="shared" si="14"/>
        <v>Complete</v>
      </c>
      <c r="G163" s="1" t="str">
        <f>IF(COUNTIF($A$2:A163,A163)&gt;1,"Duplicate","Unique")</f>
        <v>Duplicate</v>
      </c>
    </row>
    <row r="164" spans="1:7" x14ac:dyDescent="0.25">
      <c r="A164" s="1" t="str">
        <v>TN</v>
      </c>
      <c r="B164" s="1" t="str">
        <f t="shared" si="10"/>
        <v>TN</v>
      </c>
      <c r="C164" s="1" t="str">
        <f t="shared" si="11"/>
        <v>TN</v>
      </c>
      <c r="D164" s="1" t="str">
        <f t="shared" si="12"/>
        <v>TN</v>
      </c>
      <c r="E164" s="1" t="str">
        <f t="shared" si="13"/>
        <v>TN</v>
      </c>
      <c r="F164" s="1" t="str">
        <f t="shared" si="14"/>
        <v>Complete</v>
      </c>
      <c r="G164" s="1" t="str">
        <f>IF(COUNTIF($A$2:A164,A164)&gt;1,"Duplicate","Unique")</f>
        <v>Unique</v>
      </c>
    </row>
    <row r="165" spans="1:7" x14ac:dyDescent="0.25">
      <c r="A165" s="1" t="str">
        <v>WI</v>
      </c>
      <c r="B165" s="1" t="str">
        <f t="shared" si="10"/>
        <v>WI</v>
      </c>
      <c r="C165" s="1" t="str">
        <f t="shared" si="11"/>
        <v>WI</v>
      </c>
      <c r="D165" s="1" t="str">
        <f t="shared" si="12"/>
        <v>WI</v>
      </c>
      <c r="E165" s="1" t="str">
        <f t="shared" si="13"/>
        <v>WI</v>
      </c>
      <c r="F165" s="1" t="str">
        <f t="shared" si="14"/>
        <v>Complete</v>
      </c>
      <c r="G165" s="1" t="str">
        <f>IF(COUNTIF($A$2:A165,A165)&gt;1,"Duplicate","Unique")</f>
        <v>Duplicate</v>
      </c>
    </row>
    <row r="166" spans="1:7" x14ac:dyDescent="0.25">
      <c r="A166" s="1" t="str">
        <v>MT</v>
      </c>
      <c r="B166" s="1" t="str">
        <f t="shared" si="10"/>
        <v>MT</v>
      </c>
      <c r="C166" s="1" t="str">
        <f t="shared" si="11"/>
        <v>MT</v>
      </c>
      <c r="D166" s="1" t="str">
        <f t="shared" si="12"/>
        <v>MT</v>
      </c>
      <c r="E166" s="1" t="str">
        <f t="shared" si="13"/>
        <v>MT</v>
      </c>
      <c r="F166" s="1" t="str">
        <f t="shared" si="14"/>
        <v>Complete</v>
      </c>
      <c r="G166" s="1" t="str">
        <f>IF(COUNTIF($A$2:A166,A166)&gt;1,"Duplicate","Unique")</f>
        <v>Duplicate</v>
      </c>
    </row>
    <row r="167" spans="1:7" x14ac:dyDescent="0.25">
      <c r="A167" s="1" t="str">
        <v>ND</v>
      </c>
      <c r="B167" s="1" t="str">
        <f t="shared" si="10"/>
        <v>ND</v>
      </c>
      <c r="C167" s="1" t="str">
        <f t="shared" si="11"/>
        <v>ND</v>
      </c>
      <c r="D167" s="1" t="str">
        <f t="shared" si="12"/>
        <v>ND</v>
      </c>
      <c r="E167" s="1" t="str">
        <f t="shared" si="13"/>
        <v>ND</v>
      </c>
      <c r="F167" s="1" t="str">
        <f t="shared" si="14"/>
        <v>Complete</v>
      </c>
      <c r="G167" s="1" t="str">
        <f>IF(COUNTIF($A$2:A167,A167)&gt;1,"Duplicate","Unique")</f>
        <v>Duplicate</v>
      </c>
    </row>
    <row r="168" spans="1:7" x14ac:dyDescent="0.25">
      <c r="A168" s="1" t="str">
        <v>WI</v>
      </c>
      <c r="B168" s="1" t="str">
        <f t="shared" si="10"/>
        <v>WI</v>
      </c>
      <c r="C168" s="1" t="str">
        <f t="shared" si="11"/>
        <v>WI</v>
      </c>
      <c r="D168" s="1" t="str">
        <f t="shared" si="12"/>
        <v>WI</v>
      </c>
      <c r="E168" s="1" t="str">
        <f t="shared" si="13"/>
        <v>WI</v>
      </c>
      <c r="F168" s="1" t="str">
        <f t="shared" si="14"/>
        <v>Complete</v>
      </c>
      <c r="G168" s="1" t="str">
        <f>IF(COUNTIF($A$2:A168,A168)&gt;1,"Duplicate","Unique")</f>
        <v>Duplicate</v>
      </c>
    </row>
    <row r="169" spans="1:7" x14ac:dyDescent="0.25">
      <c r="A169" s="1" t="str">
        <v>MO</v>
      </c>
      <c r="B169" s="1" t="str">
        <f t="shared" si="10"/>
        <v>MO</v>
      </c>
      <c r="C169" s="1" t="str">
        <f t="shared" si="11"/>
        <v>MO</v>
      </c>
      <c r="D169" s="1" t="str">
        <f t="shared" si="12"/>
        <v>MO</v>
      </c>
      <c r="E169" s="1" t="str">
        <f t="shared" si="13"/>
        <v>MO</v>
      </c>
      <c r="F169" s="1" t="str">
        <f t="shared" si="14"/>
        <v>Complete</v>
      </c>
      <c r="G169" s="1" t="str">
        <f>IF(COUNTIF($A$2:A169,A169)&gt;1,"Duplicate","Unique")</f>
        <v>Duplicate</v>
      </c>
    </row>
    <row r="170" spans="1:7" x14ac:dyDescent="0.25">
      <c r="A170" s="1" t="str">
        <v>AZ</v>
      </c>
      <c r="B170" s="1" t="str">
        <f t="shared" si="10"/>
        <v>AZ</v>
      </c>
      <c r="C170" s="1" t="str">
        <f t="shared" si="11"/>
        <v>AZ</v>
      </c>
      <c r="D170" s="1" t="str">
        <f t="shared" si="12"/>
        <v>AZ</v>
      </c>
      <c r="E170" s="1" t="str">
        <f t="shared" si="13"/>
        <v>AZ</v>
      </c>
      <c r="F170" s="1" t="str">
        <f t="shared" si="14"/>
        <v>Complete</v>
      </c>
      <c r="G170" s="1" t="str">
        <f>IF(COUNTIF($A$2:A170,A170)&gt;1,"Duplicate","Unique")</f>
        <v>Duplicate</v>
      </c>
    </row>
    <row r="171" spans="1:7" x14ac:dyDescent="0.25">
      <c r="A171" s="1" t="str">
        <v>VT</v>
      </c>
      <c r="B171" s="1" t="str">
        <f t="shared" si="10"/>
        <v>VT</v>
      </c>
      <c r="C171" s="1" t="str">
        <f t="shared" si="11"/>
        <v>VT</v>
      </c>
      <c r="D171" s="1" t="str">
        <f t="shared" si="12"/>
        <v>VT</v>
      </c>
      <c r="E171" s="1" t="str">
        <f t="shared" si="13"/>
        <v>VT</v>
      </c>
      <c r="F171" s="1" t="str">
        <f t="shared" si="14"/>
        <v>Complete</v>
      </c>
      <c r="G171" s="1" t="str">
        <f>IF(COUNTIF($A$2:A171,A171)&gt;1,"Duplicate","Unique")</f>
        <v>Duplicate</v>
      </c>
    </row>
    <row r="172" spans="1:7" x14ac:dyDescent="0.25">
      <c r="A172" s="1" t="str">
        <v>VA</v>
      </c>
      <c r="B172" s="1" t="str">
        <f t="shared" si="10"/>
        <v>VA</v>
      </c>
      <c r="C172" s="1" t="str">
        <f t="shared" si="11"/>
        <v>VA</v>
      </c>
      <c r="D172" s="1" t="str">
        <f t="shared" si="12"/>
        <v>VA</v>
      </c>
      <c r="E172" s="1" t="str">
        <f t="shared" si="13"/>
        <v>VA</v>
      </c>
      <c r="F172" s="1" t="str">
        <f t="shared" si="14"/>
        <v>Complete</v>
      </c>
      <c r="G172" s="1" t="str">
        <f>IF(COUNTIF($A$2:A172,A172)&gt;1,"Duplicate","Unique")</f>
        <v>Duplicate</v>
      </c>
    </row>
    <row r="173" spans="1:7" x14ac:dyDescent="0.25">
      <c r="A173" s="1" t="str">
        <v>NE</v>
      </c>
      <c r="B173" s="1" t="str">
        <f t="shared" si="10"/>
        <v>NE</v>
      </c>
      <c r="C173" s="1" t="str">
        <f t="shared" si="11"/>
        <v>NE</v>
      </c>
      <c r="D173" s="1" t="str">
        <f t="shared" si="12"/>
        <v>NE</v>
      </c>
      <c r="E173" s="1" t="str">
        <f t="shared" si="13"/>
        <v>NE</v>
      </c>
      <c r="F173" s="1" t="str">
        <f t="shared" si="14"/>
        <v>Complete</v>
      </c>
      <c r="G173" s="1" t="str">
        <f>IF(COUNTIF($A$2:A173,A173)&gt;1,"Duplicate","Unique")</f>
        <v>Duplicate</v>
      </c>
    </row>
    <row r="174" spans="1:7" x14ac:dyDescent="0.25">
      <c r="A174" s="1" t="str">
        <v>WA</v>
      </c>
      <c r="B174" s="1" t="str">
        <f t="shared" si="10"/>
        <v>WA</v>
      </c>
      <c r="C174" s="1" t="str">
        <f t="shared" si="11"/>
        <v>WA</v>
      </c>
      <c r="D174" s="1" t="str">
        <f t="shared" si="12"/>
        <v>WA</v>
      </c>
      <c r="E174" s="1" t="str">
        <f t="shared" si="13"/>
        <v>WA</v>
      </c>
      <c r="F174" s="1" t="str">
        <f t="shared" si="14"/>
        <v>Complete</v>
      </c>
      <c r="G174" s="1" t="str">
        <f>IF(COUNTIF($A$2:A174,A174)&gt;1,"Duplicate","Unique")</f>
        <v>Duplicate</v>
      </c>
    </row>
    <row r="175" spans="1:7" x14ac:dyDescent="0.25">
      <c r="A175" s="1" t="str">
        <v>NM</v>
      </c>
      <c r="B175" s="1" t="str">
        <f t="shared" si="10"/>
        <v>NM</v>
      </c>
      <c r="C175" s="1" t="str">
        <f t="shared" si="11"/>
        <v>NM</v>
      </c>
      <c r="D175" s="1" t="str">
        <f t="shared" si="12"/>
        <v>NM</v>
      </c>
      <c r="E175" s="1" t="str">
        <f t="shared" si="13"/>
        <v>NM</v>
      </c>
      <c r="F175" s="1" t="str">
        <f t="shared" si="14"/>
        <v>Complete</v>
      </c>
      <c r="G175" s="1" t="str">
        <f>IF(COUNTIF($A$2:A175,A175)&gt;1,"Duplicate","Unique")</f>
        <v>Duplicate</v>
      </c>
    </row>
    <row r="176" spans="1:7" x14ac:dyDescent="0.25">
      <c r="A176" s="1" t="str">
        <v>FL</v>
      </c>
      <c r="B176" s="1" t="str">
        <f t="shared" si="10"/>
        <v>FL</v>
      </c>
      <c r="C176" s="1" t="str">
        <f t="shared" si="11"/>
        <v>FL</v>
      </c>
      <c r="D176" s="1" t="str">
        <f t="shared" si="12"/>
        <v>FL</v>
      </c>
      <c r="E176" s="1" t="str">
        <f t="shared" si="13"/>
        <v>FL</v>
      </c>
      <c r="F176" s="1" t="str">
        <f t="shared" si="14"/>
        <v>Complete</v>
      </c>
      <c r="G176" s="1" t="str">
        <f>IF(COUNTIF($A$2:A176,A176)&gt;1,"Duplicate","Unique")</f>
        <v>Duplicate</v>
      </c>
    </row>
    <row r="177" spans="1:7" x14ac:dyDescent="0.25">
      <c r="A177" s="1" t="str">
        <v>SC</v>
      </c>
      <c r="B177" s="1" t="str">
        <f t="shared" si="10"/>
        <v>SC</v>
      </c>
      <c r="C177" s="1" t="str">
        <f t="shared" si="11"/>
        <v>SC</v>
      </c>
      <c r="D177" s="1" t="str">
        <f t="shared" si="12"/>
        <v>SC</v>
      </c>
      <c r="E177" s="1" t="str">
        <f t="shared" si="13"/>
        <v>SC</v>
      </c>
      <c r="F177" s="1" t="str">
        <f t="shared" si="14"/>
        <v>Complete</v>
      </c>
      <c r="G177" s="1" t="str">
        <f>IF(COUNTIF($A$2:A177,A177)&gt;1,"Duplicate","Unique")</f>
        <v>Duplicate</v>
      </c>
    </row>
    <row r="178" spans="1:7" x14ac:dyDescent="0.25">
      <c r="A178" s="1" t="str">
        <v>IN</v>
      </c>
      <c r="B178" s="1" t="str">
        <f t="shared" si="10"/>
        <v>IN</v>
      </c>
      <c r="C178" s="1" t="str">
        <f t="shared" si="11"/>
        <v>IN</v>
      </c>
      <c r="D178" s="1" t="str">
        <f t="shared" si="12"/>
        <v>IN</v>
      </c>
      <c r="E178" s="1" t="str">
        <f t="shared" si="13"/>
        <v>IN</v>
      </c>
      <c r="F178" s="1" t="str">
        <f t="shared" si="14"/>
        <v>Complete</v>
      </c>
      <c r="G178" s="1" t="str">
        <f>IF(COUNTIF($A$2:A178,A178)&gt;1,"Duplicate","Unique")</f>
        <v>Duplicate</v>
      </c>
    </row>
    <row r="179" spans="1:7" x14ac:dyDescent="0.25">
      <c r="A179" s="1" t="str">
        <v>FL</v>
      </c>
      <c r="B179" s="1" t="str">
        <f t="shared" si="10"/>
        <v>FL</v>
      </c>
      <c r="C179" s="1" t="str">
        <f t="shared" si="11"/>
        <v>FL</v>
      </c>
      <c r="D179" s="1" t="str">
        <f t="shared" si="12"/>
        <v>FL</v>
      </c>
      <c r="E179" s="1" t="str">
        <f t="shared" si="13"/>
        <v>FL</v>
      </c>
      <c r="F179" s="1" t="str">
        <f t="shared" si="14"/>
        <v>Complete</v>
      </c>
      <c r="G179" s="1" t="str">
        <f>IF(COUNTIF($A$2:A179,A179)&gt;1,"Duplicate","Unique")</f>
        <v>Duplicate</v>
      </c>
    </row>
    <row r="180" spans="1:7" x14ac:dyDescent="0.25">
      <c r="A180" s="1" t="str">
        <v>ND</v>
      </c>
      <c r="B180" s="1" t="str">
        <f t="shared" si="10"/>
        <v>ND</v>
      </c>
      <c r="C180" s="1" t="str">
        <f t="shared" si="11"/>
        <v>ND</v>
      </c>
      <c r="D180" s="1" t="str">
        <f t="shared" si="12"/>
        <v>ND</v>
      </c>
      <c r="E180" s="1" t="str">
        <f t="shared" si="13"/>
        <v>ND</v>
      </c>
      <c r="F180" s="1" t="str">
        <f t="shared" si="14"/>
        <v>Complete</v>
      </c>
      <c r="G180" s="1" t="str">
        <f>IF(COUNTIF($A$2:A180,A180)&gt;1,"Duplicate","Unique")</f>
        <v>Duplicate</v>
      </c>
    </row>
    <row r="181" spans="1:7" x14ac:dyDescent="0.25">
      <c r="A181" s="1" t="str">
        <v>MA</v>
      </c>
      <c r="B181" s="1" t="str">
        <f t="shared" si="10"/>
        <v>MA</v>
      </c>
      <c r="C181" s="1" t="str">
        <f t="shared" si="11"/>
        <v>MA</v>
      </c>
      <c r="D181" s="1" t="str">
        <f t="shared" si="12"/>
        <v>MA</v>
      </c>
      <c r="E181" s="1" t="str">
        <f t="shared" si="13"/>
        <v>MA</v>
      </c>
      <c r="F181" s="1" t="str">
        <f t="shared" si="14"/>
        <v>Complete</v>
      </c>
      <c r="G181" s="1" t="str">
        <f>IF(COUNTIF($A$2:A181,A181)&gt;1,"Duplicate","Unique")</f>
        <v>Duplicate</v>
      </c>
    </row>
    <row r="182" spans="1:7" x14ac:dyDescent="0.25">
      <c r="A182" s="1" t="str">
        <v>MO</v>
      </c>
      <c r="B182" s="1" t="str">
        <f t="shared" si="10"/>
        <v>MO</v>
      </c>
      <c r="C182" s="1" t="str">
        <f t="shared" si="11"/>
        <v>MO</v>
      </c>
      <c r="D182" s="1" t="str">
        <f t="shared" si="12"/>
        <v>MO</v>
      </c>
      <c r="E182" s="1" t="str">
        <f t="shared" si="13"/>
        <v>MO</v>
      </c>
      <c r="F182" s="1" t="str">
        <f t="shared" si="14"/>
        <v>Complete</v>
      </c>
      <c r="G182" s="1" t="str">
        <f>IF(COUNTIF($A$2:A182,A182)&gt;1,"Duplicate","Unique")</f>
        <v>Duplicate</v>
      </c>
    </row>
    <row r="183" spans="1:7" x14ac:dyDescent="0.25">
      <c r="A183" s="1" t="str">
        <v>WY</v>
      </c>
      <c r="B183" s="1" t="str">
        <f t="shared" si="10"/>
        <v>WY</v>
      </c>
      <c r="C183" s="1" t="str">
        <f t="shared" si="11"/>
        <v>WY</v>
      </c>
      <c r="D183" s="1" t="str">
        <f t="shared" si="12"/>
        <v>WY</v>
      </c>
      <c r="E183" s="1" t="str">
        <f t="shared" si="13"/>
        <v>WY</v>
      </c>
      <c r="F183" s="1" t="str">
        <f t="shared" si="14"/>
        <v>Complete</v>
      </c>
      <c r="G183" s="1" t="str">
        <f>IF(COUNTIF($A$2:A183,A183)&gt;1,"Duplicate","Unique")</f>
        <v>Duplicate</v>
      </c>
    </row>
    <row r="184" spans="1:7" x14ac:dyDescent="0.25">
      <c r="A184" s="1" t="str">
        <v>CA</v>
      </c>
      <c r="B184" s="1" t="str">
        <f t="shared" si="10"/>
        <v>CA</v>
      </c>
      <c r="C184" s="1" t="str">
        <f t="shared" si="11"/>
        <v>CA</v>
      </c>
      <c r="D184" s="1" t="str">
        <f t="shared" si="12"/>
        <v>CA</v>
      </c>
      <c r="E184" s="1" t="str">
        <f t="shared" si="13"/>
        <v>CA</v>
      </c>
      <c r="F184" s="1" t="str">
        <f t="shared" si="14"/>
        <v>Complete</v>
      </c>
      <c r="G184" s="1" t="str">
        <f>IF(COUNTIF($A$2:A184,A184)&gt;1,"Duplicate","Unique")</f>
        <v>Duplicate</v>
      </c>
    </row>
    <row r="185" spans="1:7" x14ac:dyDescent="0.25">
      <c r="A185" s="1" t="str">
        <v>NE</v>
      </c>
      <c r="B185" s="1" t="str">
        <f t="shared" si="10"/>
        <v>NE</v>
      </c>
      <c r="C185" s="1" t="str">
        <f t="shared" si="11"/>
        <v>NE</v>
      </c>
      <c r="D185" s="1" t="str">
        <f t="shared" si="12"/>
        <v>NE</v>
      </c>
      <c r="E185" s="1" t="str">
        <f t="shared" si="13"/>
        <v>NE</v>
      </c>
      <c r="F185" s="1" t="str">
        <f t="shared" si="14"/>
        <v>Complete</v>
      </c>
      <c r="G185" s="1" t="str">
        <f>IF(COUNTIF($A$2:A185,A185)&gt;1,"Duplicate","Unique")</f>
        <v>Duplicate</v>
      </c>
    </row>
    <row r="186" spans="1:7" x14ac:dyDescent="0.25">
      <c r="A186" s="1" t="str">
        <v>ID</v>
      </c>
      <c r="B186" s="1" t="str">
        <f t="shared" si="10"/>
        <v>ID</v>
      </c>
      <c r="C186" s="1" t="str">
        <f t="shared" si="11"/>
        <v>ID</v>
      </c>
      <c r="D186" s="1" t="str">
        <f t="shared" si="12"/>
        <v>ID</v>
      </c>
      <c r="E186" s="1" t="str">
        <f t="shared" si="13"/>
        <v>ID</v>
      </c>
      <c r="F186" s="1" t="str">
        <f t="shared" si="14"/>
        <v>Complete</v>
      </c>
      <c r="G186" s="1" t="str">
        <f>IF(COUNTIF($A$2:A186,A186)&gt;1,"Duplicate","Unique")</f>
        <v>Duplicate</v>
      </c>
    </row>
    <row r="187" spans="1:7" x14ac:dyDescent="0.25">
      <c r="A187" s="1" t="str">
        <v>VT</v>
      </c>
      <c r="B187" s="1" t="str">
        <f t="shared" si="10"/>
        <v>VT</v>
      </c>
      <c r="C187" s="1" t="str">
        <f t="shared" si="11"/>
        <v>VT</v>
      </c>
      <c r="D187" s="1" t="str">
        <f t="shared" si="12"/>
        <v>VT</v>
      </c>
      <c r="E187" s="1" t="str">
        <f t="shared" si="13"/>
        <v>VT</v>
      </c>
      <c r="F187" s="1" t="str">
        <f t="shared" si="14"/>
        <v>Complete</v>
      </c>
      <c r="G187" s="1" t="str">
        <f>IF(COUNTIF($A$2:A187,A187)&gt;1,"Duplicate","Unique")</f>
        <v>Duplicate</v>
      </c>
    </row>
    <row r="188" spans="1:7" x14ac:dyDescent="0.25">
      <c r="A188" s="1" t="str">
        <v>MO</v>
      </c>
      <c r="B188" s="1" t="str">
        <f t="shared" si="10"/>
        <v>MO</v>
      </c>
      <c r="C188" s="1" t="str">
        <f t="shared" si="11"/>
        <v>MO</v>
      </c>
      <c r="D188" s="1" t="str">
        <f t="shared" si="12"/>
        <v>MO</v>
      </c>
      <c r="E188" s="1" t="str">
        <f t="shared" si="13"/>
        <v>MO</v>
      </c>
      <c r="F188" s="1" t="str">
        <f t="shared" si="14"/>
        <v>Complete</v>
      </c>
      <c r="G188" s="1" t="str">
        <f>IF(COUNTIF($A$2:A188,A188)&gt;1,"Duplicate","Unique")</f>
        <v>Duplicate</v>
      </c>
    </row>
    <row r="189" spans="1:7" x14ac:dyDescent="0.25">
      <c r="A189" s="1" t="str">
        <v>VA</v>
      </c>
      <c r="B189" s="1" t="str">
        <f t="shared" si="10"/>
        <v>VA</v>
      </c>
      <c r="C189" s="1" t="str">
        <f t="shared" si="11"/>
        <v>VA</v>
      </c>
      <c r="D189" s="1" t="str">
        <f t="shared" si="12"/>
        <v>VA</v>
      </c>
      <c r="E189" s="1" t="str">
        <f t="shared" si="13"/>
        <v>VA</v>
      </c>
      <c r="F189" s="1" t="str">
        <f t="shared" si="14"/>
        <v>Complete</v>
      </c>
      <c r="G189" s="1" t="str">
        <f>IF(COUNTIF($A$2:A189,A189)&gt;1,"Duplicate","Unique")</f>
        <v>Duplicate</v>
      </c>
    </row>
    <row r="190" spans="1:7" x14ac:dyDescent="0.25">
      <c r="A190" s="1" t="str">
        <v>VT</v>
      </c>
      <c r="B190" s="1" t="str">
        <f t="shared" si="10"/>
        <v>VT</v>
      </c>
      <c r="C190" s="1" t="str">
        <f t="shared" si="11"/>
        <v>VT</v>
      </c>
      <c r="D190" s="1" t="str">
        <f t="shared" si="12"/>
        <v>VT</v>
      </c>
      <c r="E190" s="1" t="str">
        <f t="shared" si="13"/>
        <v>VT</v>
      </c>
      <c r="F190" s="1" t="str">
        <f t="shared" si="14"/>
        <v>Complete</v>
      </c>
      <c r="G190" s="1" t="str">
        <f>IF(COUNTIF($A$2:A190,A190)&gt;1,"Duplicate","Unique")</f>
        <v>Duplicate</v>
      </c>
    </row>
    <row r="191" spans="1:7" x14ac:dyDescent="0.25">
      <c r="A191" s="1" t="str">
        <v>MS</v>
      </c>
      <c r="B191" s="1" t="str">
        <f t="shared" si="10"/>
        <v>MS</v>
      </c>
      <c r="C191" s="1" t="str">
        <f t="shared" si="11"/>
        <v>MS</v>
      </c>
      <c r="D191" s="1" t="str">
        <f t="shared" si="12"/>
        <v>MS</v>
      </c>
      <c r="E191" s="1" t="str">
        <f t="shared" si="13"/>
        <v>MS</v>
      </c>
      <c r="F191" s="1" t="str">
        <f t="shared" si="14"/>
        <v>Complete</v>
      </c>
      <c r="G191" s="1" t="str">
        <f>IF(COUNTIF($A$2:A191,A191)&gt;1,"Duplicate","Unique")</f>
        <v>Duplicate</v>
      </c>
    </row>
    <row r="192" spans="1:7" x14ac:dyDescent="0.25">
      <c r="A192" s="1" t="str">
        <v>KY</v>
      </c>
      <c r="B192" s="1" t="str">
        <f t="shared" si="10"/>
        <v>KY</v>
      </c>
      <c r="C192" s="1" t="str">
        <f t="shared" si="11"/>
        <v>KY</v>
      </c>
      <c r="D192" s="1" t="str">
        <f t="shared" si="12"/>
        <v>KY</v>
      </c>
      <c r="E192" s="1" t="str">
        <f t="shared" si="13"/>
        <v>KY</v>
      </c>
      <c r="F192" s="1" t="str">
        <f t="shared" si="14"/>
        <v>Complete</v>
      </c>
      <c r="G192" s="1" t="str">
        <f>IF(COUNTIF($A$2:A192,A192)&gt;1,"Duplicate","Unique")</f>
        <v>Duplicate</v>
      </c>
    </row>
    <row r="193" spans="1:7" x14ac:dyDescent="0.25">
      <c r="A193" s="1" t="str">
        <v>WV</v>
      </c>
      <c r="B193" s="1" t="str">
        <f t="shared" si="10"/>
        <v>WV</v>
      </c>
      <c r="C193" s="1" t="str">
        <f t="shared" si="11"/>
        <v>WV</v>
      </c>
      <c r="D193" s="1" t="str">
        <f t="shared" si="12"/>
        <v>WV</v>
      </c>
      <c r="E193" s="1" t="str">
        <f t="shared" si="13"/>
        <v>WV</v>
      </c>
      <c r="F193" s="1" t="str">
        <f t="shared" si="14"/>
        <v>Complete</v>
      </c>
      <c r="G193" s="1" t="str">
        <f>IF(COUNTIF($A$2:A193,A193)&gt;1,"Duplicate","Unique")</f>
        <v>Duplicate</v>
      </c>
    </row>
    <row r="194" spans="1:7" x14ac:dyDescent="0.25">
      <c r="A194" s="1" t="str">
        <v>DC</v>
      </c>
      <c r="B194" s="1" t="str">
        <f t="shared" si="10"/>
        <v>DC</v>
      </c>
      <c r="C194" s="1" t="str">
        <f t="shared" si="11"/>
        <v>DC</v>
      </c>
      <c r="D194" s="1" t="str">
        <f t="shared" si="12"/>
        <v>DC</v>
      </c>
      <c r="E194" s="1" t="str">
        <f t="shared" si="13"/>
        <v>DC</v>
      </c>
      <c r="F194" s="1" t="str">
        <f t="shared" si="14"/>
        <v>Complete</v>
      </c>
      <c r="G194" s="1" t="str">
        <f>IF(COUNTIF($A$2:A194,A194)&gt;1,"Duplicate","Unique")</f>
        <v>Duplicate</v>
      </c>
    </row>
    <row r="195" spans="1:7" x14ac:dyDescent="0.25">
      <c r="A195" s="1" t="str">
        <v>IA</v>
      </c>
      <c r="B195" s="1" t="str">
        <f t="shared" ref="B195:B258" si="15">TRIM(A195)</f>
        <v>IA</v>
      </c>
      <c r="C195" s="1" t="str">
        <f t="shared" ref="C195:C258" si="16">CLEAN(A195)</f>
        <v>IA</v>
      </c>
      <c r="D195" s="1" t="str">
        <f t="shared" ref="D195:D258" si="17">TRIM(CLEAN(A195))</f>
        <v>IA</v>
      </c>
      <c r="E195" s="1" t="str">
        <f t="shared" ref="E195:E258" si="18">SUBSTITUTE(D195," ","")</f>
        <v>IA</v>
      </c>
      <c r="F195" s="1" t="str">
        <f t="shared" ref="F195:F258" si="19">IF(ISBLANK(A195),"Missing","Complete")</f>
        <v>Complete</v>
      </c>
      <c r="G195" s="1" t="str">
        <f>IF(COUNTIF($A$2:A195,A195)&gt;1,"Duplicate","Unique")</f>
        <v>Unique</v>
      </c>
    </row>
    <row r="196" spans="1:7" x14ac:dyDescent="0.25">
      <c r="A196" s="1" t="str">
        <v>MN</v>
      </c>
      <c r="B196" s="1" t="str">
        <f t="shared" si="15"/>
        <v>MN</v>
      </c>
      <c r="C196" s="1" t="str">
        <f t="shared" si="16"/>
        <v>MN</v>
      </c>
      <c r="D196" s="1" t="str">
        <f t="shared" si="17"/>
        <v>MN</v>
      </c>
      <c r="E196" s="1" t="str">
        <f t="shared" si="18"/>
        <v>MN</v>
      </c>
      <c r="F196" s="1" t="str">
        <f t="shared" si="19"/>
        <v>Complete</v>
      </c>
      <c r="G196" s="1" t="str">
        <f>IF(COUNTIF($A$2:A196,A196)&gt;1,"Duplicate","Unique")</f>
        <v>Duplicate</v>
      </c>
    </row>
    <row r="197" spans="1:7" x14ac:dyDescent="0.25">
      <c r="A197" s="1" t="str">
        <v>VT</v>
      </c>
      <c r="B197" s="1" t="str">
        <f t="shared" si="15"/>
        <v>VT</v>
      </c>
      <c r="C197" s="1" t="str">
        <f t="shared" si="16"/>
        <v>VT</v>
      </c>
      <c r="D197" s="1" t="str">
        <f t="shared" si="17"/>
        <v>VT</v>
      </c>
      <c r="E197" s="1" t="str">
        <f t="shared" si="18"/>
        <v>VT</v>
      </c>
      <c r="F197" s="1" t="str">
        <f t="shared" si="19"/>
        <v>Complete</v>
      </c>
      <c r="G197" s="1" t="str">
        <f>IF(COUNTIF($A$2:A197,A197)&gt;1,"Duplicate","Unique")</f>
        <v>Duplicate</v>
      </c>
    </row>
    <row r="198" spans="1:7" x14ac:dyDescent="0.25">
      <c r="A198" s="1" t="str">
        <v>AK</v>
      </c>
      <c r="B198" s="1" t="str">
        <f t="shared" si="15"/>
        <v>AK</v>
      </c>
      <c r="C198" s="1" t="str">
        <f t="shared" si="16"/>
        <v>AK</v>
      </c>
      <c r="D198" s="1" t="str">
        <f t="shared" si="17"/>
        <v>AK</v>
      </c>
      <c r="E198" s="1" t="str">
        <f t="shared" si="18"/>
        <v>AK</v>
      </c>
      <c r="F198" s="1" t="str">
        <f t="shared" si="19"/>
        <v>Complete</v>
      </c>
      <c r="G198" s="1" t="str">
        <f>IF(COUNTIF($A$2:A198,A198)&gt;1,"Duplicate","Unique")</f>
        <v>Duplicate</v>
      </c>
    </row>
    <row r="199" spans="1:7" x14ac:dyDescent="0.25">
      <c r="A199" s="1" t="str">
        <v>CA</v>
      </c>
      <c r="B199" s="1" t="str">
        <f t="shared" si="15"/>
        <v>CA</v>
      </c>
      <c r="C199" s="1" t="str">
        <f t="shared" si="16"/>
        <v>CA</v>
      </c>
      <c r="D199" s="1" t="str">
        <f t="shared" si="17"/>
        <v>CA</v>
      </c>
      <c r="E199" s="1" t="str">
        <f t="shared" si="18"/>
        <v>CA</v>
      </c>
      <c r="F199" s="1" t="str">
        <f t="shared" si="19"/>
        <v>Complete</v>
      </c>
      <c r="G199" s="1" t="str">
        <f>IF(COUNTIF($A$2:A199,A199)&gt;1,"Duplicate","Unique")</f>
        <v>Duplicate</v>
      </c>
    </row>
    <row r="200" spans="1:7" x14ac:dyDescent="0.25">
      <c r="A200" s="1" t="str">
        <v>MS</v>
      </c>
      <c r="B200" s="1" t="str">
        <f t="shared" si="15"/>
        <v>MS</v>
      </c>
      <c r="C200" s="1" t="str">
        <f t="shared" si="16"/>
        <v>MS</v>
      </c>
      <c r="D200" s="1" t="str">
        <f t="shared" si="17"/>
        <v>MS</v>
      </c>
      <c r="E200" s="1" t="str">
        <f t="shared" si="18"/>
        <v>MS</v>
      </c>
      <c r="F200" s="1" t="str">
        <f t="shared" si="19"/>
        <v>Complete</v>
      </c>
      <c r="G200" s="1" t="str">
        <f>IF(COUNTIF($A$2:A200,A200)&gt;1,"Duplicate","Unique")</f>
        <v>Duplicate</v>
      </c>
    </row>
    <row r="201" spans="1:7" x14ac:dyDescent="0.25">
      <c r="A201" s="1" t="str">
        <v>AR</v>
      </c>
      <c r="B201" s="1" t="str">
        <f t="shared" si="15"/>
        <v>AR</v>
      </c>
      <c r="C201" s="1" t="str">
        <f t="shared" si="16"/>
        <v>AR</v>
      </c>
      <c r="D201" s="1" t="str">
        <f t="shared" si="17"/>
        <v>AR</v>
      </c>
      <c r="E201" s="1" t="str">
        <f t="shared" si="18"/>
        <v>AR</v>
      </c>
      <c r="F201" s="1" t="str">
        <f t="shared" si="19"/>
        <v>Complete</v>
      </c>
      <c r="G201" s="1" t="str">
        <f>IF(COUNTIF($A$2:A201,A201)&gt;1,"Duplicate","Unique")</f>
        <v>Duplicate</v>
      </c>
    </row>
    <row r="202" spans="1:7" x14ac:dyDescent="0.25">
      <c r="A202" s="1" t="str">
        <v>NJ</v>
      </c>
      <c r="B202" s="1" t="str">
        <f t="shared" si="15"/>
        <v>NJ</v>
      </c>
      <c r="C202" s="1" t="str">
        <f t="shared" si="16"/>
        <v>NJ</v>
      </c>
      <c r="D202" s="1" t="str">
        <f t="shared" si="17"/>
        <v>NJ</v>
      </c>
      <c r="E202" s="1" t="str">
        <f t="shared" si="18"/>
        <v>NJ</v>
      </c>
      <c r="F202" s="1" t="str">
        <f t="shared" si="19"/>
        <v>Complete</v>
      </c>
      <c r="G202" s="1" t="str">
        <f>IF(COUNTIF($A$2:A202,A202)&gt;1,"Duplicate","Unique")</f>
        <v>Duplicate</v>
      </c>
    </row>
    <row r="203" spans="1:7" x14ac:dyDescent="0.25">
      <c r="A203" s="1" t="str">
        <v>NJ</v>
      </c>
      <c r="B203" s="1" t="str">
        <f t="shared" si="15"/>
        <v>NJ</v>
      </c>
      <c r="C203" s="1" t="str">
        <f t="shared" si="16"/>
        <v>NJ</v>
      </c>
      <c r="D203" s="1" t="str">
        <f t="shared" si="17"/>
        <v>NJ</v>
      </c>
      <c r="E203" s="1" t="str">
        <f t="shared" si="18"/>
        <v>NJ</v>
      </c>
      <c r="F203" s="1" t="str">
        <f t="shared" si="19"/>
        <v>Complete</v>
      </c>
      <c r="G203" s="1" t="str">
        <f>IF(COUNTIF($A$2:A203,A203)&gt;1,"Duplicate","Unique")</f>
        <v>Duplicate</v>
      </c>
    </row>
    <row r="204" spans="1:7" x14ac:dyDescent="0.25">
      <c r="A204" s="1" t="str">
        <v>TN</v>
      </c>
      <c r="B204" s="1" t="str">
        <f t="shared" si="15"/>
        <v>TN</v>
      </c>
      <c r="C204" s="1" t="str">
        <f t="shared" si="16"/>
        <v>TN</v>
      </c>
      <c r="D204" s="1" t="str">
        <f t="shared" si="17"/>
        <v>TN</v>
      </c>
      <c r="E204" s="1" t="str">
        <f t="shared" si="18"/>
        <v>TN</v>
      </c>
      <c r="F204" s="1" t="str">
        <f t="shared" si="19"/>
        <v>Complete</v>
      </c>
      <c r="G204" s="1" t="str">
        <f>IF(COUNTIF($A$2:A204,A204)&gt;1,"Duplicate","Unique")</f>
        <v>Duplicate</v>
      </c>
    </row>
    <row r="205" spans="1:7" x14ac:dyDescent="0.25">
      <c r="A205" s="1" t="str">
        <v>DE</v>
      </c>
      <c r="B205" s="1" t="str">
        <f t="shared" si="15"/>
        <v>DE</v>
      </c>
      <c r="C205" s="1" t="str">
        <f t="shared" si="16"/>
        <v>DE</v>
      </c>
      <c r="D205" s="1" t="str">
        <f t="shared" si="17"/>
        <v>DE</v>
      </c>
      <c r="E205" s="1" t="str">
        <f t="shared" si="18"/>
        <v>DE</v>
      </c>
      <c r="F205" s="1" t="str">
        <f t="shared" si="19"/>
        <v>Complete</v>
      </c>
      <c r="G205" s="1" t="str">
        <f>IF(COUNTIF($A$2:A205,A205)&gt;1,"Duplicate","Unique")</f>
        <v>Duplicate</v>
      </c>
    </row>
    <row r="206" spans="1:7" x14ac:dyDescent="0.25">
      <c r="A206" s="1" t="str">
        <v>TX</v>
      </c>
      <c r="B206" s="1" t="str">
        <f t="shared" si="15"/>
        <v>TX</v>
      </c>
      <c r="C206" s="1" t="str">
        <f t="shared" si="16"/>
        <v>TX</v>
      </c>
      <c r="D206" s="1" t="str">
        <f t="shared" si="17"/>
        <v>TX</v>
      </c>
      <c r="E206" s="1" t="str">
        <f t="shared" si="18"/>
        <v>TX</v>
      </c>
      <c r="F206" s="1" t="str">
        <f t="shared" si="19"/>
        <v>Complete</v>
      </c>
      <c r="G206" s="1" t="str">
        <f>IF(COUNTIF($A$2:A206,A206)&gt;1,"Duplicate","Unique")</f>
        <v>Duplicate</v>
      </c>
    </row>
    <row r="207" spans="1:7" x14ac:dyDescent="0.25">
      <c r="A207" s="1" t="str">
        <v>MI</v>
      </c>
      <c r="B207" s="1" t="str">
        <f t="shared" si="15"/>
        <v>MI</v>
      </c>
      <c r="C207" s="1" t="str">
        <f t="shared" si="16"/>
        <v>MI</v>
      </c>
      <c r="D207" s="1" t="str">
        <f t="shared" si="17"/>
        <v>MI</v>
      </c>
      <c r="E207" s="1" t="str">
        <f t="shared" si="18"/>
        <v>MI</v>
      </c>
      <c r="F207" s="1" t="str">
        <f t="shared" si="19"/>
        <v>Complete</v>
      </c>
      <c r="G207" s="1" t="str">
        <f>IF(COUNTIF($A$2:A207,A207)&gt;1,"Duplicate","Unique")</f>
        <v>Duplicate</v>
      </c>
    </row>
    <row r="208" spans="1:7" x14ac:dyDescent="0.25">
      <c r="A208" s="1" t="str">
        <v>MS</v>
      </c>
      <c r="B208" s="1" t="str">
        <f t="shared" si="15"/>
        <v>MS</v>
      </c>
      <c r="C208" s="1" t="str">
        <f t="shared" si="16"/>
        <v>MS</v>
      </c>
      <c r="D208" s="1" t="str">
        <f t="shared" si="17"/>
        <v>MS</v>
      </c>
      <c r="E208" s="1" t="str">
        <f t="shared" si="18"/>
        <v>MS</v>
      </c>
      <c r="F208" s="1" t="str">
        <f t="shared" si="19"/>
        <v>Complete</v>
      </c>
      <c r="G208" s="1" t="str">
        <f>IF(COUNTIF($A$2:A208,A208)&gt;1,"Duplicate","Unique")</f>
        <v>Duplicate</v>
      </c>
    </row>
    <row r="209" spans="1:7" x14ac:dyDescent="0.25">
      <c r="A209" s="1" t="str">
        <v>OK</v>
      </c>
      <c r="B209" s="1" t="str">
        <f t="shared" si="15"/>
        <v>OK</v>
      </c>
      <c r="C209" s="1" t="str">
        <f t="shared" si="16"/>
        <v>OK</v>
      </c>
      <c r="D209" s="1" t="str">
        <f t="shared" si="17"/>
        <v>OK</v>
      </c>
      <c r="E209" s="1" t="str">
        <f t="shared" si="18"/>
        <v>OK</v>
      </c>
      <c r="F209" s="1" t="str">
        <f t="shared" si="19"/>
        <v>Complete</v>
      </c>
      <c r="G209" s="1" t="str">
        <f>IF(COUNTIF($A$2:A209,A209)&gt;1,"Duplicate","Unique")</f>
        <v>Duplicate</v>
      </c>
    </row>
    <row r="210" spans="1:7" x14ac:dyDescent="0.25">
      <c r="A210" s="1" t="str">
        <v>ND</v>
      </c>
      <c r="B210" s="1" t="str">
        <f t="shared" si="15"/>
        <v>ND</v>
      </c>
      <c r="C210" s="1" t="str">
        <f t="shared" si="16"/>
        <v>ND</v>
      </c>
      <c r="D210" s="1" t="str">
        <f t="shared" si="17"/>
        <v>ND</v>
      </c>
      <c r="E210" s="1" t="str">
        <f t="shared" si="18"/>
        <v>ND</v>
      </c>
      <c r="F210" s="1" t="str">
        <f t="shared" si="19"/>
        <v>Complete</v>
      </c>
      <c r="G210" s="1" t="str">
        <f>IF(COUNTIF($A$2:A210,A210)&gt;1,"Duplicate","Unique")</f>
        <v>Duplicate</v>
      </c>
    </row>
    <row r="211" spans="1:7" x14ac:dyDescent="0.25">
      <c r="A211" s="1" t="str">
        <v>ND</v>
      </c>
      <c r="B211" s="1" t="str">
        <f t="shared" si="15"/>
        <v>ND</v>
      </c>
      <c r="C211" s="1" t="str">
        <f t="shared" si="16"/>
        <v>ND</v>
      </c>
      <c r="D211" s="1" t="str">
        <f t="shared" si="17"/>
        <v>ND</v>
      </c>
      <c r="E211" s="1" t="str">
        <f t="shared" si="18"/>
        <v>ND</v>
      </c>
      <c r="F211" s="1" t="str">
        <f t="shared" si="19"/>
        <v>Complete</v>
      </c>
      <c r="G211" s="1" t="str">
        <f>IF(COUNTIF($A$2:A211,A211)&gt;1,"Duplicate","Unique")</f>
        <v>Duplicate</v>
      </c>
    </row>
    <row r="212" spans="1:7" x14ac:dyDescent="0.25">
      <c r="A212" s="1" t="str">
        <v>NY</v>
      </c>
      <c r="B212" s="1" t="str">
        <f t="shared" si="15"/>
        <v>NY</v>
      </c>
      <c r="C212" s="1" t="str">
        <f t="shared" si="16"/>
        <v>NY</v>
      </c>
      <c r="D212" s="1" t="str">
        <f t="shared" si="17"/>
        <v>NY</v>
      </c>
      <c r="E212" s="1" t="str">
        <f t="shared" si="18"/>
        <v>NY</v>
      </c>
      <c r="F212" s="1" t="str">
        <f t="shared" si="19"/>
        <v>Complete</v>
      </c>
      <c r="G212" s="1" t="str">
        <f>IF(COUNTIF($A$2:A212,A212)&gt;1,"Duplicate","Unique")</f>
        <v>Duplicate</v>
      </c>
    </row>
    <row r="213" spans="1:7" x14ac:dyDescent="0.25">
      <c r="A213" s="1" t="str">
        <v>WV</v>
      </c>
      <c r="B213" s="1" t="str">
        <f t="shared" si="15"/>
        <v>WV</v>
      </c>
      <c r="C213" s="1" t="str">
        <f t="shared" si="16"/>
        <v>WV</v>
      </c>
      <c r="D213" s="1" t="str">
        <f t="shared" si="17"/>
        <v>WV</v>
      </c>
      <c r="E213" s="1" t="str">
        <f t="shared" si="18"/>
        <v>WV</v>
      </c>
      <c r="F213" s="1" t="str">
        <f t="shared" si="19"/>
        <v>Complete</v>
      </c>
      <c r="G213" s="1" t="str">
        <f>IF(COUNTIF($A$2:A213,A213)&gt;1,"Duplicate","Unique")</f>
        <v>Duplicate</v>
      </c>
    </row>
    <row r="214" spans="1:7" x14ac:dyDescent="0.25">
      <c r="A214" s="1" t="str">
        <v>WV</v>
      </c>
      <c r="B214" s="1" t="str">
        <f t="shared" si="15"/>
        <v>WV</v>
      </c>
      <c r="C214" s="1" t="str">
        <f t="shared" si="16"/>
        <v>WV</v>
      </c>
      <c r="D214" s="1" t="str">
        <f t="shared" si="17"/>
        <v>WV</v>
      </c>
      <c r="E214" s="1" t="str">
        <f t="shared" si="18"/>
        <v>WV</v>
      </c>
      <c r="F214" s="1" t="str">
        <f t="shared" si="19"/>
        <v>Complete</v>
      </c>
      <c r="G214" s="1" t="str">
        <f>IF(COUNTIF($A$2:A214,A214)&gt;1,"Duplicate","Unique")</f>
        <v>Duplicate</v>
      </c>
    </row>
    <row r="215" spans="1:7" x14ac:dyDescent="0.25">
      <c r="A215" s="1" t="str">
        <v>DC</v>
      </c>
      <c r="B215" s="1" t="str">
        <f t="shared" si="15"/>
        <v>DC</v>
      </c>
      <c r="C215" s="1" t="str">
        <f t="shared" si="16"/>
        <v>DC</v>
      </c>
      <c r="D215" s="1" t="str">
        <f t="shared" si="17"/>
        <v>DC</v>
      </c>
      <c r="E215" s="1" t="str">
        <f t="shared" si="18"/>
        <v>DC</v>
      </c>
      <c r="F215" s="1" t="str">
        <f t="shared" si="19"/>
        <v>Complete</v>
      </c>
      <c r="G215" s="1" t="str">
        <f>IF(COUNTIF($A$2:A215,A215)&gt;1,"Duplicate","Unique")</f>
        <v>Duplicate</v>
      </c>
    </row>
    <row r="216" spans="1:7" x14ac:dyDescent="0.25">
      <c r="A216" s="1" t="str">
        <v>MN</v>
      </c>
      <c r="B216" s="1" t="str">
        <f t="shared" si="15"/>
        <v>MN</v>
      </c>
      <c r="C216" s="1" t="str">
        <f t="shared" si="16"/>
        <v>MN</v>
      </c>
      <c r="D216" s="1" t="str">
        <f t="shared" si="17"/>
        <v>MN</v>
      </c>
      <c r="E216" s="1" t="str">
        <f t="shared" si="18"/>
        <v>MN</v>
      </c>
      <c r="F216" s="1" t="str">
        <f t="shared" si="19"/>
        <v>Complete</v>
      </c>
      <c r="G216" s="1" t="str">
        <f>IF(COUNTIF($A$2:A216,A216)&gt;1,"Duplicate","Unique")</f>
        <v>Duplicate</v>
      </c>
    </row>
    <row r="217" spans="1:7" x14ac:dyDescent="0.25">
      <c r="A217" s="1" t="str">
        <v>DE</v>
      </c>
      <c r="B217" s="1" t="str">
        <f t="shared" si="15"/>
        <v>DE</v>
      </c>
      <c r="C217" s="1" t="str">
        <f t="shared" si="16"/>
        <v>DE</v>
      </c>
      <c r="D217" s="1" t="str">
        <f t="shared" si="17"/>
        <v>DE</v>
      </c>
      <c r="E217" s="1" t="str">
        <f t="shared" si="18"/>
        <v>DE</v>
      </c>
      <c r="F217" s="1" t="str">
        <f t="shared" si="19"/>
        <v>Complete</v>
      </c>
      <c r="G217" s="1" t="str">
        <f>IF(COUNTIF($A$2:A217,A217)&gt;1,"Duplicate","Unique")</f>
        <v>Duplicate</v>
      </c>
    </row>
    <row r="218" spans="1:7" x14ac:dyDescent="0.25">
      <c r="A218" s="1" t="str">
        <v>VT</v>
      </c>
      <c r="B218" s="1" t="str">
        <f t="shared" si="15"/>
        <v>VT</v>
      </c>
      <c r="C218" s="1" t="str">
        <f t="shared" si="16"/>
        <v>VT</v>
      </c>
      <c r="D218" s="1" t="str">
        <f t="shared" si="17"/>
        <v>VT</v>
      </c>
      <c r="E218" s="1" t="str">
        <f t="shared" si="18"/>
        <v>VT</v>
      </c>
      <c r="F218" s="1" t="str">
        <f t="shared" si="19"/>
        <v>Complete</v>
      </c>
      <c r="G218" s="1" t="str">
        <f>IF(COUNTIF($A$2:A218,A218)&gt;1,"Duplicate","Unique")</f>
        <v>Duplicate</v>
      </c>
    </row>
    <row r="219" spans="1:7" x14ac:dyDescent="0.25">
      <c r="A219" s="1" t="str">
        <v>NY</v>
      </c>
      <c r="B219" s="1" t="str">
        <f t="shared" si="15"/>
        <v>NY</v>
      </c>
      <c r="C219" s="1" t="str">
        <f t="shared" si="16"/>
        <v>NY</v>
      </c>
      <c r="D219" s="1" t="str">
        <f t="shared" si="17"/>
        <v>NY</v>
      </c>
      <c r="E219" s="1" t="str">
        <f t="shared" si="18"/>
        <v>NY</v>
      </c>
      <c r="F219" s="1" t="str">
        <f t="shared" si="19"/>
        <v>Complete</v>
      </c>
      <c r="G219" s="1" t="str">
        <f>IF(COUNTIF($A$2:A219,A219)&gt;1,"Duplicate","Unique")</f>
        <v>Duplicate</v>
      </c>
    </row>
    <row r="220" spans="1:7" x14ac:dyDescent="0.25">
      <c r="A220" s="1" t="str">
        <v>TX</v>
      </c>
      <c r="B220" s="1" t="str">
        <f t="shared" si="15"/>
        <v>TX</v>
      </c>
      <c r="C220" s="1" t="str">
        <f t="shared" si="16"/>
        <v>TX</v>
      </c>
      <c r="D220" s="1" t="str">
        <f t="shared" si="17"/>
        <v>TX</v>
      </c>
      <c r="E220" s="1" t="str">
        <f t="shared" si="18"/>
        <v>TX</v>
      </c>
      <c r="F220" s="1" t="str">
        <f t="shared" si="19"/>
        <v>Complete</v>
      </c>
      <c r="G220" s="1" t="str">
        <f>IF(COUNTIF($A$2:A220,A220)&gt;1,"Duplicate","Unique")</f>
        <v>Duplicate</v>
      </c>
    </row>
    <row r="221" spans="1:7" x14ac:dyDescent="0.25">
      <c r="A221" s="1" t="str">
        <v>OR</v>
      </c>
      <c r="B221" s="1" t="str">
        <f t="shared" si="15"/>
        <v>OR</v>
      </c>
      <c r="C221" s="1" t="str">
        <f t="shared" si="16"/>
        <v>OR</v>
      </c>
      <c r="D221" s="1" t="str">
        <f t="shared" si="17"/>
        <v>OR</v>
      </c>
      <c r="E221" s="1" t="str">
        <f t="shared" si="18"/>
        <v>OR</v>
      </c>
      <c r="F221" s="1" t="str">
        <f t="shared" si="19"/>
        <v>Complete</v>
      </c>
      <c r="G221" s="1" t="str">
        <f>IF(COUNTIF($A$2:A221,A221)&gt;1,"Duplicate","Unique")</f>
        <v>Duplicate</v>
      </c>
    </row>
    <row r="222" spans="1:7" x14ac:dyDescent="0.25">
      <c r="A222" s="1" t="str">
        <v>KS</v>
      </c>
      <c r="B222" s="1" t="str">
        <f t="shared" si="15"/>
        <v>KS</v>
      </c>
      <c r="C222" s="1" t="str">
        <f t="shared" si="16"/>
        <v>KS</v>
      </c>
      <c r="D222" s="1" t="str">
        <f t="shared" si="17"/>
        <v>KS</v>
      </c>
      <c r="E222" s="1" t="str">
        <f t="shared" si="18"/>
        <v>KS</v>
      </c>
      <c r="F222" s="1" t="str">
        <f t="shared" si="19"/>
        <v>Complete</v>
      </c>
      <c r="G222" s="1" t="str">
        <f>IF(COUNTIF($A$2:A222,A222)&gt;1,"Duplicate","Unique")</f>
        <v>Duplicate</v>
      </c>
    </row>
    <row r="223" spans="1:7" x14ac:dyDescent="0.25">
      <c r="A223" s="1" t="str">
        <v>ND</v>
      </c>
      <c r="B223" s="1" t="str">
        <f t="shared" si="15"/>
        <v>ND</v>
      </c>
      <c r="C223" s="1" t="str">
        <f t="shared" si="16"/>
        <v>ND</v>
      </c>
      <c r="D223" s="1" t="str">
        <f t="shared" si="17"/>
        <v>ND</v>
      </c>
      <c r="E223" s="1" t="str">
        <f t="shared" si="18"/>
        <v>ND</v>
      </c>
      <c r="F223" s="1" t="str">
        <f t="shared" si="19"/>
        <v>Complete</v>
      </c>
      <c r="G223" s="1" t="str">
        <f>IF(COUNTIF($A$2:A223,A223)&gt;1,"Duplicate","Unique")</f>
        <v>Duplicate</v>
      </c>
    </row>
    <row r="224" spans="1:7" x14ac:dyDescent="0.25">
      <c r="A224" s="1" t="str">
        <v>PA</v>
      </c>
      <c r="B224" s="1" t="str">
        <f t="shared" si="15"/>
        <v>PA</v>
      </c>
      <c r="C224" s="1" t="str">
        <f t="shared" si="16"/>
        <v>PA</v>
      </c>
      <c r="D224" s="1" t="str">
        <f t="shared" si="17"/>
        <v>PA</v>
      </c>
      <c r="E224" s="1" t="str">
        <f t="shared" si="18"/>
        <v>PA</v>
      </c>
      <c r="F224" s="1" t="str">
        <f t="shared" si="19"/>
        <v>Complete</v>
      </c>
      <c r="G224" s="1" t="str">
        <f>IF(COUNTIF($A$2:A224,A224)&gt;1,"Duplicate","Unique")</f>
        <v>Duplicate</v>
      </c>
    </row>
    <row r="225" spans="1:7" x14ac:dyDescent="0.25">
      <c r="A225" s="1" t="str">
        <v>NY</v>
      </c>
      <c r="B225" s="1" t="str">
        <f t="shared" si="15"/>
        <v>NY</v>
      </c>
      <c r="C225" s="1" t="str">
        <f t="shared" si="16"/>
        <v>NY</v>
      </c>
      <c r="D225" s="1" t="str">
        <f t="shared" si="17"/>
        <v>NY</v>
      </c>
      <c r="E225" s="1" t="str">
        <f t="shared" si="18"/>
        <v>NY</v>
      </c>
      <c r="F225" s="1" t="str">
        <f t="shared" si="19"/>
        <v>Complete</v>
      </c>
      <c r="G225" s="1" t="str">
        <f>IF(COUNTIF($A$2:A225,A225)&gt;1,"Duplicate","Unique")</f>
        <v>Duplicate</v>
      </c>
    </row>
    <row r="226" spans="1:7" x14ac:dyDescent="0.25">
      <c r="A226" s="1" t="str">
        <v>WY</v>
      </c>
      <c r="B226" s="1" t="str">
        <f t="shared" si="15"/>
        <v>WY</v>
      </c>
      <c r="C226" s="1" t="str">
        <f t="shared" si="16"/>
        <v>WY</v>
      </c>
      <c r="D226" s="1" t="str">
        <f t="shared" si="17"/>
        <v>WY</v>
      </c>
      <c r="E226" s="1" t="str">
        <f t="shared" si="18"/>
        <v>WY</v>
      </c>
      <c r="F226" s="1" t="str">
        <f t="shared" si="19"/>
        <v>Complete</v>
      </c>
      <c r="G226" s="1" t="str">
        <f>IF(COUNTIF($A$2:A226,A226)&gt;1,"Duplicate","Unique")</f>
        <v>Duplicate</v>
      </c>
    </row>
    <row r="227" spans="1:7" x14ac:dyDescent="0.25">
      <c r="A227" s="1" t="str">
        <v>NY</v>
      </c>
      <c r="B227" s="1" t="str">
        <f t="shared" si="15"/>
        <v>NY</v>
      </c>
      <c r="C227" s="1" t="str">
        <f t="shared" si="16"/>
        <v>NY</v>
      </c>
      <c r="D227" s="1" t="str">
        <f t="shared" si="17"/>
        <v>NY</v>
      </c>
      <c r="E227" s="1" t="str">
        <f t="shared" si="18"/>
        <v>NY</v>
      </c>
      <c r="F227" s="1" t="str">
        <f t="shared" si="19"/>
        <v>Complete</v>
      </c>
      <c r="G227" s="1" t="str">
        <f>IF(COUNTIF($A$2:A227,A227)&gt;1,"Duplicate","Unique")</f>
        <v>Duplicate</v>
      </c>
    </row>
    <row r="228" spans="1:7" x14ac:dyDescent="0.25">
      <c r="A228" s="1" t="str">
        <v>ME</v>
      </c>
      <c r="B228" s="1" t="str">
        <f t="shared" si="15"/>
        <v>ME</v>
      </c>
      <c r="C228" s="1" t="str">
        <f t="shared" si="16"/>
        <v>ME</v>
      </c>
      <c r="D228" s="1" t="str">
        <f t="shared" si="17"/>
        <v>ME</v>
      </c>
      <c r="E228" s="1" t="str">
        <f t="shared" si="18"/>
        <v>ME</v>
      </c>
      <c r="F228" s="1" t="str">
        <f t="shared" si="19"/>
        <v>Complete</v>
      </c>
      <c r="G228" s="1" t="str">
        <f>IF(COUNTIF($A$2:A228,A228)&gt;1,"Duplicate","Unique")</f>
        <v>Duplicate</v>
      </c>
    </row>
    <row r="229" spans="1:7" x14ac:dyDescent="0.25">
      <c r="A229" s="1" t="str">
        <v>SD</v>
      </c>
      <c r="B229" s="1" t="str">
        <f t="shared" si="15"/>
        <v>SD</v>
      </c>
      <c r="C229" s="1" t="str">
        <f t="shared" si="16"/>
        <v>SD</v>
      </c>
      <c r="D229" s="1" t="str">
        <f t="shared" si="17"/>
        <v>SD</v>
      </c>
      <c r="E229" s="1" t="str">
        <f t="shared" si="18"/>
        <v>SD</v>
      </c>
      <c r="F229" s="1" t="str">
        <f t="shared" si="19"/>
        <v>Complete</v>
      </c>
      <c r="G229" s="1" t="str">
        <f>IF(COUNTIF($A$2:A229,A229)&gt;1,"Duplicate","Unique")</f>
        <v>Duplicate</v>
      </c>
    </row>
    <row r="230" spans="1:7" x14ac:dyDescent="0.25">
      <c r="A230" s="1" t="str">
        <v>UT</v>
      </c>
      <c r="B230" s="1" t="str">
        <f t="shared" si="15"/>
        <v>UT</v>
      </c>
      <c r="C230" s="1" t="str">
        <f t="shared" si="16"/>
        <v>UT</v>
      </c>
      <c r="D230" s="1" t="str">
        <f t="shared" si="17"/>
        <v>UT</v>
      </c>
      <c r="E230" s="1" t="str">
        <f t="shared" si="18"/>
        <v>UT</v>
      </c>
      <c r="F230" s="1" t="str">
        <f t="shared" si="19"/>
        <v>Complete</v>
      </c>
      <c r="G230" s="1" t="str">
        <f>IF(COUNTIF($A$2:A230,A230)&gt;1,"Duplicate","Unique")</f>
        <v>Duplicate</v>
      </c>
    </row>
    <row r="231" spans="1:7" x14ac:dyDescent="0.25">
      <c r="A231" s="1" t="str">
        <v>AK</v>
      </c>
      <c r="B231" s="1" t="str">
        <f t="shared" si="15"/>
        <v>AK</v>
      </c>
      <c r="C231" s="1" t="str">
        <f t="shared" si="16"/>
        <v>AK</v>
      </c>
      <c r="D231" s="1" t="str">
        <f t="shared" si="17"/>
        <v>AK</v>
      </c>
      <c r="E231" s="1" t="str">
        <f t="shared" si="18"/>
        <v>AK</v>
      </c>
      <c r="F231" s="1" t="str">
        <f t="shared" si="19"/>
        <v>Complete</v>
      </c>
      <c r="G231" s="1" t="str">
        <f>IF(COUNTIF($A$2:A231,A231)&gt;1,"Duplicate","Unique")</f>
        <v>Duplicate</v>
      </c>
    </row>
    <row r="232" spans="1:7" x14ac:dyDescent="0.25">
      <c r="A232" s="1" t="str">
        <v>RI</v>
      </c>
      <c r="B232" s="1" t="str">
        <f t="shared" si="15"/>
        <v>RI</v>
      </c>
      <c r="C232" s="1" t="str">
        <f t="shared" si="16"/>
        <v>RI</v>
      </c>
      <c r="D232" s="1" t="str">
        <f t="shared" si="17"/>
        <v>RI</v>
      </c>
      <c r="E232" s="1" t="str">
        <f t="shared" si="18"/>
        <v>RI</v>
      </c>
      <c r="F232" s="1" t="str">
        <f t="shared" si="19"/>
        <v>Complete</v>
      </c>
      <c r="G232" s="1" t="str">
        <f>IF(COUNTIF($A$2:A232,A232)&gt;1,"Duplicate","Unique")</f>
        <v>Duplicate</v>
      </c>
    </row>
    <row r="233" spans="1:7" x14ac:dyDescent="0.25">
      <c r="A233" s="1" t="str">
        <v>AL</v>
      </c>
      <c r="B233" s="1" t="str">
        <f t="shared" si="15"/>
        <v>AL</v>
      </c>
      <c r="C233" s="1" t="str">
        <f t="shared" si="16"/>
        <v>AL</v>
      </c>
      <c r="D233" s="1" t="str">
        <f t="shared" si="17"/>
        <v>AL</v>
      </c>
      <c r="E233" s="1" t="str">
        <f t="shared" si="18"/>
        <v>AL</v>
      </c>
      <c r="F233" s="1" t="str">
        <f t="shared" si="19"/>
        <v>Complete</v>
      </c>
      <c r="G233" s="1" t="str">
        <f>IF(COUNTIF($A$2:A233,A233)&gt;1,"Duplicate","Unique")</f>
        <v>Duplicate</v>
      </c>
    </row>
    <row r="234" spans="1:7" x14ac:dyDescent="0.25">
      <c r="A234" s="1" t="str">
        <v>DE</v>
      </c>
      <c r="B234" s="1" t="str">
        <f t="shared" si="15"/>
        <v>DE</v>
      </c>
      <c r="C234" s="1" t="str">
        <f t="shared" si="16"/>
        <v>DE</v>
      </c>
      <c r="D234" s="1" t="str">
        <f t="shared" si="17"/>
        <v>DE</v>
      </c>
      <c r="E234" s="1" t="str">
        <f t="shared" si="18"/>
        <v>DE</v>
      </c>
      <c r="F234" s="1" t="str">
        <f t="shared" si="19"/>
        <v>Complete</v>
      </c>
      <c r="G234" s="1" t="str">
        <f>IF(COUNTIF($A$2:A234,A234)&gt;1,"Duplicate","Unique")</f>
        <v>Duplicate</v>
      </c>
    </row>
    <row r="235" spans="1:7" x14ac:dyDescent="0.25">
      <c r="A235" s="1" t="str">
        <v>ID</v>
      </c>
      <c r="B235" s="1" t="str">
        <f t="shared" si="15"/>
        <v>ID</v>
      </c>
      <c r="C235" s="1" t="str">
        <f t="shared" si="16"/>
        <v>ID</v>
      </c>
      <c r="D235" s="1" t="str">
        <f t="shared" si="17"/>
        <v>ID</v>
      </c>
      <c r="E235" s="1" t="str">
        <f t="shared" si="18"/>
        <v>ID</v>
      </c>
      <c r="F235" s="1" t="str">
        <f t="shared" si="19"/>
        <v>Complete</v>
      </c>
      <c r="G235" s="1" t="str">
        <f>IF(COUNTIF($A$2:A235,A235)&gt;1,"Duplicate","Unique")</f>
        <v>Duplicate</v>
      </c>
    </row>
    <row r="236" spans="1:7" x14ac:dyDescent="0.25">
      <c r="A236" s="1" t="str">
        <v>MO</v>
      </c>
      <c r="B236" s="1" t="str">
        <f t="shared" si="15"/>
        <v>MO</v>
      </c>
      <c r="C236" s="1" t="str">
        <f t="shared" si="16"/>
        <v>MO</v>
      </c>
      <c r="D236" s="1" t="str">
        <f t="shared" si="17"/>
        <v>MO</v>
      </c>
      <c r="E236" s="1" t="str">
        <f t="shared" si="18"/>
        <v>MO</v>
      </c>
      <c r="F236" s="1" t="str">
        <f t="shared" si="19"/>
        <v>Complete</v>
      </c>
      <c r="G236" s="1" t="str">
        <f>IF(COUNTIF($A$2:A236,A236)&gt;1,"Duplicate","Unique")</f>
        <v>Duplicate</v>
      </c>
    </row>
    <row r="237" spans="1:7" x14ac:dyDescent="0.25">
      <c r="A237" s="1" t="str">
        <v>IL</v>
      </c>
      <c r="B237" s="1" t="str">
        <f t="shared" si="15"/>
        <v>IL</v>
      </c>
      <c r="C237" s="1" t="str">
        <f t="shared" si="16"/>
        <v>IL</v>
      </c>
      <c r="D237" s="1" t="str">
        <f t="shared" si="17"/>
        <v>IL</v>
      </c>
      <c r="E237" s="1" t="str">
        <f t="shared" si="18"/>
        <v>IL</v>
      </c>
      <c r="F237" s="1" t="str">
        <f t="shared" si="19"/>
        <v>Complete</v>
      </c>
      <c r="G237" s="1" t="str">
        <f>IF(COUNTIF($A$2:A237,A237)&gt;1,"Duplicate","Unique")</f>
        <v>Duplicate</v>
      </c>
    </row>
    <row r="238" spans="1:7" x14ac:dyDescent="0.25">
      <c r="A238" s="1" t="str">
        <v>FL</v>
      </c>
      <c r="B238" s="1" t="str">
        <f t="shared" si="15"/>
        <v>FL</v>
      </c>
      <c r="C238" s="1" t="str">
        <f t="shared" si="16"/>
        <v>FL</v>
      </c>
      <c r="D238" s="1" t="str">
        <f t="shared" si="17"/>
        <v>FL</v>
      </c>
      <c r="E238" s="1" t="str">
        <f t="shared" si="18"/>
        <v>FL</v>
      </c>
      <c r="F238" s="1" t="str">
        <f t="shared" si="19"/>
        <v>Complete</v>
      </c>
      <c r="G238" s="1" t="str">
        <f>IF(COUNTIF($A$2:A238,A238)&gt;1,"Duplicate","Unique")</f>
        <v>Duplicate</v>
      </c>
    </row>
    <row r="239" spans="1:7" x14ac:dyDescent="0.25">
      <c r="A239" s="1" t="str">
        <v>KY</v>
      </c>
      <c r="B239" s="1" t="str">
        <f t="shared" si="15"/>
        <v>KY</v>
      </c>
      <c r="C239" s="1" t="str">
        <f t="shared" si="16"/>
        <v>KY</v>
      </c>
      <c r="D239" s="1" t="str">
        <f t="shared" si="17"/>
        <v>KY</v>
      </c>
      <c r="E239" s="1" t="str">
        <f t="shared" si="18"/>
        <v>KY</v>
      </c>
      <c r="F239" s="1" t="str">
        <f t="shared" si="19"/>
        <v>Complete</v>
      </c>
      <c r="G239" s="1" t="str">
        <f>IF(COUNTIF($A$2:A239,A239)&gt;1,"Duplicate","Unique")</f>
        <v>Duplicate</v>
      </c>
    </row>
    <row r="240" spans="1:7" x14ac:dyDescent="0.25">
      <c r="A240" s="1" t="str">
        <v>MI</v>
      </c>
      <c r="B240" s="1" t="str">
        <f t="shared" si="15"/>
        <v>MI</v>
      </c>
      <c r="C240" s="1" t="str">
        <f t="shared" si="16"/>
        <v>MI</v>
      </c>
      <c r="D240" s="1" t="str">
        <f t="shared" si="17"/>
        <v>MI</v>
      </c>
      <c r="E240" s="1" t="str">
        <f t="shared" si="18"/>
        <v>MI</v>
      </c>
      <c r="F240" s="1" t="str">
        <f t="shared" si="19"/>
        <v>Complete</v>
      </c>
      <c r="G240" s="1" t="str">
        <f>IF(COUNTIF($A$2:A240,A240)&gt;1,"Duplicate","Unique")</f>
        <v>Duplicate</v>
      </c>
    </row>
    <row r="241" spans="1:7" x14ac:dyDescent="0.25">
      <c r="A241" s="1" t="str">
        <v>NY</v>
      </c>
      <c r="B241" s="1" t="str">
        <f t="shared" si="15"/>
        <v>NY</v>
      </c>
      <c r="C241" s="1" t="str">
        <f t="shared" si="16"/>
        <v>NY</v>
      </c>
      <c r="D241" s="1" t="str">
        <f t="shared" si="17"/>
        <v>NY</v>
      </c>
      <c r="E241" s="1" t="str">
        <f t="shared" si="18"/>
        <v>NY</v>
      </c>
      <c r="F241" s="1" t="str">
        <f t="shared" si="19"/>
        <v>Complete</v>
      </c>
      <c r="G241" s="1" t="str">
        <f>IF(COUNTIF($A$2:A241,A241)&gt;1,"Duplicate","Unique")</f>
        <v>Duplicate</v>
      </c>
    </row>
    <row r="242" spans="1:7" x14ac:dyDescent="0.25">
      <c r="A242" s="1" t="str">
        <v>KS</v>
      </c>
      <c r="B242" s="1" t="str">
        <f t="shared" si="15"/>
        <v>KS</v>
      </c>
      <c r="C242" s="1" t="str">
        <f t="shared" si="16"/>
        <v>KS</v>
      </c>
      <c r="D242" s="1" t="str">
        <f t="shared" si="17"/>
        <v>KS</v>
      </c>
      <c r="E242" s="1" t="str">
        <f t="shared" si="18"/>
        <v>KS</v>
      </c>
      <c r="F242" s="1" t="str">
        <f t="shared" si="19"/>
        <v>Complete</v>
      </c>
      <c r="G242" s="1" t="str">
        <f>IF(COUNTIF($A$2:A242,A242)&gt;1,"Duplicate","Unique")</f>
        <v>Duplicate</v>
      </c>
    </row>
    <row r="243" spans="1:7" x14ac:dyDescent="0.25">
      <c r="A243" s="1" t="str">
        <v>PA</v>
      </c>
      <c r="B243" s="1" t="str">
        <f t="shared" si="15"/>
        <v>PA</v>
      </c>
      <c r="C243" s="1" t="str">
        <f t="shared" si="16"/>
        <v>PA</v>
      </c>
      <c r="D243" s="1" t="str">
        <f t="shared" si="17"/>
        <v>PA</v>
      </c>
      <c r="E243" s="1" t="str">
        <f t="shared" si="18"/>
        <v>PA</v>
      </c>
      <c r="F243" s="1" t="str">
        <f t="shared" si="19"/>
        <v>Complete</v>
      </c>
      <c r="G243" s="1" t="str">
        <f>IF(COUNTIF($A$2:A243,A243)&gt;1,"Duplicate","Unique")</f>
        <v>Duplicate</v>
      </c>
    </row>
    <row r="244" spans="1:7" x14ac:dyDescent="0.25">
      <c r="A244" s="1" t="str">
        <v>MI</v>
      </c>
      <c r="B244" s="1" t="str">
        <f t="shared" si="15"/>
        <v>MI</v>
      </c>
      <c r="C244" s="1" t="str">
        <f t="shared" si="16"/>
        <v>MI</v>
      </c>
      <c r="D244" s="1" t="str">
        <f t="shared" si="17"/>
        <v>MI</v>
      </c>
      <c r="E244" s="1" t="str">
        <f t="shared" si="18"/>
        <v>MI</v>
      </c>
      <c r="F244" s="1" t="str">
        <f t="shared" si="19"/>
        <v>Complete</v>
      </c>
      <c r="G244" s="1" t="str">
        <f>IF(COUNTIF($A$2:A244,A244)&gt;1,"Duplicate","Unique")</f>
        <v>Duplicate</v>
      </c>
    </row>
    <row r="245" spans="1:7" x14ac:dyDescent="0.25">
      <c r="A245" s="1" t="str">
        <v>NH</v>
      </c>
      <c r="B245" s="1" t="str">
        <f t="shared" si="15"/>
        <v>NH</v>
      </c>
      <c r="C245" s="1" t="str">
        <f t="shared" si="16"/>
        <v>NH</v>
      </c>
      <c r="D245" s="1" t="str">
        <f t="shared" si="17"/>
        <v>NH</v>
      </c>
      <c r="E245" s="1" t="str">
        <f t="shared" si="18"/>
        <v>NH</v>
      </c>
      <c r="F245" s="1" t="str">
        <f t="shared" si="19"/>
        <v>Complete</v>
      </c>
      <c r="G245" s="1" t="str">
        <f>IF(COUNTIF($A$2:A245,A245)&gt;1,"Duplicate","Unique")</f>
        <v>Duplicate</v>
      </c>
    </row>
    <row r="246" spans="1:7" x14ac:dyDescent="0.25">
      <c r="A246" s="1" t="str">
        <v>WA</v>
      </c>
      <c r="B246" s="1" t="str">
        <f t="shared" si="15"/>
        <v>WA</v>
      </c>
      <c r="C246" s="1" t="str">
        <f t="shared" si="16"/>
        <v>WA</v>
      </c>
      <c r="D246" s="1" t="str">
        <f t="shared" si="17"/>
        <v>WA</v>
      </c>
      <c r="E246" s="1" t="str">
        <f t="shared" si="18"/>
        <v>WA</v>
      </c>
      <c r="F246" s="1" t="str">
        <f t="shared" si="19"/>
        <v>Complete</v>
      </c>
      <c r="G246" s="1" t="str">
        <f>IF(COUNTIF($A$2:A246,A246)&gt;1,"Duplicate","Unique")</f>
        <v>Duplicate</v>
      </c>
    </row>
    <row r="247" spans="1:7" x14ac:dyDescent="0.25">
      <c r="A247" s="1" t="str">
        <v>NY</v>
      </c>
      <c r="B247" s="1" t="str">
        <f t="shared" si="15"/>
        <v>NY</v>
      </c>
      <c r="C247" s="1" t="str">
        <f t="shared" si="16"/>
        <v>NY</v>
      </c>
      <c r="D247" s="1" t="str">
        <f t="shared" si="17"/>
        <v>NY</v>
      </c>
      <c r="E247" s="1" t="str">
        <f t="shared" si="18"/>
        <v>NY</v>
      </c>
      <c r="F247" s="1" t="str">
        <f t="shared" si="19"/>
        <v>Complete</v>
      </c>
      <c r="G247" s="1" t="str">
        <f>IF(COUNTIF($A$2:A247,A247)&gt;1,"Duplicate","Unique")</f>
        <v>Duplicate</v>
      </c>
    </row>
    <row r="248" spans="1:7" x14ac:dyDescent="0.25">
      <c r="A248" s="1" t="str">
        <v>MD</v>
      </c>
      <c r="B248" s="1" t="str">
        <f t="shared" si="15"/>
        <v>MD</v>
      </c>
      <c r="C248" s="1" t="str">
        <f t="shared" si="16"/>
        <v>MD</v>
      </c>
      <c r="D248" s="1" t="str">
        <f t="shared" si="17"/>
        <v>MD</v>
      </c>
      <c r="E248" s="1" t="str">
        <f t="shared" si="18"/>
        <v>MD</v>
      </c>
      <c r="F248" s="1" t="str">
        <f t="shared" si="19"/>
        <v>Complete</v>
      </c>
      <c r="G248" s="1" t="str">
        <f>IF(COUNTIF($A$2:A248,A248)&gt;1,"Duplicate","Unique")</f>
        <v>Duplicate</v>
      </c>
    </row>
    <row r="249" spans="1:7" x14ac:dyDescent="0.25">
      <c r="A249" s="1" t="str">
        <v>KS</v>
      </c>
      <c r="B249" s="1" t="str">
        <f t="shared" si="15"/>
        <v>KS</v>
      </c>
      <c r="C249" s="1" t="str">
        <f t="shared" si="16"/>
        <v>KS</v>
      </c>
      <c r="D249" s="1" t="str">
        <f t="shared" si="17"/>
        <v>KS</v>
      </c>
      <c r="E249" s="1" t="str">
        <f t="shared" si="18"/>
        <v>KS</v>
      </c>
      <c r="F249" s="1" t="str">
        <f t="shared" si="19"/>
        <v>Complete</v>
      </c>
      <c r="G249" s="1" t="str">
        <f>IF(COUNTIF($A$2:A249,A249)&gt;1,"Duplicate","Unique")</f>
        <v>Duplicate</v>
      </c>
    </row>
    <row r="250" spans="1:7" x14ac:dyDescent="0.25">
      <c r="A250" s="1" t="str">
        <v>DE</v>
      </c>
      <c r="B250" s="1" t="str">
        <f t="shared" si="15"/>
        <v>DE</v>
      </c>
      <c r="C250" s="1" t="str">
        <f t="shared" si="16"/>
        <v>DE</v>
      </c>
      <c r="D250" s="1" t="str">
        <f t="shared" si="17"/>
        <v>DE</v>
      </c>
      <c r="E250" s="1" t="str">
        <f t="shared" si="18"/>
        <v>DE</v>
      </c>
      <c r="F250" s="1" t="str">
        <f t="shared" si="19"/>
        <v>Complete</v>
      </c>
      <c r="G250" s="1" t="str">
        <f>IF(COUNTIF($A$2:A250,A250)&gt;1,"Duplicate","Unique")</f>
        <v>Duplicate</v>
      </c>
    </row>
    <row r="251" spans="1:7" x14ac:dyDescent="0.25">
      <c r="A251" s="1" t="str">
        <v>IN</v>
      </c>
      <c r="B251" s="1" t="str">
        <f t="shared" si="15"/>
        <v>IN</v>
      </c>
      <c r="C251" s="1" t="str">
        <f t="shared" si="16"/>
        <v>IN</v>
      </c>
      <c r="D251" s="1" t="str">
        <f t="shared" si="17"/>
        <v>IN</v>
      </c>
      <c r="E251" s="1" t="str">
        <f t="shared" si="18"/>
        <v>IN</v>
      </c>
      <c r="F251" s="1" t="str">
        <f t="shared" si="19"/>
        <v>Complete</v>
      </c>
      <c r="G251" s="1" t="str">
        <f>IF(COUNTIF($A$2:A251,A251)&gt;1,"Duplicate","Unique")</f>
        <v>Duplicate</v>
      </c>
    </row>
    <row r="252" spans="1:7" x14ac:dyDescent="0.25">
      <c r="A252" s="1" t="str">
        <v>VT</v>
      </c>
      <c r="B252" s="1" t="str">
        <f t="shared" si="15"/>
        <v>VT</v>
      </c>
      <c r="C252" s="1" t="str">
        <f t="shared" si="16"/>
        <v>VT</v>
      </c>
      <c r="D252" s="1" t="str">
        <f t="shared" si="17"/>
        <v>VT</v>
      </c>
      <c r="E252" s="1" t="str">
        <f t="shared" si="18"/>
        <v>VT</v>
      </c>
      <c r="F252" s="1" t="str">
        <f t="shared" si="19"/>
        <v>Complete</v>
      </c>
      <c r="G252" s="1" t="str">
        <f>IF(COUNTIF($A$2:A252,A252)&gt;1,"Duplicate","Unique")</f>
        <v>Duplicate</v>
      </c>
    </row>
    <row r="253" spans="1:7" x14ac:dyDescent="0.25">
      <c r="A253" s="1" t="str">
        <v>WA</v>
      </c>
      <c r="B253" s="1" t="str">
        <f t="shared" si="15"/>
        <v>WA</v>
      </c>
      <c r="C253" s="1" t="str">
        <f t="shared" si="16"/>
        <v>WA</v>
      </c>
      <c r="D253" s="1" t="str">
        <f t="shared" si="17"/>
        <v>WA</v>
      </c>
      <c r="E253" s="1" t="str">
        <f t="shared" si="18"/>
        <v>WA</v>
      </c>
      <c r="F253" s="1" t="str">
        <f t="shared" si="19"/>
        <v>Complete</v>
      </c>
      <c r="G253" s="1" t="str">
        <f>IF(COUNTIF($A$2:A253,A253)&gt;1,"Duplicate","Unique")</f>
        <v>Duplicate</v>
      </c>
    </row>
    <row r="254" spans="1:7" x14ac:dyDescent="0.25">
      <c r="A254" s="1" t="str">
        <v>NM</v>
      </c>
      <c r="B254" s="1" t="str">
        <f t="shared" si="15"/>
        <v>NM</v>
      </c>
      <c r="C254" s="1" t="str">
        <f t="shared" si="16"/>
        <v>NM</v>
      </c>
      <c r="D254" s="1" t="str">
        <f t="shared" si="17"/>
        <v>NM</v>
      </c>
      <c r="E254" s="1" t="str">
        <f t="shared" si="18"/>
        <v>NM</v>
      </c>
      <c r="F254" s="1" t="str">
        <f t="shared" si="19"/>
        <v>Complete</v>
      </c>
      <c r="G254" s="1" t="str">
        <f>IF(COUNTIF($A$2:A254,A254)&gt;1,"Duplicate","Unique")</f>
        <v>Duplicate</v>
      </c>
    </row>
    <row r="255" spans="1:7" x14ac:dyDescent="0.25">
      <c r="A255" s="1" t="str">
        <v>MO</v>
      </c>
      <c r="B255" s="1" t="str">
        <f t="shared" si="15"/>
        <v>MO</v>
      </c>
      <c r="C255" s="1" t="str">
        <f t="shared" si="16"/>
        <v>MO</v>
      </c>
      <c r="D255" s="1" t="str">
        <f t="shared" si="17"/>
        <v>MO</v>
      </c>
      <c r="E255" s="1" t="str">
        <f t="shared" si="18"/>
        <v>MO</v>
      </c>
      <c r="F255" s="1" t="str">
        <f t="shared" si="19"/>
        <v>Complete</v>
      </c>
      <c r="G255" s="1" t="str">
        <f>IF(COUNTIF($A$2:A255,A255)&gt;1,"Duplicate","Unique")</f>
        <v>Duplicate</v>
      </c>
    </row>
    <row r="256" spans="1:7" x14ac:dyDescent="0.25">
      <c r="A256" s="1" t="str">
        <v>IA</v>
      </c>
      <c r="B256" s="1" t="str">
        <f t="shared" si="15"/>
        <v>IA</v>
      </c>
      <c r="C256" s="1" t="str">
        <f t="shared" si="16"/>
        <v>IA</v>
      </c>
      <c r="D256" s="1" t="str">
        <f t="shared" si="17"/>
        <v>IA</v>
      </c>
      <c r="E256" s="1" t="str">
        <f t="shared" si="18"/>
        <v>IA</v>
      </c>
      <c r="F256" s="1" t="str">
        <f t="shared" si="19"/>
        <v>Complete</v>
      </c>
      <c r="G256" s="1" t="str">
        <f>IF(COUNTIF($A$2:A256,A256)&gt;1,"Duplicate","Unique")</f>
        <v>Duplicate</v>
      </c>
    </row>
    <row r="257" spans="1:7" x14ac:dyDescent="0.25">
      <c r="A257" s="1" t="str">
        <v>WA</v>
      </c>
      <c r="B257" s="1" t="str">
        <f t="shared" si="15"/>
        <v>WA</v>
      </c>
      <c r="C257" s="1" t="str">
        <f t="shared" si="16"/>
        <v>WA</v>
      </c>
      <c r="D257" s="1" t="str">
        <f t="shared" si="17"/>
        <v>WA</v>
      </c>
      <c r="E257" s="1" t="str">
        <f t="shared" si="18"/>
        <v>WA</v>
      </c>
      <c r="F257" s="1" t="str">
        <f t="shared" si="19"/>
        <v>Complete</v>
      </c>
      <c r="G257" s="1" t="str">
        <f>IF(COUNTIF($A$2:A257,A257)&gt;1,"Duplicate","Unique")</f>
        <v>Duplicate</v>
      </c>
    </row>
    <row r="258" spans="1:7" x14ac:dyDescent="0.25">
      <c r="A258" s="1" t="str">
        <v>CT</v>
      </c>
      <c r="B258" s="1" t="str">
        <f t="shared" si="15"/>
        <v>CT</v>
      </c>
      <c r="C258" s="1" t="str">
        <f t="shared" si="16"/>
        <v>CT</v>
      </c>
      <c r="D258" s="1" t="str">
        <f t="shared" si="17"/>
        <v>CT</v>
      </c>
      <c r="E258" s="1" t="str">
        <f t="shared" si="18"/>
        <v>CT</v>
      </c>
      <c r="F258" s="1" t="str">
        <f t="shared" si="19"/>
        <v>Complete</v>
      </c>
      <c r="G258" s="1" t="str">
        <f>IF(COUNTIF($A$2:A258,A258)&gt;1,"Duplicate","Unique")</f>
        <v>Duplicate</v>
      </c>
    </row>
    <row r="259" spans="1:7" x14ac:dyDescent="0.25">
      <c r="A259" s="1" t="str">
        <v>NH</v>
      </c>
      <c r="B259" s="1" t="str">
        <f t="shared" ref="B259:B322" si="20">TRIM(A259)</f>
        <v>NH</v>
      </c>
      <c r="C259" s="1" t="str">
        <f t="shared" ref="C259:C322" si="21">CLEAN(A259)</f>
        <v>NH</v>
      </c>
      <c r="D259" s="1" t="str">
        <f t="shared" ref="D259:D322" si="22">TRIM(CLEAN(A259))</f>
        <v>NH</v>
      </c>
      <c r="E259" s="1" t="str">
        <f t="shared" ref="E259:E322" si="23">SUBSTITUTE(D259," ","")</f>
        <v>NH</v>
      </c>
      <c r="F259" s="1" t="str">
        <f t="shared" ref="F259:F322" si="24">IF(ISBLANK(A259),"Missing","Complete")</f>
        <v>Complete</v>
      </c>
      <c r="G259" s="1" t="str">
        <f>IF(COUNTIF($A$2:A259,A259)&gt;1,"Duplicate","Unique")</f>
        <v>Duplicate</v>
      </c>
    </row>
    <row r="260" spans="1:7" x14ac:dyDescent="0.25">
      <c r="A260" s="1" t="str">
        <v>LA</v>
      </c>
      <c r="B260" s="1" t="str">
        <f t="shared" si="20"/>
        <v>LA</v>
      </c>
      <c r="C260" s="1" t="str">
        <f t="shared" si="21"/>
        <v>LA</v>
      </c>
      <c r="D260" s="1" t="str">
        <f t="shared" si="22"/>
        <v>LA</v>
      </c>
      <c r="E260" s="1" t="str">
        <f t="shared" si="23"/>
        <v>LA</v>
      </c>
      <c r="F260" s="1" t="str">
        <f t="shared" si="24"/>
        <v>Complete</v>
      </c>
      <c r="G260" s="1" t="str">
        <f>IF(COUNTIF($A$2:A260,A260)&gt;1,"Duplicate","Unique")</f>
        <v>Duplicate</v>
      </c>
    </row>
    <row r="261" spans="1:7" x14ac:dyDescent="0.25">
      <c r="A261" s="1" t="str">
        <v>ME</v>
      </c>
      <c r="B261" s="1" t="str">
        <f t="shared" si="20"/>
        <v>ME</v>
      </c>
      <c r="C261" s="1" t="str">
        <f t="shared" si="21"/>
        <v>ME</v>
      </c>
      <c r="D261" s="1" t="str">
        <f t="shared" si="22"/>
        <v>ME</v>
      </c>
      <c r="E261" s="1" t="str">
        <f t="shared" si="23"/>
        <v>ME</v>
      </c>
      <c r="F261" s="1" t="str">
        <f t="shared" si="24"/>
        <v>Complete</v>
      </c>
      <c r="G261" s="1" t="str">
        <f>IF(COUNTIF($A$2:A261,A261)&gt;1,"Duplicate","Unique")</f>
        <v>Duplicate</v>
      </c>
    </row>
    <row r="262" spans="1:7" x14ac:dyDescent="0.25">
      <c r="A262" s="1" t="str">
        <v>MT</v>
      </c>
      <c r="B262" s="1" t="str">
        <f t="shared" si="20"/>
        <v>MT</v>
      </c>
      <c r="C262" s="1" t="str">
        <f t="shared" si="21"/>
        <v>MT</v>
      </c>
      <c r="D262" s="1" t="str">
        <f t="shared" si="22"/>
        <v>MT</v>
      </c>
      <c r="E262" s="1" t="str">
        <f t="shared" si="23"/>
        <v>MT</v>
      </c>
      <c r="F262" s="1" t="str">
        <f t="shared" si="24"/>
        <v>Complete</v>
      </c>
      <c r="G262" s="1" t="str">
        <f>IF(COUNTIF($A$2:A262,A262)&gt;1,"Duplicate","Unique")</f>
        <v>Duplicate</v>
      </c>
    </row>
    <row r="263" spans="1:7" x14ac:dyDescent="0.25">
      <c r="A263" s="1" t="str">
        <v>ID</v>
      </c>
      <c r="B263" s="1" t="str">
        <f t="shared" si="20"/>
        <v>ID</v>
      </c>
      <c r="C263" s="1" t="str">
        <f t="shared" si="21"/>
        <v>ID</v>
      </c>
      <c r="D263" s="1" t="str">
        <f t="shared" si="22"/>
        <v>ID</v>
      </c>
      <c r="E263" s="1" t="str">
        <f t="shared" si="23"/>
        <v>ID</v>
      </c>
      <c r="F263" s="1" t="str">
        <f t="shared" si="24"/>
        <v>Complete</v>
      </c>
      <c r="G263" s="1" t="str">
        <f>IF(COUNTIF($A$2:A263,A263)&gt;1,"Duplicate","Unique")</f>
        <v>Duplicate</v>
      </c>
    </row>
    <row r="264" spans="1:7" x14ac:dyDescent="0.25">
      <c r="A264" s="1" t="str">
        <v>UT</v>
      </c>
      <c r="B264" s="1" t="str">
        <f t="shared" si="20"/>
        <v>UT</v>
      </c>
      <c r="C264" s="1" t="str">
        <f t="shared" si="21"/>
        <v>UT</v>
      </c>
      <c r="D264" s="1" t="str">
        <f t="shared" si="22"/>
        <v>UT</v>
      </c>
      <c r="E264" s="1" t="str">
        <f t="shared" si="23"/>
        <v>UT</v>
      </c>
      <c r="F264" s="1" t="str">
        <f t="shared" si="24"/>
        <v>Complete</v>
      </c>
      <c r="G264" s="1" t="str">
        <f>IF(COUNTIF($A$2:A264,A264)&gt;1,"Duplicate","Unique")</f>
        <v>Duplicate</v>
      </c>
    </row>
    <row r="265" spans="1:7" x14ac:dyDescent="0.25">
      <c r="A265" s="1" t="str">
        <v>IL</v>
      </c>
      <c r="B265" s="1" t="str">
        <f t="shared" si="20"/>
        <v>IL</v>
      </c>
      <c r="C265" s="1" t="str">
        <f t="shared" si="21"/>
        <v>IL</v>
      </c>
      <c r="D265" s="1" t="str">
        <f t="shared" si="22"/>
        <v>IL</v>
      </c>
      <c r="E265" s="1" t="str">
        <f t="shared" si="23"/>
        <v>IL</v>
      </c>
      <c r="F265" s="1" t="str">
        <f t="shared" si="24"/>
        <v>Complete</v>
      </c>
      <c r="G265" s="1" t="str">
        <f>IF(COUNTIF($A$2:A265,A265)&gt;1,"Duplicate","Unique")</f>
        <v>Duplicate</v>
      </c>
    </row>
    <row r="266" spans="1:7" x14ac:dyDescent="0.25">
      <c r="A266" s="1" t="str">
        <v>AZ</v>
      </c>
      <c r="B266" s="1" t="str">
        <f t="shared" si="20"/>
        <v>AZ</v>
      </c>
      <c r="C266" s="1" t="str">
        <f t="shared" si="21"/>
        <v>AZ</v>
      </c>
      <c r="D266" s="1" t="str">
        <f t="shared" si="22"/>
        <v>AZ</v>
      </c>
      <c r="E266" s="1" t="str">
        <f t="shared" si="23"/>
        <v>AZ</v>
      </c>
      <c r="F266" s="1" t="str">
        <f t="shared" si="24"/>
        <v>Complete</v>
      </c>
      <c r="G266" s="1" t="str">
        <f>IF(COUNTIF($A$2:A266,A266)&gt;1,"Duplicate","Unique")</f>
        <v>Duplicate</v>
      </c>
    </row>
    <row r="267" spans="1:7" x14ac:dyDescent="0.25">
      <c r="A267" s="1" t="str">
        <v>ID</v>
      </c>
      <c r="B267" s="1" t="str">
        <f t="shared" si="20"/>
        <v>ID</v>
      </c>
      <c r="C267" s="1" t="str">
        <f t="shared" si="21"/>
        <v>ID</v>
      </c>
      <c r="D267" s="1" t="str">
        <f t="shared" si="22"/>
        <v>ID</v>
      </c>
      <c r="E267" s="1" t="str">
        <f t="shared" si="23"/>
        <v>ID</v>
      </c>
      <c r="F267" s="1" t="str">
        <f t="shared" si="24"/>
        <v>Complete</v>
      </c>
      <c r="G267" s="1" t="str">
        <f>IF(COUNTIF($A$2:A267,A267)&gt;1,"Duplicate","Unique")</f>
        <v>Duplicate</v>
      </c>
    </row>
    <row r="268" spans="1:7" x14ac:dyDescent="0.25">
      <c r="A268" s="1" t="str">
        <v>TX</v>
      </c>
      <c r="B268" s="1" t="str">
        <f t="shared" si="20"/>
        <v>TX</v>
      </c>
      <c r="C268" s="1" t="str">
        <f t="shared" si="21"/>
        <v>TX</v>
      </c>
      <c r="D268" s="1" t="str">
        <f t="shared" si="22"/>
        <v>TX</v>
      </c>
      <c r="E268" s="1" t="str">
        <f t="shared" si="23"/>
        <v>TX</v>
      </c>
      <c r="F268" s="1" t="str">
        <f t="shared" si="24"/>
        <v>Complete</v>
      </c>
      <c r="G268" s="1" t="str">
        <f>IF(COUNTIF($A$2:A268,A268)&gt;1,"Duplicate","Unique")</f>
        <v>Duplicate</v>
      </c>
    </row>
    <row r="269" spans="1:7" x14ac:dyDescent="0.25">
      <c r="A269" s="1" t="str">
        <v>MT</v>
      </c>
      <c r="B269" s="1" t="str">
        <f t="shared" si="20"/>
        <v>MT</v>
      </c>
      <c r="C269" s="1" t="str">
        <f t="shared" si="21"/>
        <v>MT</v>
      </c>
      <c r="D269" s="1" t="str">
        <f t="shared" si="22"/>
        <v>MT</v>
      </c>
      <c r="E269" s="1" t="str">
        <f t="shared" si="23"/>
        <v>MT</v>
      </c>
      <c r="F269" s="1" t="str">
        <f t="shared" si="24"/>
        <v>Complete</v>
      </c>
      <c r="G269" s="1" t="str">
        <f>IF(COUNTIF($A$2:A269,A269)&gt;1,"Duplicate","Unique")</f>
        <v>Duplicate</v>
      </c>
    </row>
    <row r="270" spans="1:7" x14ac:dyDescent="0.25">
      <c r="A270" s="1" t="str">
        <v>PA</v>
      </c>
      <c r="B270" s="1" t="str">
        <f t="shared" si="20"/>
        <v>PA</v>
      </c>
      <c r="C270" s="1" t="str">
        <f t="shared" si="21"/>
        <v>PA</v>
      </c>
      <c r="D270" s="1" t="str">
        <f t="shared" si="22"/>
        <v>PA</v>
      </c>
      <c r="E270" s="1" t="str">
        <f t="shared" si="23"/>
        <v>PA</v>
      </c>
      <c r="F270" s="1" t="str">
        <f t="shared" si="24"/>
        <v>Complete</v>
      </c>
      <c r="G270" s="1" t="str">
        <f>IF(COUNTIF($A$2:A270,A270)&gt;1,"Duplicate","Unique")</f>
        <v>Duplicate</v>
      </c>
    </row>
    <row r="271" spans="1:7" x14ac:dyDescent="0.25">
      <c r="A271" s="1" t="str">
        <v>RI</v>
      </c>
      <c r="B271" s="1" t="str">
        <f t="shared" si="20"/>
        <v>RI</v>
      </c>
      <c r="C271" s="1" t="str">
        <f t="shared" si="21"/>
        <v>RI</v>
      </c>
      <c r="D271" s="1" t="str">
        <f t="shared" si="22"/>
        <v>RI</v>
      </c>
      <c r="E271" s="1" t="str">
        <f t="shared" si="23"/>
        <v>RI</v>
      </c>
      <c r="F271" s="1" t="str">
        <f t="shared" si="24"/>
        <v>Complete</v>
      </c>
      <c r="G271" s="1" t="str">
        <f>IF(COUNTIF($A$2:A271,A271)&gt;1,"Duplicate","Unique")</f>
        <v>Duplicate</v>
      </c>
    </row>
    <row r="272" spans="1:7" x14ac:dyDescent="0.25">
      <c r="A272" s="1" t="str">
        <v>NH</v>
      </c>
      <c r="B272" s="1" t="str">
        <f t="shared" si="20"/>
        <v>NH</v>
      </c>
      <c r="C272" s="1" t="str">
        <f t="shared" si="21"/>
        <v>NH</v>
      </c>
      <c r="D272" s="1" t="str">
        <f t="shared" si="22"/>
        <v>NH</v>
      </c>
      <c r="E272" s="1" t="str">
        <f t="shared" si="23"/>
        <v>NH</v>
      </c>
      <c r="F272" s="1" t="str">
        <f t="shared" si="24"/>
        <v>Complete</v>
      </c>
      <c r="G272" s="1" t="str">
        <f>IF(COUNTIF($A$2:A272,A272)&gt;1,"Duplicate","Unique")</f>
        <v>Duplicate</v>
      </c>
    </row>
    <row r="273" spans="1:7" x14ac:dyDescent="0.25">
      <c r="A273" s="1" t="str">
        <v>UT</v>
      </c>
      <c r="B273" s="1" t="str">
        <f t="shared" si="20"/>
        <v>UT</v>
      </c>
      <c r="C273" s="1" t="str">
        <f t="shared" si="21"/>
        <v>UT</v>
      </c>
      <c r="D273" s="1" t="str">
        <f t="shared" si="22"/>
        <v>UT</v>
      </c>
      <c r="E273" s="1" t="str">
        <f t="shared" si="23"/>
        <v>UT</v>
      </c>
      <c r="F273" s="1" t="str">
        <f t="shared" si="24"/>
        <v>Complete</v>
      </c>
      <c r="G273" s="1" t="str">
        <f>IF(COUNTIF($A$2:A273,A273)&gt;1,"Duplicate","Unique")</f>
        <v>Duplicate</v>
      </c>
    </row>
    <row r="274" spans="1:7" x14ac:dyDescent="0.25">
      <c r="A274" s="1" t="str">
        <v>NH</v>
      </c>
      <c r="B274" s="1" t="str">
        <f t="shared" si="20"/>
        <v>NH</v>
      </c>
      <c r="C274" s="1" t="str">
        <f t="shared" si="21"/>
        <v>NH</v>
      </c>
      <c r="D274" s="1" t="str">
        <f t="shared" si="22"/>
        <v>NH</v>
      </c>
      <c r="E274" s="1" t="str">
        <f t="shared" si="23"/>
        <v>NH</v>
      </c>
      <c r="F274" s="1" t="str">
        <f t="shared" si="24"/>
        <v>Complete</v>
      </c>
      <c r="G274" s="1" t="str">
        <f>IF(COUNTIF($A$2:A274,A274)&gt;1,"Duplicate","Unique")</f>
        <v>Duplicate</v>
      </c>
    </row>
    <row r="275" spans="1:7" x14ac:dyDescent="0.25">
      <c r="A275" s="1" t="str">
        <v>AK</v>
      </c>
      <c r="B275" s="1" t="str">
        <f t="shared" si="20"/>
        <v>AK</v>
      </c>
      <c r="C275" s="1" t="str">
        <f t="shared" si="21"/>
        <v>AK</v>
      </c>
      <c r="D275" s="1" t="str">
        <f t="shared" si="22"/>
        <v>AK</v>
      </c>
      <c r="E275" s="1" t="str">
        <f t="shared" si="23"/>
        <v>AK</v>
      </c>
      <c r="F275" s="1" t="str">
        <f t="shared" si="24"/>
        <v>Complete</v>
      </c>
      <c r="G275" s="1" t="str">
        <f>IF(COUNTIF($A$2:A275,A275)&gt;1,"Duplicate","Unique")</f>
        <v>Duplicate</v>
      </c>
    </row>
    <row r="276" spans="1:7" x14ac:dyDescent="0.25">
      <c r="A276" s="1" t="str">
        <v>AZ</v>
      </c>
      <c r="B276" s="1" t="str">
        <f t="shared" si="20"/>
        <v>AZ</v>
      </c>
      <c r="C276" s="1" t="str">
        <f t="shared" si="21"/>
        <v>AZ</v>
      </c>
      <c r="D276" s="1" t="str">
        <f t="shared" si="22"/>
        <v>AZ</v>
      </c>
      <c r="E276" s="1" t="str">
        <f t="shared" si="23"/>
        <v>AZ</v>
      </c>
      <c r="F276" s="1" t="str">
        <f t="shared" si="24"/>
        <v>Complete</v>
      </c>
      <c r="G276" s="1" t="str">
        <f>IF(COUNTIF($A$2:A276,A276)&gt;1,"Duplicate","Unique")</f>
        <v>Duplicate</v>
      </c>
    </row>
    <row r="277" spans="1:7" x14ac:dyDescent="0.25">
      <c r="A277" s="1" t="str">
        <v>NJ</v>
      </c>
      <c r="B277" s="1" t="str">
        <f t="shared" si="20"/>
        <v>NJ</v>
      </c>
      <c r="C277" s="1" t="str">
        <f t="shared" si="21"/>
        <v>NJ</v>
      </c>
      <c r="D277" s="1" t="str">
        <f t="shared" si="22"/>
        <v>NJ</v>
      </c>
      <c r="E277" s="1" t="str">
        <f t="shared" si="23"/>
        <v>NJ</v>
      </c>
      <c r="F277" s="1" t="str">
        <f t="shared" si="24"/>
        <v>Complete</v>
      </c>
      <c r="G277" s="1" t="str">
        <f>IF(COUNTIF($A$2:A277,A277)&gt;1,"Duplicate","Unique")</f>
        <v>Duplicate</v>
      </c>
    </row>
    <row r="278" spans="1:7" x14ac:dyDescent="0.25">
      <c r="A278" s="1" t="str">
        <v>MI</v>
      </c>
      <c r="B278" s="1" t="str">
        <f t="shared" si="20"/>
        <v>MI</v>
      </c>
      <c r="C278" s="1" t="str">
        <f t="shared" si="21"/>
        <v>MI</v>
      </c>
      <c r="D278" s="1" t="str">
        <f t="shared" si="22"/>
        <v>MI</v>
      </c>
      <c r="E278" s="1" t="str">
        <f t="shared" si="23"/>
        <v>MI</v>
      </c>
      <c r="F278" s="1" t="str">
        <f t="shared" si="24"/>
        <v>Complete</v>
      </c>
      <c r="G278" s="1" t="str">
        <f>IF(COUNTIF($A$2:A278,A278)&gt;1,"Duplicate","Unique")</f>
        <v>Duplicate</v>
      </c>
    </row>
    <row r="279" spans="1:7" x14ac:dyDescent="0.25">
      <c r="A279" s="1" t="str">
        <v>ID</v>
      </c>
      <c r="B279" s="1" t="str">
        <f t="shared" si="20"/>
        <v>ID</v>
      </c>
      <c r="C279" s="1" t="str">
        <f t="shared" si="21"/>
        <v>ID</v>
      </c>
      <c r="D279" s="1" t="str">
        <f t="shared" si="22"/>
        <v>ID</v>
      </c>
      <c r="E279" s="1" t="str">
        <f t="shared" si="23"/>
        <v>ID</v>
      </c>
      <c r="F279" s="1" t="str">
        <f t="shared" si="24"/>
        <v>Complete</v>
      </c>
      <c r="G279" s="1" t="str">
        <f>IF(COUNTIF($A$2:A279,A279)&gt;1,"Duplicate","Unique")</f>
        <v>Duplicate</v>
      </c>
    </row>
    <row r="280" spans="1:7" x14ac:dyDescent="0.25">
      <c r="A280" s="1" t="str">
        <v>OR</v>
      </c>
      <c r="B280" s="1" t="str">
        <f t="shared" si="20"/>
        <v>OR</v>
      </c>
      <c r="C280" s="1" t="str">
        <f t="shared" si="21"/>
        <v>OR</v>
      </c>
      <c r="D280" s="1" t="str">
        <f t="shared" si="22"/>
        <v>OR</v>
      </c>
      <c r="E280" s="1" t="str">
        <f t="shared" si="23"/>
        <v>OR</v>
      </c>
      <c r="F280" s="1" t="str">
        <f t="shared" si="24"/>
        <v>Complete</v>
      </c>
      <c r="G280" s="1" t="str">
        <f>IF(COUNTIF($A$2:A280,A280)&gt;1,"Duplicate","Unique")</f>
        <v>Duplicate</v>
      </c>
    </row>
    <row r="281" spans="1:7" x14ac:dyDescent="0.25">
      <c r="A281" s="1" t="str">
        <v>UT</v>
      </c>
      <c r="B281" s="1" t="str">
        <f t="shared" si="20"/>
        <v>UT</v>
      </c>
      <c r="C281" s="1" t="str">
        <f t="shared" si="21"/>
        <v>UT</v>
      </c>
      <c r="D281" s="1" t="str">
        <f t="shared" si="22"/>
        <v>UT</v>
      </c>
      <c r="E281" s="1" t="str">
        <f t="shared" si="23"/>
        <v>UT</v>
      </c>
      <c r="F281" s="1" t="str">
        <f t="shared" si="24"/>
        <v>Complete</v>
      </c>
      <c r="G281" s="1" t="str">
        <f>IF(COUNTIF($A$2:A281,A281)&gt;1,"Duplicate","Unique")</f>
        <v>Duplicate</v>
      </c>
    </row>
    <row r="282" spans="1:7" x14ac:dyDescent="0.25">
      <c r="A282" s="1" t="str">
        <v>LA</v>
      </c>
      <c r="B282" s="1" t="str">
        <f t="shared" si="20"/>
        <v>LA</v>
      </c>
      <c r="C282" s="1" t="str">
        <f t="shared" si="21"/>
        <v>LA</v>
      </c>
      <c r="D282" s="1" t="str">
        <f t="shared" si="22"/>
        <v>LA</v>
      </c>
      <c r="E282" s="1" t="str">
        <f t="shared" si="23"/>
        <v>LA</v>
      </c>
      <c r="F282" s="1" t="str">
        <f t="shared" si="24"/>
        <v>Complete</v>
      </c>
      <c r="G282" s="1" t="str">
        <f>IF(COUNTIF($A$2:A282,A282)&gt;1,"Duplicate","Unique")</f>
        <v>Duplicate</v>
      </c>
    </row>
    <row r="283" spans="1:7" x14ac:dyDescent="0.25">
      <c r="A283" s="1" t="str">
        <v>WI</v>
      </c>
      <c r="B283" s="1" t="str">
        <f t="shared" si="20"/>
        <v>WI</v>
      </c>
      <c r="C283" s="1" t="str">
        <f t="shared" si="21"/>
        <v>WI</v>
      </c>
      <c r="D283" s="1" t="str">
        <f t="shared" si="22"/>
        <v>WI</v>
      </c>
      <c r="E283" s="1" t="str">
        <f t="shared" si="23"/>
        <v>WI</v>
      </c>
      <c r="F283" s="1" t="str">
        <f t="shared" si="24"/>
        <v>Complete</v>
      </c>
      <c r="G283" s="1" t="str">
        <f>IF(COUNTIF($A$2:A283,A283)&gt;1,"Duplicate","Unique")</f>
        <v>Duplicate</v>
      </c>
    </row>
    <row r="284" spans="1:7" x14ac:dyDescent="0.25">
      <c r="A284" s="1" t="str">
        <v>ID</v>
      </c>
      <c r="B284" s="1" t="str">
        <f t="shared" si="20"/>
        <v>ID</v>
      </c>
      <c r="C284" s="1" t="str">
        <f t="shared" si="21"/>
        <v>ID</v>
      </c>
      <c r="D284" s="1" t="str">
        <f t="shared" si="22"/>
        <v>ID</v>
      </c>
      <c r="E284" s="1" t="str">
        <f t="shared" si="23"/>
        <v>ID</v>
      </c>
      <c r="F284" s="1" t="str">
        <f t="shared" si="24"/>
        <v>Complete</v>
      </c>
      <c r="G284" s="1" t="str">
        <f>IF(COUNTIF($A$2:A284,A284)&gt;1,"Duplicate","Unique")</f>
        <v>Duplicate</v>
      </c>
    </row>
    <row r="285" spans="1:7" x14ac:dyDescent="0.25">
      <c r="A285" s="1" t="str">
        <v>TN</v>
      </c>
      <c r="B285" s="1" t="str">
        <f t="shared" si="20"/>
        <v>TN</v>
      </c>
      <c r="C285" s="1" t="str">
        <f t="shared" si="21"/>
        <v>TN</v>
      </c>
      <c r="D285" s="1" t="str">
        <f t="shared" si="22"/>
        <v>TN</v>
      </c>
      <c r="E285" s="1" t="str">
        <f t="shared" si="23"/>
        <v>TN</v>
      </c>
      <c r="F285" s="1" t="str">
        <f t="shared" si="24"/>
        <v>Complete</v>
      </c>
      <c r="G285" s="1" t="str">
        <f>IF(COUNTIF($A$2:A285,A285)&gt;1,"Duplicate","Unique")</f>
        <v>Duplicate</v>
      </c>
    </row>
    <row r="286" spans="1:7" x14ac:dyDescent="0.25">
      <c r="A286" s="1" t="str">
        <v>NV</v>
      </c>
      <c r="B286" s="1" t="str">
        <f t="shared" si="20"/>
        <v>NV</v>
      </c>
      <c r="C286" s="1" t="str">
        <f t="shared" si="21"/>
        <v>NV</v>
      </c>
      <c r="D286" s="1" t="str">
        <f t="shared" si="22"/>
        <v>NV</v>
      </c>
      <c r="E286" s="1" t="str">
        <f t="shared" si="23"/>
        <v>NV</v>
      </c>
      <c r="F286" s="1" t="str">
        <f t="shared" si="24"/>
        <v>Complete</v>
      </c>
      <c r="G286" s="1" t="str">
        <f>IF(COUNTIF($A$2:A286,A286)&gt;1,"Duplicate","Unique")</f>
        <v>Duplicate</v>
      </c>
    </row>
    <row r="287" spans="1:7" x14ac:dyDescent="0.25">
      <c r="A287" s="1" t="str">
        <v>WY</v>
      </c>
      <c r="B287" s="1" t="str">
        <f t="shared" si="20"/>
        <v>WY</v>
      </c>
      <c r="C287" s="1" t="str">
        <f t="shared" si="21"/>
        <v>WY</v>
      </c>
      <c r="D287" s="1" t="str">
        <f t="shared" si="22"/>
        <v>WY</v>
      </c>
      <c r="E287" s="1" t="str">
        <f t="shared" si="23"/>
        <v>WY</v>
      </c>
      <c r="F287" s="1" t="str">
        <f t="shared" si="24"/>
        <v>Complete</v>
      </c>
      <c r="G287" s="1" t="str">
        <f>IF(COUNTIF($A$2:A287,A287)&gt;1,"Duplicate","Unique")</f>
        <v>Duplicate</v>
      </c>
    </row>
    <row r="288" spans="1:7" x14ac:dyDescent="0.25">
      <c r="A288" s="1" t="str">
        <v>IL</v>
      </c>
      <c r="B288" s="1" t="str">
        <f t="shared" si="20"/>
        <v>IL</v>
      </c>
      <c r="C288" s="1" t="str">
        <f t="shared" si="21"/>
        <v>IL</v>
      </c>
      <c r="D288" s="1" t="str">
        <f t="shared" si="22"/>
        <v>IL</v>
      </c>
      <c r="E288" s="1" t="str">
        <f t="shared" si="23"/>
        <v>IL</v>
      </c>
      <c r="F288" s="1" t="str">
        <f t="shared" si="24"/>
        <v>Complete</v>
      </c>
      <c r="G288" s="1" t="str">
        <f>IF(COUNTIF($A$2:A288,A288)&gt;1,"Duplicate","Unique")</f>
        <v>Duplicate</v>
      </c>
    </row>
    <row r="289" spans="1:7" x14ac:dyDescent="0.25">
      <c r="A289" s="1" t="str">
        <v>MA</v>
      </c>
      <c r="B289" s="1" t="str">
        <f t="shared" si="20"/>
        <v>MA</v>
      </c>
      <c r="C289" s="1" t="str">
        <f t="shared" si="21"/>
        <v>MA</v>
      </c>
      <c r="D289" s="1" t="str">
        <f t="shared" si="22"/>
        <v>MA</v>
      </c>
      <c r="E289" s="1" t="str">
        <f t="shared" si="23"/>
        <v>MA</v>
      </c>
      <c r="F289" s="1" t="str">
        <f t="shared" si="24"/>
        <v>Complete</v>
      </c>
      <c r="G289" s="1" t="str">
        <f>IF(COUNTIF($A$2:A289,A289)&gt;1,"Duplicate","Unique")</f>
        <v>Duplicate</v>
      </c>
    </row>
    <row r="290" spans="1:7" x14ac:dyDescent="0.25">
      <c r="A290" s="1" t="str">
        <v>AZ</v>
      </c>
      <c r="B290" s="1" t="str">
        <f t="shared" si="20"/>
        <v>AZ</v>
      </c>
      <c r="C290" s="1" t="str">
        <f t="shared" si="21"/>
        <v>AZ</v>
      </c>
      <c r="D290" s="1" t="str">
        <f t="shared" si="22"/>
        <v>AZ</v>
      </c>
      <c r="E290" s="1" t="str">
        <f t="shared" si="23"/>
        <v>AZ</v>
      </c>
      <c r="F290" s="1" t="str">
        <f t="shared" si="24"/>
        <v>Complete</v>
      </c>
      <c r="G290" s="1" t="str">
        <f>IF(COUNTIF($A$2:A290,A290)&gt;1,"Duplicate","Unique")</f>
        <v>Duplicate</v>
      </c>
    </row>
    <row r="291" spans="1:7" x14ac:dyDescent="0.25">
      <c r="A291" s="1" t="str">
        <v>ND</v>
      </c>
      <c r="B291" s="1" t="str">
        <f t="shared" si="20"/>
        <v>ND</v>
      </c>
      <c r="C291" s="1" t="str">
        <f t="shared" si="21"/>
        <v>ND</v>
      </c>
      <c r="D291" s="1" t="str">
        <f t="shared" si="22"/>
        <v>ND</v>
      </c>
      <c r="E291" s="1" t="str">
        <f t="shared" si="23"/>
        <v>ND</v>
      </c>
      <c r="F291" s="1" t="str">
        <f t="shared" si="24"/>
        <v>Complete</v>
      </c>
      <c r="G291" s="1" t="str">
        <f>IF(COUNTIF($A$2:A291,A291)&gt;1,"Duplicate","Unique")</f>
        <v>Duplicate</v>
      </c>
    </row>
    <row r="292" spans="1:7" x14ac:dyDescent="0.25">
      <c r="A292" s="1" t="str">
        <v>SD</v>
      </c>
      <c r="B292" s="1" t="str">
        <f t="shared" si="20"/>
        <v>SD</v>
      </c>
      <c r="C292" s="1" t="str">
        <f t="shared" si="21"/>
        <v>SD</v>
      </c>
      <c r="D292" s="1" t="str">
        <f t="shared" si="22"/>
        <v>SD</v>
      </c>
      <c r="E292" s="1" t="str">
        <f t="shared" si="23"/>
        <v>SD</v>
      </c>
      <c r="F292" s="1" t="str">
        <f t="shared" si="24"/>
        <v>Complete</v>
      </c>
      <c r="G292" s="1" t="str">
        <f>IF(COUNTIF($A$2:A292,A292)&gt;1,"Duplicate","Unique")</f>
        <v>Duplicate</v>
      </c>
    </row>
    <row r="293" spans="1:7" x14ac:dyDescent="0.25">
      <c r="A293" s="1" t="str">
        <v>ND</v>
      </c>
      <c r="B293" s="1" t="str">
        <f t="shared" si="20"/>
        <v>ND</v>
      </c>
      <c r="C293" s="1" t="str">
        <f t="shared" si="21"/>
        <v>ND</v>
      </c>
      <c r="D293" s="1" t="str">
        <f t="shared" si="22"/>
        <v>ND</v>
      </c>
      <c r="E293" s="1" t="str">
        <f t="shared" si="23"/>
        <v>ND</v>
      </c>
      <c r="F293" s="1" t="str">
        <f t="shared" si="24"/>
        <v>Complete</v>
      </c>
      <c r="G293" s="1" t="str">
        <f>IF(COUNTIF($A$2:A293,A293)&gt;1,"Duplicate","Unique")</f>
        <v>Duplicate</v>
      </c>
    </row>
    <row r="294" spans="1:7" x14ac:dyDescent="0.25">
      <c r="A294" s="1" t="str">
        <v>CT</v>
      </c>
      <c r="B294" s="1" t="str">
        <f t="shared" si="20"/>
        <v>CT</v>
      </c>
      <c r="C294" s="1" t="str">
        <f t="shared" si="21"/>
        <v>CT</v>
      </c>
      <c r="D294" s="1" t="str">
        <f t="shared" si="22"/>
        <v>CT</v>
      </c>
      <c r="E294" s="1" t="str">
        <f t="shared" si="23"/>
        <v>CT</v>
      </c>
      <c r="F294" s="1" t="str">
        <f t="shared" si="24"/>
        <v>Complete</v>
      </c>
      <c r="G294" s="1" t="str">
        <f>IF(COUNTIF($A$2:A294,A294)&gt;1,"Duplicate","Unique")</f>
        <v>Duplicate</v>
      </c>
    </row>
    <row r="295" spans="1:7" x14ac:dyDescent="0.25">
      <c r="A295" s="1" t="str">
        <v>MO</v>
      </c>
      <c r="B295" s="1" t="str">
        <f t="shared" si="20"/>
        <v>MO</v>
      </c>
      <c r="C295" s="1" t="str">
        <f t="shared" si="21"/>
        <v>MO</v>
      </c>
      <c r="D295" s="1" t="str">
        <f t="shared" si="22"/>
        <v>MO</v>
      </c>
      <c r="E295" s="1" t="str">
        <f t="shared" si="23"/>
        <v>MO</v>
      </c>
      <c r="F295" s="1" t="str">
        <f t="shared" si="24"/>
        <v>Complete</v>
      </c>
      <c r="G295" s="1" t="str">
        <f>IF(COUNTIF($A$2:A295,A295)&gt;1,"Duplicate","Unique")</f>
        <v>Duplicate</v>
      </c>
    </row>
    <row r="296" spans="1:7" x14ac:dyDescent="0.25">
      <c r="A296" s="1" t="str">
        <v>NJ</v>
      </c>
      <c r="B296" s="1" t="str">
        <f t="shared" si="20"/>
        <v>NJ</v>
      </c>
      <c r="C296" s="1" t="str">
        <f t="shared" si="21"/>
        <v>NJ</v>
      </c>
      <c r="D296" s="1" t="str">
        <f t="shared" si="22"/>
        <v>NJ</v>
      </c>
      <c r="E296" s="1" t="str">
        <f t="shared" si="23"/>
        <v>NJ</v>
      </c>
      <c r="F296" s="1" t="str">
        <f t="shared" si="24"/>
        <v>Complete</v>
      </c>
      <c r="G296" s="1" t="str">
        <f>IF(COUNTIF($A$2:A296,A296)&gt;1,"Duplicate","Unique")</f>
        <v>Duplicate</v>
      </c>
    </row>
    <row r="297" spans="1:7" x14ac:dyDescent="0.25">
      <c r="A297" s="1" t="str">
        <v>NC</v>
      </c>
      <c r="B297" s="1" t="str">
        <f t="shared" si="20"/>
        <v>NC</v>
      </c>
      <c r="C297" s="1" t="str">
        <f t="shared" si="21"/>
        <v>NC</v>
      </c>
      <c r="D297" s="1" t="str">
        <f t="shared" si="22"/>
        <v>NC</v>
      </c>
      <c r="E297" s="1" t="str">
        <f t="shared" si="23"/>
        <v>NC</v>
      </c>
      <c r="F297" s="1" t="str">
        <f t="shared" si="24"/>
        <v>Complete</v>
      </c>
      <c r="G297" s="1" t="str">
        <f>IF(COUNTIF($A$2:A297,A297)&gt;1,"Duplicate","Unique")</f>
        <v>Duplicate</v>
      </c>
    </row>
    <row r="298" spans="1:7" x14ac:dyDescent="0.25">
      <c r="A298" s="1" t="str">
        <v>UT</v>
      </c>
      <c r="B298" s="1" t="str">
        <f t="shared" si="20"/>
        <v>UT</v>
      </c>
      <c r="C298" s="1" t="str">
        <f t="shared" si="21"/>
        <v>UT</v>
      </c>
      <c r="D298" s="1" t="str">
        <f t="shared" si="22"/>
        <v>UT</v>
      </c>
      <c r="E298" s="1" t="str">
        <f t="shared" si="23"/>
        <v>UT</v>
      </c>
      <c r="F298" s="1" t="str">
        <f t="shared" si="24"/>
        <v>Complete</v>
      </c>
      <c r="G298" s="1" t="str">
        <f>IF(COUNTIF($A$2:A298,A298)&gt;1,"Duplicate","Unique")</f>
        <v>Duplicate</v>
      </c>
    </row>
    <row r="299" spans="1:7" x14ac:dyDescent="0.25">
      <c r="A299" s="1" t="str">
        <v>WI</v>
      </c>
      <c r="B299" s="1" t="str">
        <f t="shared" si="20"/>
        <v>WI</v>
      </c>
      <c r="C299" s="1" t="str">
        <f t="shared" si="21"/>
        <v>WI</v>
      </c>
      <c r="D299" s="1" t="str">
        <f t="shared" si="22"/>
        <v>WI</v>
      </c>
      <c r="E299" s="1" t="str">
        <f t="shared" si="23"/>
        <v>WI</v>
      </c>
      <c r="F299" s="1" t="str">
        <f t="shared" si="24"/>
        <v>Complete</v>
      </c>
      <c r="G299" s="1" t="str">
        <f>IF(COUNTIF($A$2:A299,A299)&gt;1,"Duplicate","Unique")</f>
        <v>Duplicate</v>
      </c>
    </row>
    <row r="300" spans="1:7" x14ac:dyDescent="0.25">
      <c r="A300" s="1" t="str">
        <v>MT</v>
      </c>
      <c r="B300" s="1" t="str">
        <f t="shared" si="20"/>
        <v>MT</v>
      </c>
      <c r="C300" s="1" t="str">
        <f t="shared" si="21"/>
        <v>MT</v>
      </c>
      <c r="D300" s="1" t="str">
        <f t="shared" si="22"/>
        <v>MT</v>
      </c>
      <c r="E300" s="1" t="str">
        <f t="shared" si="23"/>
        <v>MT</v>
      </c>
      <c r="F300" s="1" t="str">
        <f t="shared" si="24"/>
        <v>Complete</v>
      </c>
      <c r="G300" s="1" t="str">
        <f>IF(COUNTIF($A$2:A300,A300)&gt;1,"Duplicate","Unique")</f>
        <v>Duplicate</v>
      </c>
    </row>
    <row r="301" spans="1:7" x14ac:dyDescent="0.25">
      <c r="A301" s="1" t="str">
        <v>MS</v>
      </c>
      <c r="B301" s="1" t="str">
        <f t="shared" si="20"/>
        <v>MS</v>
      </c>
      <c r="C301" s="1" t="str">
        <f t="shared" si="21"/>
        <v>MS</v>
      </c>
      <c r="D301" s="1" t="str">
        <f t="shared" si="22"/>
        <v>MS</v>
      </c>
      <c r="E301" s="1" t="str">
        <f t="shared" si="23"/>
        <v>MS</v>
      </c>
      <c r="F301" s="1" t="str">
        <f t="shared" si="24"/>
        <v>Complete</v>
      </c>
      <c r="G301" s="1" t="str">
        <f>IF(COUNTIF($A$2:A301,A301)&gt;1,"Duplicate","Unique")</f>
        <v>Duplicate</v>
      </c>
    </row>
    <row r="302" spans="1:7" x14ac:dyDescent="0.25">
      <c r="A302" s="1" t="str">
        <v>NM</v>
      </c>
      <c r="B302" s="1" t="str">
        <f t="shared" si="20"/>
        <v>NM</v>
      </c>
      <c r="C302" s="1" t="str">
        <f t="shared" si="21"/>
        <v>NM</v>
      </c>
      <c r="D302" s="1" t="str">
        <f t="shared" si="22"/>
        <v>NM</v>
      </c>
      <c r="E302" s="1" t="str">
        <f t="shared" si="23"/>
        <v>NM</v>
      </c>
      <c r="F302" s="1" t="str">
        <f t="shared" si="24"/>
        <v>Complete</v>
      </c>
      <c r="G302" s="1" t="str">
        <f>IF(COUNTIF($A$2:A302,A302)&gt;1,"Duplicate","Unique")</f>
        <v>Duplicate</v>
      </c>
    </row>
    <row r="303" spans="1:7" x14ac:dyDescent="0.25">
      <c r="A303" s="1" t="str">
        <v>SD</v>
      </c>
      <c r="B303" s="1" t="str">
        <f t="shared" si="20"/>
        <v>SD</v>
      </c>
      <c r="C303" s="1" t="str">
        <f t="shared" si="21"/>
        <v>SD</v>
      </c>
      <c r="D303" s="1" t="str">
        <f t="shared" si="22"/>
        <v>SD</v>
      </c>
      <c r="E303" s="1" t="str">
        <f t="shared" si="23"/>
        <v>SD</v>
      </c>
      <c r="F303" s="1" t="str">
        <f t="shared" si="24"/>
        <v>Complete</v>
      </c>
      <c r="G303" s="1" t="str">
        <f>IF(COUNTIF($A$2:A303,A303)&gt;1,"Duplicate","Unique")</f>
        <v>Duplicate</v>
      </c>
    </row>
    <row r="304" spans="1:7" x14ac:dyDescent="0.25">
      <c r="A304" s="1" t="str">
        <v>VA</v>
      </c>
      <c r="B304" s="1" t="str">
        <f t="shared" si="20"/>
        <v>VA</v>
      </c>
      <c r="C304" s="1" t="str">
        <f t="shared" si="21"/>
        <v>VA</v>
      </c>
      <c r="D304" s="1" t="str">
        <f t="shared" si="22"/>
        <v>VA</v>
      </c>
      <c r="E304" s="1" t="str">
        <f t="shared" si="23"/>
        <v>VA</v>
      </c>
      <c r="F304" s="1" t="str">
        <f t="shared" si="24"/>
        <v>Complete</v>
      </c>
      <c r="G304" s="1" t="str">
        <f>IF(COUNTIF($A$2:A304,A304)&gt;1,"Duplicate","Unique")</f>
        <v>Duplicate</v>
      </c>
    </row>
    <row r="305" spans="1:7" x14ac:dyDescent="0.25">
      <c r="A305" s="1" t="str">
        <v>NM</v>
      </c>
      <c r="B305" s="1" t="str">
        <f t="shared" si="20"/>
        <v>NM</v>
      </c>
      <c r="C305" s="1" t="str">
        <f t="shared" si="21"/>
        <v>NM</v>
      </c>
      <c r="D305" s="1" t="str">
        <f t="shared" si="22"/>
        <v>NM</v>
      </c>
      <c r="E305" s="1" t="str">
        <f t="shared" si="23"/>
        <v>NM</v>
      </c>
      <c r="F305" s="1" t="str">
        <f t="shared" si="24"/>
        <v>Complete</v>
      </c>
      <c r="G305" s="1" t="str">
        <f>IF(COUNTIF($A$2:A305,A305)&gt;1,"Duplicate","Unique")</f>
        <v>Duplicate</v>
      </c>
    </row>
    <row r="306" spans="1:7" x14ac:dyDescent="0.25">
      <c r="A306" s="1" t="str">
        <v>VA</v>
      </c>
      <c r="B306" s="1" t="str">
        <f t="shared" si="20"/>
        <v>VA</v>
      </c>
      <c r="C306" s="1" t="str">
        <f t="shared" si="21"/>
        <v>VA</v>
      </c>
      <c r="D306" s="1" t="str">
        <f t="shared" si="22"/>
        <v>VA</v>
      </c>
      <c r="E306" s="1" t="str">
        <f t="shared" si="23"/>
        <v>VA</v>
      </c>
      <c r="F306" s="1" t="str">
        <f t="shared" si="24"/>
        <v>Complete</v>
      </c>
      <c r="G306" s="1" t="str">
        <f>IF(COUNTIF($A$2:A306,A306)&gt;1,"Duplicate","Unique")</f>
        <v>Duplicate</v>
      </c>
    </row>
    <row r="307" spans="1:7" x14ac:dyDescent="0.25">
      <c r="A307" s="1" t="str">
        <v>NJ</v>
      </c>
      <c r="B307" s="1" t="str">
        <f t="shared" si="20"/>
        <v>NJ</v>
      </c>
      <c r="C307" s="1" t="str">
        <f t="shared" si="21"/>
        <v>NJ</v>
      </c>
      <c r="D307" s="1" t="str">
        <f t="shared" si="22"/>
        <v>NJ</v>
      </c>
      <c r="E307" s="1" t="str">
        <f t="shared" si="23"/>
        <v>NJ</v>
      </c>
      <c r="F307" s="1" t="str">
        <f t="shared" si="24"/>
        <v>Complete</v>
      </c>
      <c r="G307" s="1" t="str">
        <f>IF(COUNTIF($A$2:A307,A307)&gt;1,"Duplicate","Unique")</f>
        <v>Duplicate</v>
      </c>
    </row>
    <row r="308" spans="1:7" x14ac:dyDescent="0.25">
      <c r="A308" s="1" t="str">
        <v>TN</v>
      </c>
      <c r="B308" s="1" t="str">
        <f t="shared" si="20"/>
        <v>TN</v>
      </c>
      <c r="C308" s="1" t="str">
        <f t="shared" si="21"/>
        <v>TN</v>
      </c>
      <c r="D308" s="1" t="str">
        <f t="shared" si="22"/>
        <v>TN</v>
      </c>
      <c r="E308" s="1" t="str">
        <f t="shared" si="23"/>
        <v>TN</v>
      </c>
      <c r="F308" s="1" t="str">
        <f t="shared" si="24"/>
        <v>Complete</v>
      </c>
      <c r="G308" s="1" t="str">
        <f>IF(COUNTIF($A$2:A308,A308)&gt;1,"Duplicate","Unique")</f>
        <v>Duplicate</v>
      </c>
    </row>
    <row r="309" spans="1:7" x14ac:dyDescent="0.25">
      <c r="A309" s="1" t="str">
        <v>MI</v>
      </c>
      <c r="B309" s="1" t="str">
        <f t="shared" si="20"/>
        <v>MI</v>
      </c>
      <c r="C309" s="1" t="str">
        <f t="shared" si="21"/>
        <v>MI</v>
      </c>
      <c r="D309" s="1" t="str">
        <f t="shared" si="22"/>
        <v>MI</v>
      </c>
      <c r="E309" s="1" t="str">
        <f t="shared" si="23"/>
        <v>MI</v>
      </c>
      <c r="F309" s="1" t="str">
        <f t="shared" si="24"/>
        <v>Complete</v>
      </c>
      <c r="G309" s="1" t="str">
        <f>IF(COUNTIF($A$2:A309,A309)&gt;1,"Duplicate","Unique")</f>
        <v>Duplicate</v>
      </c>
    </row>
    <row r="310" spans="1:7" x14ac:dyDescent="0.25">
      <c r="A310" s="1" t="str">
        <v>LA</v>
      </c>
      <c r="B310" s="1" t="str">
        <f t="shared" si="20"/>
        <v>LA</v>
      </c>
      <c r="C310" s="1" t="str">
        <f t="shared" si="21"/>
        <v>LA</v>
      </c>
      <c r="D310" s="1" t="str">
        <f t="shared" si="22"/>
        <v>LA</v>
      </c>
      <c r="E310" s="1" t="str">
        <f t="shared" si="23"/>
        <v>LA</v>
      </c>
      <c r="F310" s="1" t="str">
        <f t="shared" si="24"/>
        <v>Complete</v>
      </c>
      <c r="G310" s="1" t="str">
        <f>IF(COUNTIF($A$2:A310,A310)&gt;1,"Duplicate","Unique")</f>
        <v>Duplicate</v>
      </c>
    </row>
    <row r="311" spans="1:7" x14ac:dyDescent="0.25">
      <c r="A311" s="1" t="str">
        <v>NH</v>
      </c>
      <c r="B311" s="1" t="str">
        <f t="shared" si="20"/>
        <v>NH</v>
      </c>
      <c r="C311" s="1" t="str">
        <f t="shared" si="21"/>
        <v>NH</v>
      </c>
      <c r="D311" s="1" t="str">
        <f t="shared" si="22"/>
        <v>NH</v>
      </c>
      <c r="E311" s="1" t="str">
        <f t="shared" si="23"/>
        <v>NH</v>
      </c>
      <c r="F311" s="1" t="str">
        <f t="shared" si="24"/>
        <v>Complete</v>
      </c>
      <c r="G311" s="1" t="str">
        <f>IF(COUNTIF($A$2:A311,A311)&gt;1,"Duplicate","Unique")</f>
        <v>Duplicate</v>
      </c>
    </row>
    <row r="312" spans="1:7" x14ac:dyDescent="0.25">
      <c r="A312" s="1" t="str">
        <v>RI</v>
      </c>
      <c r="B312" s="1" t="str">
        <f t="shared" si="20"/>
        <v>RI</v>
      </c>
      <c r="C312" s="1" t="str">
        <f t="shared" si="21"/>
        <v>RI</v>
      </c>
      <c r="D312" s="1" t="str">
        <f t="shared" si="22"/>
        <v>RI</v>
      </c>
      <c r="E312" s="1" t="str">
        <f t="shared" si="23"/>
        <v>RI</v>
      </c>
      <c r="F312" s="1" t="str">
        <f t="shared" si="24"/>
        <v>Complete</v>
      </c>
      <c r="G312" s="1" t="str">
        <f>IF(COUNTIF($A$2:A312,A312)&gt;1,"Duplicate","Unique")</f>
        <v>Duplicate</v>
      </c>
    </row>
    <row r="313" spans="1:7" x14ac:dyDescent="0.25">
      <c r="A313" s="1" t="str">
        <v>LA</v>
      </c>
      <c r="B313" s="1" t="str">
        <f t="shared" si="20"/>
        <v>LA</v>
      </c>
      <c r="C313" s="1" t="str">
        <f t="shared" si="21"/>
        <v>LA</v>
      </c>
      <c r="D313" s="1" t="str">
        <f t="shared" si="22"/>
        <v>LA</v>
      </c>
      <c r="E313" s="1" t="str">
        <f t="shared" si="23"/>
        <v>LA</v>
      </c>
      <c r="F313" s="1" t="str">
        <f t="shared" si="24"/>
        <v>Complete</v>
      </c>
      <c r="G313" s="1" t="str">
        <f>IF(COUNTIF($A$2:A313,A313)&gt;1,"Duplicate","Unique")</f>
        <v>Duplicate</v>
      </c>
    </row>
    <row r="314" spans="1:7" x14ac:dyDescent="0.25">
      <c r="A314" s="1" t="str">
        <v>AZ</v>
      </c>
      <c r="B314" s="1" t="str">
        <f t="shared" si="20"/>
        <v>AZ</v>
      </c>
      <c r="C314" s="1" t="str">
        <f t="shared" si="21"/>
        <v>AZ</v>
      </c>
      <c r="D314" s="1" t="str">
        <f t="shared" si="22"/>
        <v>AZ</v>
      </c>
      <c r="E314" s="1" t="str">
        <f t="shared" si="23"/>
        <v>AZ</v>
      </c>
      <c r="F314" s="1" t="str">
        <f t="shared" si="24"/>
        <v>Complete</v>
      </c>
      <c r="G314" s="1" t="str">
        <f>IF(COUNTIF($A$2:A314,A314)&gt;1,"Duplicate","Unique")</f>
        <v>Duplicate</v>
      </c>
    </row>
    <row r="315" spans="1:7" x14ac:dyDescent="0.25">
      <c r="A315" s="1" t="str">
        <v>SC</v>
      </c>
      <c r="B315" s="1" t="str">
        <f t="shared" si="20"/>
        <v>SC</v>
      </c>
      <c r="C315" s="1" t="str">
        <f t="shared" si="21"/>
        <v>SC</v>
      </c>
      <c r="D315" s="1" t="str">
        <f t="shared" si="22"/>
        <v>SC</v>
      </c>
      <c r="E315" s="1" t="str">
        <f t="shared" si="23"/>
        <v>SC</v>
      </c>
      <c r="F315" s="1" t="str">
        <f t="shared" si="24"/>
        <v>Complete</v>
      </c>
      <c r="G315" s="1" t="str">
        <f>IF(COUNTIF($A$2:A315,A315)&gt;1,"Duplicate","Unique")</f>
        <v>Duplicate</v>
      </c>
    </row>
    <row r="316" spans="1:7" x14ac:dyDescent="0.25">
      <c r="A316" s="1" t="str">
        <v>MD</v>
      </c>
      <c r="B316" s="1" t="str">
        <f t="shared" si="20"/>
        <v>MD</v>
      </c>
      <c r="C316" s="1" t="str">
        <f t="shared" si="21"/>
        <v>MD</v>
      </c>
      <c r="D316" s="1" t="str">
        <f t="shared" si="22"/>
        <v>MD</v>
      </c>
      <c r="E316" s="1" t="str">
        <f t="shared" si="23"/>
        <v>MD</v>
      </c>
      <c r="F316" s="1" t="str">
        <f t="shared" si="24"/>
        <v>Complete</v>
      </c>
      <c r="G316" s="1" t="str">
        <f>IF(COUNTIF($A$2:A316,A316)&gt;1,"Duplicate","Unique")</f>
        <v>Duplicate</v>
      </c>
    </row>
    <row r="317" spans="1:7" x14ac:dyDescent="0.25">
      <c r="A317" s="1" t="str">
        <v>WA</v>
      </c>
      <c r="B317" s="1" t="str">
        <f t="shared" si="20"/>
        <v>WA</v>
      </c>
      <c r="C317" s="1" t="str">
        <f t="shared" si="21"/>
        <v>WA</v>
      </c>
      <c r="D317" s="1" t="str">
        <f t="shared" si="22"/>
        <v>WA</v>
      </c>
      <c r="E317" s="1" t="str">
        <f t="shared" si="23"/>
        <v>WA</v>
      </c>
      <c r="F317" s="1" t="str">
        <f t="shared" si="24"/>
        <v>Complete</v>
      </c>
      <c r="G317" s="1" t="str">
        <f>IF(COUNTIF($A$2:A317,A317)&gt;1,"Duplicate","Unique")</f>
        <v>Duplicate</v>
      </c>
    </row>
    <row r="318" spans="1:7" x14ac:dyDescent="0.25">
      <c r="A318" s="1" t="str">
        <v>CA</v>
      </c>
      <c r="B318" s="1" t="str">
        <f t="shared" si="20"/>
        <v>CA</v>
      </c>
      <c r="C318" s="1" t="str">
        <f t="shared" si="21"/>
        <v>CA</v>
      </c>
      <c r="D318" s="1" t="str">
        <f t="shared" si="22"/>
        <v>CA</v>
      </c>
      <c r="E318" s="1" t="str">
        <f t="shared" si="23"/>
        <v>CA</v>
      </c>
      <c r="F318" s="1" t="str">
        <f t="shared" si="24"/>
        <v>Complete</v>
      </c>
      <c r="G318" s="1" t="str">
        <f>IF(COUNTIF($A$2:A318,A318)&gt;1,"Duplicate","Unique")</f>
        <v>Duplicate</v>
      </c>
    </row>
    <row r="319" spans="1:7" x14ac:dyDescent="0.25">
      <c r="A319" s="1" t="str">
        <v>NJ</v>
      </c>
      <c r="B319" s="1" t="str">
        <f t="shared" si="20"/>
        <v>NJ</v>
      </c>
      <c r="C319" s="1" t="str">
        <f t="shared" si="21"/>
        <v>NJ</v>
      </c>
      <c r="D319" s="1" t="str">
        <f t="shared" si="22"/>
        <v>NJ</v>
      </c>
      <c r="E319" s="1" t="str">
        <f t="shared" si="23"/>
        <v>NJ</v>
      </c>
      <c r="F319" s="1" t="str">
        <f t="shared" si="24"/>
        <v>Complete</v>
      </c>
      <c r="G319" s="1" t="str">
        <f>IF(COUNTIF($A$2:A319,A319)&gt;1,"Duplicate","Unique")</f>
        <v>Duplicate</v>
      </c>
    </row>
    <row r="320" spans="1:7" x14ac:dyDescent="0.25">
      <c r="A320" s="1" t="str">
        <v>AR</v>
      </c>
      <c r="B320" s="1" t="str">
        <f t="shared" si="20"/>
        <v>AR</v>
      </c>
      <c r="C320" s="1" t="str">
        <f t="shared" si="21"/>
        <v>AR</v>
      </c>
      <c r="D320" s="1" t="str">
        <f t="shared" si="22"/>
        <v>AR</v>
      </c>
      <c r="E320" s="1" t="str">
        <f t="shared" si="23"/>
        <v>AR</v>
      </c>
      <c r="F320" s="1" t="str">
        <f t="shared" si="24"/>
        <v>Complete</v>
      </c>
      <c r="G320" s="1" t="str">
        <f>IF(COUNTIF($A$2:A320,A320)&gt;1,"Duplicate","Unique")</f>
        <v>Duplicate</v>
      </c>
    </row>
    <row r="321" spans="1:7" x14ac:dyDescent="0.25">
      <c r="A321" s="1" t="str">
        <v>CT</v>
      </c>
      <c r="B321" s="1" t="str">
        <f t="shared" si="20"/>
        <v>CT</v>
      </c>
      <c r="C321" s="1" t="str">
        <f t="shared" si="21"/>
        <v>CT</v>
      </c>
      <c r="D321" s="1" t="str">
        <f t="shared" si="22"/>
        <v>CT</v>
      </c>
      <c r="E321" s="1" t="str">
        <f t="shared" si="23"/>
        <v>CT</v>
      </c>
      <c r="F321" s="1" t="str">
        <f t="shared" si="24"/>
        <v>Complete</v>
      </c>
      <c r="G321" s="1" t="str">
        <f>IF(COUNTIF($A$2:A321,A321)&gt;1,"Duplicate","Unique")</f>
        <v>Duplicate</v>
      </c>
    </row>
    <row r="322" spans="1:7" x14ac:dyDescent="0.25">
      <c r="A322" s="1" t="str">
        <v>SD</v>
      </c>
      <c r="B322" s="1" t="str">
        <f t="shared" si="20"/>
        <v>SD</v>
      </c>
      <c r="C322" s="1" t="str">
        <f t="shared" si="21"/>
        <v>SD</v>
      </c>
      <c r="D322" s="1" t="str">
        <f t="shared" si="22"/>
        <v>SD</v>
      </c>
      <c r="E322" s="1" t="str">
        <f t="shared" si="23"/>
        <v>SD</v>
      </c>
      <c r="F322" s="1" t="str">
        <f t="shared" si="24"/>
        <v>Complete</v>
      </c>
      <c r="G322" s="1" t="str">
        <f>IF(COUNTIF($A$2:A322,A322)&gt;1,"Duplicate","Unique")</f>
        <v>Duplicate</v>
      </c>
    </row>
    <row r="323" spans="1:7" x14ac:dyDescent="0.25">
      <c r="A323" s="1" t="str">
        <v>FL</v>
      </c>
      <c r="B323" s="1" t="str">
        <f t="shared" ref="B323:B386" si="25">TRIM(A323)</f>
        <v>FL</v>
      </c>
      <c r="C323" s="1" t="str">
        <f t="shared" ref="C323:C386" si="26">CLEAN(A323)</f>
        <v>FL</v>
      </c>
      <c r="D323" s="1" t="str">
        <f t="shared" ref="D323:D386" si="27">TRIM(CLEAN(A323))</f>
        <v>FL</v>
      </c>
      <c r="E323" s="1" t="str">
        <f t="shared" ref="E323:E386" si="28">SUBSTITUTE(D323," ","")</f>
        <v>FL</v>
      </c>
      <c r="F323" s="1" t="str">
        <f t="shared" ref="F323:F386" si="29">IF(ISBLANK(A323),"Missing","Complete")</f>
        <v>Complete</v>
      </c>
      <c r="G323" s="1" t="str">
        <f>IF(COUNTIF($A$2:A323,A323)&gt;1,"Duplicate","Unique")</f>
        <v>Duplicate</v>
      </c>
    </row>
    <row r="324" spans="1:7" x14ac:dyDescent="0.25">
      <c r="A324" s="1" t="str">
        <v>MS</v>
      </c>
      <c r="B324" s="1" t="str">
        <f t="shared" si="25"/>
        <v>MS</v>
      </c>
      <c r="C324" s="1" t="str">
        <f t="shared" si="26"/>
        <v>MS</v>
      </c>
      <c r="D324" s="1" t="str">
        <f t="shared" si="27"/>
        <v>MS</v>
      </c>
      <c r="E324" s="1" t="str">
        <f t="shared" si="28"/>
        <v>MS</v>
      </c>
      <c r="F324" s="1" t="str">
        <f t="shared" si="29"/>
        <v>Complete</v>
      </c>
      <c r="G324" s="1" t="str">
        <f>IF(COUNTIF($A$2:A324,A324)&gt;1,"Duplicate","Unique")</f>
        <v>Duplicate</v>
      </c>
    </row>
    <row r="325" spans="1:7" x14ac:dyDescent="0.25">
      <c r="A325" s="1" t="str">
        <v>MA</v>
      </c>
      <c r="B325" s="1" t="str">
        <f t="shared" si="25"/>
        <v>MA</v>
      </c>
      <c r="C325" s="1" t="str">
        <f t="shared" si="26"/>
        <v>MA</v>
      </c>
      <c r="D325" s="1" t="str">
        <f t="shared" si="27"/>
        <v>MA</v>
      </c>
      <c r="E325" s="1" t="str">
        <f t="shared" si="28"/>
        <v>MA</v>
      </c>
      <c r="F325" s="1" t="str">
        <f t="shared" si="29"/>
        <v>Complete</v>
      </c>
      <c r="G325" s="1" t="str">
        <f>IF(COUNTIF($A$2:A325,A325)&gt;1,"Duplicate","Unique")</f>
        <v>Duplicate</v>
      </c>
    </row>
    <row r="326" spans="1:7" x14ac:dyDescent="0.25">
      <c r="A326" s="1" t="str">
        <v>VT</v>
      </c>
      <c r="B326" s="1" t="str">
        <f t="shared" si="25"/>
        <v>VT</v>
      </c>
      <c r="C326" s="1" t="str">
        <f t="shared" si="26"/>
        <v>VT</v>
      </c>
      <c r="D326" s="1" t="str">
        <f t="shared" si="27"/>
        <v>VT</v>
      </c>
      <c r="E326" s="1" t="str">
        <f t="shared" si="28"/>
        <v>VT</v>
      </c>
      <c r="F326" s="1" t="str">
        <f t="shared" si="29"/>
        <v>Complete</v>
      </c>
      <c r="G326" s="1" t="str">
        <f>IF(COUNTIF($A$2:A326,A326)&gt;1,"Duplicate","Unique")</f>
        <v>Duplicate</v>
      </c>
    </row>
    <row r="327" spans="1:7" x14ac:dyDescent="0.25">
      <c r="A327" s="1" t="str">
        <v>IL</v>
      </c>
      <c r="B327" s="1" t="str">
        <f t="shared" si="25"/>
        <v>IL</v>
      </c>
      <c r="C327" s="1" t="str">
        <f t="shared" si="26"/>
        <v>IL</v>
      </c>
      <c r="D327" s="1" t="str">
        <f t="shared" si="27"/>
        <v>IL</v>
      </c>
      <c r="E327" s="1" t="str">
        <f t="shared" si="28"/>
        <v>IL</v>
      </c>
      <c r="F327" s="1" t="str">
        <f t="shared" si="29"/>
        <v>Complete</v>
      </c>
      <c r="G327" s="1" t="str">
        <f>IF(COUNTIF($A$2:A327,A327)&gt;1,"Duplicate","Unique")</f>
        <v>Duplicate</v>
      </c>
    </row>
    <row r="328" spans="1:7" x14ac:dyDescent="0.25">
      <c r="A328" s="1" t="str">
        <v>CT</v>
      </c>
      <c r="B328" s="1" t="str">
        <f t="shared" si="25"/>
        <v>CT</v>
      </c>
      <c r="C328" s="1" t="str">
        <f t="shared" si="26"/>
        <v>CT</v>
      </c>
      <c r="D328" s="1" t="str">
        <f t="shared" si="27"/>
        <v>CT</v>
      </c>
      <c r="E328" s="1" t="str">
        <f t="shared" si="28"/>
        <v>CT</v>
      </c>
      <c r="F328" s="1" t="str">
        <f t="shared" si="29"/>
        <v>Complete</v>
      </c>
      <c r="G328" s="1" t="str">
        <f>IF(COUNTIF($A$2:A328,A328)&gt;1,"Duplicate","Unique")</f>
        <v>Duplicate</v>
      </c>
    </row>
    <row r="329" spans="1:7" x14ac:dyDescent="0.25">
      <c r="A329" s="1" t="str">
        <v>KS</v>
      </c>
      <c r="B329" s="1" t="str">
        <f t="shared" si="25"/>
        <v>KS</v>
      </c>
      <c r="C329" s="1" t="str">
        <f t="shared" si="26"/>
        <v>KS</v>
      </c>
      <c r="D329" s="1" t="str">
        <f t="shared" si="27"/>
        <v>KS</v>
      </c>
      <c r="E329" s="1" t="str">
        <f t="shared" si="28"/>
        <v>KS</v>
      </c>
      <c r="F329" s="1" t="str">
        <f t="shared" si="29"/>
        <v>Complete</v>
      </c>
      <c r="G329" s="1" t="str">
        <f>IF(COUNTIF($A$2:A329,A329)&gt;1,"Duplicate","Unique")</f>
        <v>Duplicate</v>
      </c>
    </row>
    <row r="330" spans="1:7" x14ac:dyDescent="0.25">
      <c r="A330" s="1" t="str">
        <v>MA</v>
      </c>
      <c r="B330" s="1" t="str">
        <f t="shared" si="25"/>
        <v>MA</v>
      </c>
      <c r="C330" s="1" t="str">
        <f t="shared" si="26"/>
        <v>MA</v>
      </c>
      <c r="D330" s="1" t="str">
        <f t="shared" si="27"/>
        <v>MA</v>
      </c>
      <c r="E330" s="1" t="str">
        <f t="shared" si="28"/>
        <v>MA</v>
      </c>
      <c r="F330" s="1" t="str">
        <f t="shared" si="29"/>
        <v>Complete</v>
      </c>
      <c r="G330" s="1" t="str">
        <f>IF(COUNTIF($A$2:A330,A330)&gt;1,"Duplicate","Unique")</f>
        <v>Duplicate</v>
      </c>
    </row>
    <row r="331" spans="1:7" x14ac:dyDescent="0.25">
      <c r="A331" s="1" t="str">
        <v>NJ</v>
      </c>
      <c r="B331" s="1" t="str">
        <f t="shared" si="25"/>
        <v>NJ</v>
      </c>
      <c r="C331" s="1" t="str">
        <f t="shared" si="26"/>
        <v>NJ</v>
      </c>
      <c r="D331" s="1" t="str">
        <f t="shared" si="27"/>
        <v>NJ</v>
      </c>
      <c r="E331" s="1" t="str">
        <f t="shared" si="28"/>
        <v>NJ</v>
      </c>
      <c r="F331" s="1" t="str">
        <f t="shared" si="29"/>
        <v>Complete</v>
      </c>
      <c r="G331" s="1" t="str">
        <f>IF(COUNTIF($A$2:A331,A331)&gt;1,"Duplicate","Unique")</f>
        <v>Duplicate</v>
      </c>
    </row>
    <row r="332" spans="1:7" x14ac:dyDescent="0.25">
      <c r="A332" s="1" t="str">
        <v>AR</v>
      </c>
      <c r="B332" s="1" t="str">
        <f t="shared" si="25"/>
        <v>AR</v>
      </c>
      <c r="C332" s="1" t="str">
        <f t="shared" si="26"/>
        <v>AR</v>
      </c>
      <c r="D332" s="1" t="str">
        <f t="shared" si="27"/>
        <v>AR</v>
      </c>
      <c r="E332" s="1" t="str">
        <f t="shared" si="28"/>
        <v>AR</v>
      </c>
      <c r="F332" s="1" t="str">
        <f t="shared" si="29"/>
        <v>Complete</v>
      </c>
      <c r="G332" s="1" t="str">
        <f>IF(COUNTIF($A$2:A332,A332)&gt;1,"Duplicate","Unique")</f>
        <v>Duplicate</v>
      </c>
    </row>
    <row r="333" spans="1:7" x14ac:dyDescent="0.25">
      <c r="A333" s="1" t="str">
        <v>MS</v>
      </c>
      <c r="B333" s="1" t="str">
        <f t="shared" si="25"/>
        <v>MS</v>
      </c>
      <c r="C333" s="1" t="str">
        <f t="shared" si="26"/>
        <v>MS</v>
      </c>
      <c r="D333" s="1" t="str">
        <f t="shared" si="27"/>
        <v>MS</v>
      </c>
      <c r="E333" s="1" t="str">
        <f t="shared" si="28"/>
        <v>MS</v>
      </c>
      <c r="F333" s="1" t="str">
        <f t="shared" si="29"/>
        <v>Complete</v>
      </c>
      <c r="G333" s="1" t="str">
        <f>IF(COUNTIF($A$2:A333,A333)&gt;1,"Duplicate","Unique")</f>
        <v>Duplicate</v>
      </c>
    </row>
    <row r="334" spans="1:7" x14ac:dyDescent="0.25">
      <c r="A334" s="1" t="str">
        <v>ME</v>
      </c>
      <c r="B334" s="1" t="str">
        <f t="shared" si="25"/>
        <v>ME</v>
      </c>
      <c r="C334" s="1" t="str">
        <f t="shared" si="26"/>
        <v>ME</v>
      </c>
      <c r="D334" s="1" t="str">
        <f t="shared" si="27"/>
        <v>ME</v>
      </c>
      <c r="E334" s="1" t="str">
        <f t="shared" si="28"/>
        <v>ME</v>
      </c>
      <c r="F334" s="1" t="str">
        <f t="shared" si="29"/>
        <v>Complete</v>
      </c>
      <c r="G334" s="1" t="str">
        <f>IF(COUNTIF($A$2:A334,A334)&gt;1,"Duplicate","Unique")</f>
        <v>Duplicate</v>
      </c>
    </row>
    <row r="335" spans="1:7" x14ac:dyDescent="0.25">
      <c r="A335" s="1" t="str">
        <v>IA</v>
      </c>
      <c r="B335" s="1" t="str">
        <f t="shared" si="25"/>
        <v>IA</v>
      </c>
      <c r="C335" s="1" t="str">
        <f t="shared" si="26"/>
        <v>IA</v>
      </c>
      <c r="D335" s="1" t="str">
        <f t="shared" si="27"/>
        <v>IA</v>
      </c>
      <c r="E335" s="1" t="str">
        <f t="shared" si="28"/>
        <v>IA</v>
      </c>
      <c r="F335" s="1" t="str">
        <f t="shared" si="29"/>
        <v>Complete</v>
      </c>
      <c r="G335" s="1" t="str">
        <f>IF(COUNTIF($A$2:A335,A335)&gt;1,"Duplicate","Unique")</f>
        <v>Duplicate</v>
      </c>
    </row>
    <row r="336" spans="1:7" x14ac:dyDescent="0.25">
      <c r="A336" s="1" t="str">
        <v>NM</v>
      </c>
      <c r="B336" s="1" t="str">
        <f t="shared" si="25"/>
        <v>NM</v>
      </c>
      <c r="C336" s="1" t="str">
        <f t="shared" si="26"/>
        <v>NM</v>
      </c>
      <c r="D336" s="1" t="str">
        <f t="shared" si="27"/>
        <v>NM</v>
      </c>
      <c r="E336" s="1" t="str">
        <f t="shared" si="28"/>
        <v>NM</v>
      </c>
      <c r="F336" s="1" t="str">
        <f t="shared" si="29"/>
        <v>Complete</v>
      </c>
      <c r="G336" s="1" t="str">
        <f>IF(COUNTIF($A$2:A336,A336)&gt;1,"Duplicate","Unique")</f>
        <v>Duplicate</v>
      </c>
    </row>
    <row r="337" spans="1:7" x14ac:dyDescent="0.25">
      <c r="A337" s="1" t="str">
        <v>TX</v>
      </c>
      <c r="B337" s="1" t="str">
        <f t="shared" si="25"/>
        <v>TX</v>
      </c>
      <c r="C337" s="1" t="str">
        <f t="shared" si="26"/>
        <v>TX</v>
      </c>
      <c r="D337" s="1" t="str">
        <f t="shared" si="27"/>
        <v>TX</v>
      </c>
      <c r="E337" s="1" t="str">
        <f t="shared" si="28"/>
        <v>TX</v>
      </c>
      <c r="F337" s="1" t="str">
        <f t="shared" si="29"/>
        <v>Complete</v>
      </c>
      <c r="G337" s="1" t="str">
        <f>IF(COUNTIF($A$2:A337,A337)&gt;1,"Duplicate","Unique")</f>
        <v>Duplicate</v>
      </c>
    </row>
    <row r="338" spans="1:7" x14ac:dyDescent="0.25">
      <c r="A338" s="1" t="str">
        <v>KY</v>
      </c>
      <c r="B338" s="1" t="str">
        <f t="shared" si="25"/>
        <v>KY</v>
      </c>
      <c r="C338" s="1" t="str">
        <f t="shared" si="26"/>
        <v>KY</v>
      </c>
      <c r="D338" s="1" t="str">
        <f t="shared" si="27"/>
        <v>KY</v>
      </c>
      <c r="E338" s="1" t="str">
        <f t="shared" si="28"/>
        <v>KY</v>
      </c>
      <c r="F338" s="1" t="str">
        <f t="shared" si="29"/>
        <v>Complete</v>
      </c>
      <c r="G338" s="1" t="str">
        <f>IF(COUNTIF($A$2:A338,A338)&gt;1,"Duplicate","Unique")</f>
        <v>Duplicate</v>
      </c>
    </row>
    <row r="339" spans="1:7" x14ac:dyDescent="0.25">
      <c r="A339" s="1" t="str">
        <v>AZ</v>
      </c>
      <c r="B339" s="1" t="str">
        <f t="shared" si="25"/>
        <v>AZ</v>
      </c>
      <c r="C339" s="1" t="str">
        <f t="shared" si="26"/>
        <v>AZ</v>
      </c>
      <c r="D339" s="1" t="str">
        <f t="shared" si="27"/>
        <v>AZ</v>
      </c>
      <c r="E339" s="1" t="str">
        <f t="shared" si="28"/>
        <v>AZ</v>
      </c>
      <c r="F339" s="1" t="str">
        <f t="shared" si="29"/>
        <v>Complete</v>
      </c>
      <c r="G339" s="1" t="str">
        <f>IF(COUNTIF($A$2:A339,A339)&gt;1,"Duplicate","Unique")</f>
        <v>Duplicate</v>
      </c>
    </row>
    <row r="340" spans="1:7" x14ac:dyDescent="0.25">
      <c r="A340" s="1" t="str">
        <v>TN</v>
      </c>
      <c r="B340" s="1" t="str">
        <f t="shared" si="25"/>
        <v>TN</v>
      </c>
      <c r="C340" s="1" t="str">
        <f t="shared" si="26"/>
        <v>TN</v>
      </c>
      <c r="D340" s="1" t="str">
        <f t="shared" si="27"/>
        <v>TN</v>
      </c>
      <c r="E340" s="1" t="str">
        <f t="shared" si="28"/>
        <v>TN</v>
      </c>
      <c r="F340" s="1" t="str">
        <f t="shared" si="29"/>
        <v>Complete</v>
      </c>
      <c r="G340" s="1" t="str">
        <f>IF(COUNTIF($A$2:A340,A340)&gt;1,"Duplicate","Unique")</f>
        <v>Duplicate</v>
      </c>
    </row>
    <row r="341" spans="1:7" x14ac:dyDescent="0.25">
      <c r="A341" s="1" t="str">
        <v>WV</v>
      </c>
      <c r="B341" s="1" t="str">
        <f t="shared" si="25"/>
        <v>WV</v>
      </c>
      <c r="C341" s="1" t="str">
        <f t="shared" si="26"/>
        <v>WV</v>
      </c>
      <c r="D341" s="1" t="str">
        <f t="shared" si="27"/>
        <v>WV</v>
      </c>
      <c r="E341" s="1" t="str">
        <f t="shared" si="28"/>
        <v>WV</v>
      </c>
      <c r="F341" s="1" t="str">
        <f t="shared" si="29"/>
        <v>Complete</v>
      </c>
      <c r="G341" s="1" t="str">
        <f>IF(COUNTIF($A$2:A341,A341)&gt;1,"Duplicate","Unique")</f>
        <v>Duplicate</v>
      </c>
    </row>
    <row r="342" spans="1:7" x14ac:dyDescent="0.25">
      <c r="A342" s="1" t="str">
        <v>CT</v>
      </c>
      <c r="B342" s="1" t="str">
        <f t="shared" si="25"/>
        <v>CT</v>
      </c>
      <c r="C342" s="1" t="str">
        <f t="shared" si="26"/>
        <v>CT</v>
      </c>
      <c r="D342" s="1" t="str">
        <f t="shared" si="27"/>
        <v>CT</v>
      </c>
      <c r="E342" s="1" t="str">
        <f t="shared" si="28"/>
        <v>CT</v>
      </c>
      <c r="F342" s="1" t="str">
        <f t="shared" si="29"/>
        <v>Complete</v>
      </c>
      <c r="G342" s="1" t="str">
        <f>IF(COUNTIF($A$2:A342,A342)&gt;1,"Duplicate","Unique")</f>
        <v>Duplicate</v>
      </c>
    </row>
    <row r="343" spans="1:7" x14ac:dyDescent="0.25">
      <c r="A343" s="1" t="str">
        <v>NH</v>
      </c>
      <c r="B343" s="1" t="str">
        <f t="shared" si="25"/>
        <v>NH</v>
      </c>
      <c r="C343" s="1" t="str">
        <f t="shared" si="26"/>
        <v>NH</v>
      </c>
      <c r="D343" s="1" t="str">
        <f t="shared" si="27"/>
        <v>NH</v>
      </c>
      <c r="E343" s="1" t="str">
        <f t="shared" si="28"/>
        <v>NH</v>
      </c>
      <c r="F343" s="1" t="str">
        <f t="shared" si="29"/>
        <v>Complete</v>
      </c>
      <c r="G343" s="1" t="str">
        <f>IF(COUNTIF($A$2:A343,A343)&gt;1,"Duplicate","Unique")</f>
        <v>Duplicate</v>
      </c>
    </row>
    <row r="344" spans="1:7" x14ac:dyDescent="0.25">
      <c r="A344" s="1" t="str">
        <v>MD</v>
      </c>
      <c r="B344" s="1" t="str">
        <f t="shared" si="25"/>
        <v>MD</v>
      </c>
      <c r="C344" s="1" t="str">
        <f t="shared" si="26"/>
        <v>MD</v>
      </c>
      <c r="D344" s="1" t="str">
        <f t="shared" si="27"/>
        <v>MD</v>
      </c>
      <c r="E344" s="1" t="str">
        <f t="shared" si="28"/>
        <v>MD</v>
      </c>
      <c r="F344" s="1" t="str">
        <f t="shared" si="29"/>
        <v>Complete</v>
      </c>
      <c r="G344" s="1" t="str">
        <f>IF(COUNTIF($A$2:A344,A344)&gt;1,"Duplicate","Unique")</f>
        <v>Duplicate</v>
      </c>
    </row>
    <row r="345" spans="1:7" x14ac:dyDescent="0.25">
      <c r="A345" s="1" t="str">
        <v>WV</v>
      </c>
      <c r="B345" s="1" t="str">
        <f t="shared" si="25"/>
        <v>WV</v>
      </c>
      <c r="C345" s="1" t="str">
        <f t="shared" si="26"/>
        <v>WV</v>
      </c>
      <c r="D345" s="1" t="str">
        <f t="shared" si="27"/>
        <v>WV</v>
      </c>
      <c r="E345" s="1" t="str">
        <f t="shared" si="28"/>
        <v>WV</v>
      </c>
      <c r="F345" s="1" t="str">
        <f t="shared" si="29"/>
        <v>Complete</v>
      </c>
      <c r="G345" s="1" t="str">
        <f>IF(COUNTIF($A$2:A345,A345)&gt;1,"Duplicate","Unique")</f>
        <v>Duplicate</v>
      </c>
    </row>
    <row r="346" spans="1:7" x14ac:dyDescent="0.25">
      <c r="A346" s="1" t="str">
        <v>KY</v>
      </c>
      <c r="B346" s="1" t="str">
        <f t="shared" si="25"/>
        <v>KY</v>
      </c>
      <c r="C346" s="1" t="str">
        <f t="shared" si="26"/>
        <v>KY</v>
      </c>
      <c r="D346" s="1" t="str">
        <f t="shared" si="27"/>
        <v>KY</v>
      </c>
      <c r="E346" s="1" t="str">
        <f t="shared" si="28"/>
        <v>KY</v>
      </c>
      <c r="F346" s="1" t="str">
        <f t="shared" si="29"/>
        <v>Complete</v>
      </c>
      <c r="G346" s="1" t="str">
        <f>IF(COUNTIF($A$2:A346,A346)&gt;1,"Duplicate","Unique")</f>
        <v>Duplicate</v>
      </c>
    </row>
    <row r="347" spans="1:7" x14ac:dyDescent="0.25">
      <c r="A347" s="1" t="str">
        <v>WY</v>
      </c>
      <c r="B347" s="1" t="str">
        <f t="shared" si="25"/>
        <v>WY</v>
      </c>
      <c r="C347" s="1" t="str">
        <f t="shared" si="26"/>
        <v>WY</v>
      </c>
      <c r="D347" s="1" t="str">
        <f t="shared" si="27"/>
        <v>WY</v>
      </c>
      <c r="E347" s="1" t="str">
        <f t="shared" si="28"/>
        <v>WY</v>
      </c>
      <c r="F347" s="1" t="str">
        <f t="shared" si="29"/>
        <v>Complete</v>
      </c>
      <c r="G347" s="1" t="str">
        <f>IF(COUNTIF($A$2:A347,A347)&gt;1,"Duplicate","Unique")</f>
        <v>Duplicate</v>
      </c>
    </row>
    <row r="348" spans="1:7" x14ac:dyDescent="0.25">
      <c r="A348" s="1" t="str">
        <v>GA</v>
      </c>
      <c r="B348" s="1" t="str">
        <f t="shared" si="25"/>
        <v>GA</v>
      </c>
      <c r="C348" s="1" t="str">
        <f t="shared" si="26"/>
        <v>GA</v>
      </c>
      <c r="D348" s="1" t="str">
        <f t="shared" si="27"/>
        <v>GA</v>
      </c>
      <c r="E348" s="1" t="str">
        <f t="shared" si="28"/>
        <v>GA</v>
      </c>
      <c r="F348" s="1" t="str">
        <f t="shared" si="29"/>
        <v>Complete</v>
      </c>
      <c r="G348" s="1" t="str">
        <f>IF(COUNTIF($A$2:A348,A348)&gt;1,"Duplicate","Unique")</f>
        <v>Unique</v>
      </c>
    </row>
    <row r="349" spans="1:7" x14ac:dyDescent="0.25">
      <c r="A349" s="1" t="str">
        <v>AK</v>
      </c>
      <c r="B349" s="1" t="str">
        <f t="shared" si="25"/>
        <v>AK</v>
      </c>
      <c r="C349" s="1" t="str">
        <f t="shared" si="26"/>
        <v>AK</v>
      </c>
      <c r="D349" s="1" t="str">
        <f t="shared" si="27"/>
        <v>AK</v>
      </c>
      <c r="E349" s="1" t="str">
        <f t="shared" si="28"/>
        <v>AK</v>
      </c>
      <c r="F349" s="1" t="str">
        <f t="shared" si="29"/>
        <v>Complete</v>
      </c>
      <c r="G349" s="1" t="str">
        <f>IF(COUNTIF($A$2:A349,A349)&gt;1,"Duplicate","Unique")</f>
        <v>Duplicate</v>
      </c>
    </row>
    <row r="350" spans="1:7" x14ac:dyDescent="0.25">
      <c r="A350" s="1" t="str">
        <v>CT</v>
      </c>
      <c r="B350" s="1" t="str">
        <f t="shared" si="25"/>
        <v>CT</v>
      </c>
      <c r="C350" s="1" t="str">
        <f t="shared" si="26"/>
        <v>CT</v>
      </c>
      <c r="D350" s="1" t="str">
        <f t="shared" si="27"/>
        <v>CT</v>
      </c>
      <c r="E350" s="1" t="str">
        <f t="shared" si="28"/>
        <v>CT</v>
      </c>
      <c r="F350" s="1" t="str">
        <f t="shared" si="29"/>
        <v>Complete</v>
      </c>
      <c r="G350" s="1" t="str">
        <f>IF(COUNTIF($A$2:A350,A350)&gt;1,"Duplicate","Unique")</f>
        <v>Duplicate</v>
      </c>
    </row>
    <row r="351" spans="1:7" x14ac:dyDescent="0.25">
      <c r="A351" s="1" t="str">
        <v>OR</v>
      </c>
      <c r="B351" s="1" t="str">
        <f t="shared" si="25"/>
        <v>OR</v>
      </c>
      <c r="C351" s="1" t="str">
        <f t="shared" si="26"/>
        <v>OR</v>
      </c>
      <c r="D351" s="1" t="str">
        <f t="shared" si="27"/>
        <v>OR</v>
      </c>
      <c r="E351" s="1" t="str">
        <f t="shared" si="28"/>
        <v>OR</v>
      </c>
      <c r="F351" s="1" t="str">
        <f t="shared" si="29"/>
        <v>Complete</v>
      </c>
      <c r="G351" s="1" t="str">
        <f>IF(COUNTIF($A$2:A351,A351)&gt;1,"Duplicate","Unique")</f>
        <v>Duplicate</v>
      </c>
    </row>
    <row r="352" spans="1:7" x14ac:dyDescent="0.25">
      <c r="A352" s="1" t="str">
        <v>OK</v>
      </c>
      <c r="B352" s="1" t="str">
        <f t="shared" si="25"/>
        <v>OK</v>
      </c>
      <c r="C352" s="1" t="str">
        <f t="shared" si="26"/>
        <v>OK</v>
      </c>
      <c r="D352" s="1" t="str">
        <f t="shared" si="27"/>
        <v>OK</v>
      </c>
      <c r="E352" s="1" t="str">
        <f t="shared" si="28"/>
        <v>OK</v>
      </c>
      <c r="F352" s="1" t="str">
        <f t="shared" si="29"/>
        <v>Complete</v>
      </c>
      <c r="G352" s="1" t="str">
        <f>IF(COUNTIF($A$2:A352,A352)&gt;1,"Duplicate","Unique")</f>
        <v>Duplicate</v>
      </c>
    </row>
    <row r="353" spans="1:7" x14ac:dyDescent="0.25">
      <c r="A353" s="1" t="str">
        <v>MA</v>
      </c>
      <c r="B353" s="1" t="str">
        <f t="shared" si="25"/>
        <v>MA</v>
      </c>
      <c r="C353" s="1" t="str">
        <f t="shared" si="26"/>
        <v>MA</v>
      </c>
      <c r="D353" s="1" t="str">
        <f t="shared" si="27"/>
        <v>MA</v>
      </c>
      <c r="E353" s="1" t="str">
        <f t="shared" si="28"/>
        <v>MA</v>
      </c>
      <c r="F353" s="1" t="str">
        <f t="shared" si="29"/>
        <v>Complete</v>
      </c>
      <c r="G353" s="1" t="str">
        <f>IF(COUNTIF($A$2:A353,A353)&gt;1,"Duplicate","Unique")</f>
        <v>Duplicate</v>
      </c>
    </row>
    <row r="354" spans="1:7" x14ac:dyDescent="0.25">
      <c r="A354" s="1" t="str">
        <v>DE</v>
      </c>
      <c r="B354" s="1" t="str">
        <f t="shared" si="25"/>
        <v>DE</v>
      </c>
      <c r="C354" s="1" t="str">
        <f t="shared" si="26"/>
        <v>DE</v>
      </c>
      <c r="D354" s="1" t="str">
        <f t="shared" si="27"/>
        <v>DE</v>
      </c>
      <c r="E354" s="1" t="str">
        <f t="shared" si="28"/>
        <v>DE</v>
      </c>
      <c r="F354" s="1" t="str">
        <f t="shared" si="29"/>
        <v>Complete</v>
      </c>
      <c r="G354" s="1" t="str">
        <f>IF(COUNTIF($A$2:A354,A354)&gt;1,"Duplicate","Unique")</f>
        <v>Duplicate</v>
      </c>
    </row>
    <row r="355" spans="1:7" x14ac:dyDescent="0.25">
      <c r="A355" s="1" t="str">
        <v>OH</v>
      </c>
      <c r="B355" s="1" t="str">
        <f t="shared" si="25"/>
        <v>OH</v>
      </c>
      <c r="C355" s="1" t="str">
        <f t="shared" si="26"/>
        <v>OH</v>
      </c>
      <c r="D355" s="1" t="str">
        <f t="shared" si="27"/>
        <v>OH</v>
      </c>
      <c r="E355" s="1" t="str">
        <f t="shared" si="28"/>
        <v>OH</v>
      </c>
      <c r="F355" s="1" t="str">
        <f t="shared" si="29"/>
        <v>Complete</v>
      </c>
      <c r="G355" s="1" t="str">
        <f>IF(COUNTIF($A$2:A355,A355)&gt;1,"Duplicate","Unique")</f>
        <v>Duplicate</v>
      </c>
    </row>
    <row r="356" spans="1:7" x14ac:dyDescent="0.25">
      <c r="A356" s="1" t="str">
        <v>ID</v>
      </c>
      <c r="B356" s="1" t="str">
        <f t="shared" si="25"/>
        <v>ID</v>
      </c>
      <c r="C356" s="1" t="str">
        <f t="shared" si="26"/>
        <v>ID</v>
      </c>
      <c r="D356" s="1" t="str">
        <f t="shared" si="27"/>
        <v>ID</v>
      </c>
      <c r="E356" s="1" t="str">
        <f t="shared" si="28"/>
        <v>ID</v>
      </c>
      <c r="F356" s="1" t="str">
        <f t="shared" si="29"/>
        <v>Complete</v>
      </c>
      <c r="G356" s="1" t="str">
        <f>IF(COUNTIF($A$2:A356,A356)&gt;1,"Duplicate","Unique")</f>
        <v>Duplicate</v>
      </c>
    </row>
    <row r="357" spans="1:7" x14ac:dyDescent="0.25">
      <c r="A357" s="1" t="str">
        <v>MO</v>
      </c>
      <c r="B357" s="1" t="str">
        <f t="shared" si="25"/>
        <v>MO</v>
      </c>
      <c r="C357" s="1" t="str">
        <f t="shared" si="26"/>
        <v>MO</v>
      </c>
      <c r="D357" s="1" t="str">
        <f t="shared" si="27"/>
        <v>MO</v>
      </c>
      <c r="E357" s="1" t="str">
        <f t="shared" si="28"/>
        <v>MO</v>
      </c>
      <c r="F357" s="1" t="str">
        <f t="shared" si="29"/>
        <v>Complete</v>
      </c>
      <c r="G357" s="1" t="str">
        <f>IF(COUNTIF($A$2:A357,A357)&gt;1,"Duplicate","Unique")</f>
        <v>Duplicate</v>
      </c>
    </row>
    <row r="358" spans="1:7" x14ac:dyDescent="0.25">
      <c r="A358" s="1" t="str">
        <v>NC</v>
      </c>
      <c r="B358" s="1" t="str">
        <f t="shared" si="25"/>
        <v>NC</v>
      </c>
      <c r="C358" s="1" t="str">
        <f t="shared" si="26"/>
        <v>NC</v>
      </c>
      <c r="D358" s="1" t="str">
        <f t="shared" si="27"/>
        <v>NC</v>
      </c>
      <c r="E358" s="1" t="str">
        <f t="shared" si="28"/>
        <v>NC</v>
      </c>
      <c r="F358" s="1" t="str">
        <f t="shared" si="29"/>
        <v>Complete</v>
      </c>
      <c r="G358" s="1" t="str">
        <f>IF(COUNTIF($A$2:A358,A358)&gt;1,"Duplicate","Unique")</f>
        <v>Duplicate</v>
      </c>
    </row>
    <row r="359" spans="1:7" x14ac:dyDescent="0.25">
      <c r="A359" s="1" t="str">
        <v>HI</v>
      </c>
      <c r="B359" s="1" t="str">
        <f t="shared" si="25"/>
        <v>HI</v>
      </c>
      <c r="C359" s="1" t="str">
        <f t="shared" si="26"/>
        <v>HI</v>
      </c>
      <c r="D359" s="1" t="str">
        <f t="shared" si="27"/>
        <v>HI</v>
      </c>
      <c r="E359" s="1" t="str">
        <f t="shared" si="28"/>
        <v>HI</v>
      </c>
      <c r="F359" s="1" t="str">
        <f t="shared" si="29"/>
        <v>Complete</v>
      </c>
      <c r="G359" s="1" t="str">
        <f>IF(COUNTIF($A$2:A359,A359)&gt;1,"Duplicate","Unique")</f>
        <v>Duplicate</v>
      </c>
    </row>
    <row r="360" spans="1:7" x14ac:dyDescent="0.25">
      <c r="A360" s="1" t="str">
        <v>NJ</v>
      </c>
      <c r="B360" s="1" t="str">
        <f t="shared" si="25"/>
        <v>NJ</v>
      </c>
      <c r="C360" s="1" t="str">
        <f t="shared" si="26"/>
        <v>NJ</v>
      </c>
      <c r="D360" s="1" t="str">
        <f t="shared" si="27"/>
        <v>NJ</v>
      </c>
      <c r="E360" s="1" t="str">
        <f t="shared" si="28"/>
        <v>NJ</v>
      </c>
      <c r="F360" s="1" t="str">
        <f t="shared" si="29"/>
        <v>Complete</v>
      </c>
      <c r="G360" s="1" t="str">
        <f>IF(COUNTIF($A$2:A360,A360)&gt;1,"Duplicate","Unique")</f>
        <v>Duplicate</v>
      </c>
    </row>
    <row r="361" spans="1:7" x14ac:dyDescent="0.25">
      <c r="A361" s="1" t="str">
        <v>MS</v>
      </c>
      <c r="B361" s="1" t="str">
        <f t="shared" si="25"/>
        <v>MS</v>
      </c>
      <c r="C361" s="1" t="str">
        <f t="shared" si="26"/>
        <v>MS</v>
      </c>
      <c r="D361" s="1" t="str">
        <f t="shared" si="27"/>
        <v>MS</v>
      </c>
      <c r="E361" s="1" t="str">
        <f t="shared" si="28"/>
        <v>MS</v>
      </c>
      <c r="F361" s="1" t="str">
        <f t="shared" si="29"/>
        <v>Complete</v>
      </c>
      <c r="G361" s="1" t="str">
        <f>IF(COUNTIF($A$2:A361,A361)&gt;1,"Duplicate","Unique")</f>
        <v>Duplicate</v>
      </c>
    </row>
    <row r="362" spans="1:7" x14ac:dyDescent="0.25">
      <c r="A362" s="1" t="str">
        <v>MN</v>
      </c>
      <c r="B362" s="1" t="str">
        <f t="shared" si="25"/>
        <v>MN</v>
      </c>
      <c r="C362" s="1" t="str">
        <f t="shared" si="26"/>
        <v>MN</v>
      </c>
      <c r="D362" s="1" t="str">
        <f t="shared" si="27"/>
        <v>MN</v>
      </c>
      <c r="E362" s="1" t="str">
        <f t="shared" si="28"/>
        <v>MN</v>
      </c>
      <c r="F362" s="1" t="str">
        <f t="shared" si="29"/>
        <v>Complete</v>
      </c>
      <c r="G362" s="1" t="str">
        <f>IF(COUNTIF($A$2:A362,A362)&gt;1,"Duplicate","Unique")</f>
        <v>Duplicate</v>
      </c>
    </row>
    <row r="363" spans="1:7" x14ac:dyDescent="0.25">
      <c r="A363" s="1" t="str">
        <v>RI</v>
      </c>
      <c r="B363" s="1" t="str">
        <f t="shared" si="25"/>
        <v>RI</v>
      </c>
      <c r="C363" s="1" t="str">
        <f t="shared" si="26"/>
        <v>RI</v>
      </c>
      <c r="D363" s="1" t="str">
        <f t="shared" si="27"/>
        <v>RI</v>
      </c>
      <c r="E363" s="1" t="str">
        <f t="shared" si="28"/>
        <v>RI</v>
      </c>
      <c r="F363" s="1" t="str">
        <f t="shared" si="29"/>
        <v>Complete</v>
      </c>
      <c r="G363" s="1" t="str">
        <f>IF(COUNTIF($A$2:A363,A363)&gt;1,"Duplicate","Unique")</f>
        <v>Duplicate</v>
      </c>
    </row>
    <row r="364" spans="1:7" x14ac:dyDescent="0.25">
      <c r="A364" s="1" t="str">
        <v>NJ</v>
      </c>
      <c r="B364" s="1" t="str">
        <f t="shared" si="25"/>
        <v>NJ</v>
      </c>
      <c r="C364" s="1" t="str">
        <f t="shared" si="26"/>
        <v>NJ</v>
      </c>
      <c r="D364" s="1" t="str">
        <f t="shared" si="27"/>
        <v>NJ</v>
      </c>
      <c r="E364" s="1" t="str">
        <f t="shared" si="28"/>
        <v>NJ</v>
      </c>
      <c r="F364" s="1" t="str">
        <f t="shared" si="29"/>
        <v>Complete</v>
      </c>
      <c r="G364" s="1" t="str">
        <f>IF(COUNTIF($A$2:A364,A364)&gt;1,"Duplicate","Unique")</f>
        <v>Duplicate</v>
      </c>
    </row>
    <row r="365" spans="1:7" x14ac:dyDescent="0.25">
      <c r="A365" s="1" t="str">
        <v>MN</v>
      </c>
      <c r="B365" s="1" t="str">
        <f t="shared" si="25"/>
        <v>MN</v>
      </c>
      <c r="C365" s="1" t="str">
        <f t="shared" si="26"/>
        <v>MN</v>
      </c>
      <c r="D365" s="1" t="str">
        <f t="shared" si="27"/>
        <v>MN</v>
      </c>
      <c r="E365" s="1" t="str">
        <f t="shared" si="28"/>
        <v>MN</v>
      </c>
      <c r="F365" s="1" t="str">
        <f t="shared" si="29"/>
        <v>Complete</v>
      </c>
      <c r="G365" s="1" t="str">
        <f>IF(COUNTIF($A$2:A365,A365)&gt;1,"Duplicate","Unique")</f>
        <v>Duplicate</v>
      </c>
    </row>
    <row r="366" spans="1:7" x14ac:dyDescent="0.25">
      <c r="A366" s="1" t="str">
        <v>WI</v>
      </c>
      <c r="B366" s="1" t="str">
        <f t="shared" si="25"/>
        <v>WI</v>
      </c>
      <c r="C366" s="1" t="str">
        <f t="shared" si="26"/>
        <v>WI</v>
      </c>
      <c r="D366" s="1" t="str">
        <f t="shared" si="27"/>
        <v>WI</v>
      </c>
      <c r="E366" s="1" t="str">
        <f t="shared" si="28"/>
        <v>WI</v>
      </c>
      <c r="F366" s="1" t="str">
        <f t="shared" si="29"/>
        <v>Complete</v>
      </c>
      <c r="G366" s="1" t="str">
        <f>IF(COUNTIF($A$2:A366,A366)&gt;1,"Duplicate","Unique")</f>
        <v>Duplicate</v>
      </c>
    </row>
    <row r="367" spans="1:7" x14ac:dyDescent="0.25">
      <c r="A367" s="1" t="str">
        <v>KS</v>
      </c>
      <c r="B367" s="1" t="str">
        <f t="shared" si="25"/>
        <v>KS</v>
      </c>
      <c r="C367" s="1" t="str">
        <f t="shared" si="26"/>
        <v>KS</v>
      </c>
      <c r="D367" s="1" t="str">
        <f t="shared" si="27"/>
        <v>KS</v>
      </c>
      <c r="E367" s="1" t="str">
        <f t="shared" si="28"/>
        <v>KS</v>
      </c>
      <c r="F367" s="1" t="str">
        <f t="shared" si="29"/>
        <v>Complete</v>
      </c>
      <c r="G367" s="1" t="str">
        <f>IF(COUNTIF($A$2:A367,A367)&gt;1,"Duplicate","Unique")</f>
        <v>Duplicate</v>
      </c>
    </row>
    <row r="368" spans="1:7" x14ac:dyDescent="0.25">
      <c r="A368" s="1" t="str">
        <v>NJ</v>
      </c>
      <c r="B368" s="1" t="str">
        <f t="shared" si="25"/>
        <v>NJ</v>
      </c>
      <c r="C368" s="1" t="str">
        <f t="shared" si="26"/>
        <v>NJ</v>
      </c>
      <c r="D368" s="1" t="str">
        <f t="shared" si="27"/>
        <v>NJ</v>
      </c>
      <c r="E368" s="1" t="str">
        <f t="shared" si="28"/>
        <v>NJ</v>
      </c>
      <c r="F368" s="1" t="str">
        <f t="shared" si="29"/>
        <v>Complete</v>
      </c>
      <c r="G368" s="1" t="str">
        <f>IF(COUNTIF($A$2:A368,A368)&gt;1,"Duplicate","Unique")</f>
        <v>Duplicate</v>
      </c>
    </row>
    <row r="369" spans="1:7" x14ac:dyDescent="0.25">
      <c r="A369" s="1" t="str">
        <v>ND</v>
      </c>
      <c r="B369" s="1" t="str">
        <f t="shared" si="25"/>
        <v>ND</v>
      </c>
      <c r="C369" s="1" t="str">
        <f t="shared" si="26"/>
        <v>ND</v>
      </c>
      <c r="D369" s="1" t="str">
        <f t="shared" si="27"/>
        <v>ND</v>
      </c>
      <c r="E369" s="1" t="str">
        <f t="shared" si="28"/>
        <v>ND</v>
      </c>
      <c r="F369" s="1" t="str">
        <f t="shared" si="29"/>
        <v>Complete</v>
      </c>
      <c r="G369" s="1" t="str">
        <f>IF(COUNTIF($A$2:A369,A369)&gt;1,"Duplicate","Unique")</f>
        <v>Duplicate</v>
      </c>
    </row>
    <row r="370" spans="1:7" x14ac:dyDescent="0.25">
      <c r="A370" s="1" t="str">
        <v>WY</v>
      </c>
      <c r="B370" s="1" t="str">
        <f t="shared" si="25"/>
        <v>WY</v>
      </c>
      <c r="C370" s="1" t="str">
        <f t="shared" si="26"/>
        <v>WY</v>
      </c>
      <c r="D370" s="1" t="str">
        <f t="shared" si="27"/>
        <v>WY</v>
      </c>
      <c r="E370" s="1" t="str">
        <f t="shared" si="28"/>
        <v>WY</v>
      </c>
      <c r="F370" s="1" t="str">
        <f t="shared" si="29"/>
        <v>Complete</v>
      </c>
      <c r="G370" s="1" t="str">
        <f>IF(COUNTIF($A$2:A370,A370)&gt;1,"Duplicate","Unique")</f>
        <v>Duplicate</v>
      </c>
    </row>
    <row r="371" spans="1:7" x14ac:dyDescent="0.25">
      <c r="A371" s="1" t="str">
        <v>LA</v>
      </c>
      <c r="B371" s="1" t="str">
        <f t="shared" si="25"/>
        <v>LA</v>
      </c>
      <c r="C371" s="1" t="str">
        <f t="shared" si="26"/>
        <v>LA</v>
      </c>
      <c r="D371" s="1" t="str">
        <f t="shared" si="27"/>
        <v>LA</v>
      </c>
      <c r="E371" s="1" t="str">
        <f t="shared" si="28"/>
        <v>LA</v>
      </c>
      <c r="F371" s="1" t="str">
        <f t="shared" si="29"/>
        <v>Complete</v>
      </c>
      <c r="G371" s="1" t="str">
        <f>IF(COUNTIF($A$2:A371,A371)&gt;1,"Duplicate","Unique")</f>
        <v>Duplicate</v>
      </c>
    </row>
    <row r="372" spans="1:7" x14ac:dyDescent="0.25">
      <c r="A372" s="1" t="str">
        <v>AL</v>
      </c>
      <c r="B372" s="1" t="str">
        <f t="shared" si="25"/>
        <v>AL</v>
      </c>
      <c r="C372" s="1" t="str">
        <f t="shared" si="26"/>
        <v>AL</v>
      </c>
      <c r="D372" s="1" t="str">
        <f t="shared" si="27"/>
        <v>AL</v>
      </c>
      <c r="E372" s="1" t="str">
        <f t="shared" si="28"/>
        <v>AL</v>
      </c>
      <c r="F372" s="1" t="str">
        <f t="shared" si="29"/>
        <v>Complete</v>
      </c>
      <c r="G372" s="1" t="str">
        <f>IF(COUNTIF($A$2:A372,A372)&gt;1,"Duplicate","Unique")</f>
        <v>Duplicate</v>
      </c>
    </row>
    <row r="373" spans="1:7" x14ac:dyDescent="0.25">
      <c r="A373" s="1" t="str">
        <v>TX</v>
      </c>
      <c r="B373" s="1" t="str">
        <f t="shared" si="25"/>
        <v>TX</v>
      </c>
      <c r="C373" s="1" t="str">
        <f t="shared" si="26"/>
        <v>TX</v>
      </c>
      <c r="D373" s="1" t="str">
        <f t="shared" si="27"/>
        <v>TX</v>
      </c>
      <c r="E373" s="1" t="str">
        <f t="shared" si="28"/>
        <v>TX</v>
      </c>
      <c r="F373" s="1" t="str">
        <f t="shared" si="29"/>
        <v>Complete</v>
      </c>
      <c r="G373" s="1" t="str">
        <f>IF(COUNTIF($A$2:A373,A373)&gt;1,"Duplicate","Unique")</f>
        <v>Duplicate</v>
      </c>
    </row>
    <row r="374" spans="1:7" x14ac:dyDescent="0.25">
      <c r="A374" s="1" t="str">
        <v>AR</v>
      </c>
      <c r="B374" s="1" t="str">
        <f t="shared" si="25"/>
        <v>AR</v>
      </c>
      <c r="C374" s="1" t="str">
        <f t="shared" si="26"/>
        <v>AR</v>
      </c>
      <c r="D374" s="1" t="str">
        <f t="shared" si="27"/>
        <v>AR</v>
      </c>
      <c r="E374" s="1" t="str">
        <f t="shared" si="28"/>
        <v>AR</v>
      </c>
      <c r="F374" s="1" t="str">
        <f t="shared" si="29"/>
        <v>Complete</v>
      </c>
      <c r="G374" s="1" t="str">
        <f>IF(COUNTIF($A$2:A374,A374)&gt;1,"Duplicate","Unique")</f>
        <v>Duplicate</v>
      </c>
    </row>
    <row r="375" spans="1:7" x14ac:dyDescent="0.25">
      <c r="A375" s="1" t="str">
        <v>GA</v>
      </c>
      <c r="B375" s="1" t="str">
        <f t="shared" si="25"/>
        <v>GA</v>
      </c>
      <c r="C375" s="1" t="str">
        <f t="shared" si="26"/>
        <v>GA</v>
      </c>
      <c r="D375" s="1" t="str">
        <f t="shared" si="27"/>
        <v>GA</v>
      </c>
      <c r="E375" s="1" t="str">
        <f t="shared" si="28"/>
        <v>GA</v>
      </c>
      <c r="F375" s="1" t="str">
        <f t="shared" si="29"/>
        <v>Complete</v>
      </c>
      <c r="G375" s="1" t="str">
        <f>IF(COUNTIF($A$2:A375,A375)&gt;1,"Duplicate","Unique")</f>
        <v>Duplicate</v>
      </c>
    </row>
    <row r="376" spans="1:7" x14ac:dyDescent="0.25">
      <c r="A376" s="1" t="str">
        <v>KY</v>
      </c>
      <c r="B376" s="1" t="str">
        <f t="shared" si="25"/>
        <v>KY</v>
      </c>
      <c r="C376" s="1" t="str">
        <f t="shared" si="26"/>
        <v>KY</v>
      </c>
      <c r="D376" s="1" t="str">
        <f t="shared" si="27"/>
        <v>KY</v>
      </c>
      <c r="E376" s="1" t="str">
        <f t="shared" si="28"/>
        <v>KY</v>
      </c>
      <c r="F376" s="1" t="str">
        <f t="shared" si="29"/>
        <v>Complete</v>
      </c>
      <c r="G376" s="1" t="str">
        <f>IF(COUNTIF($A$2:A376,A376)&gt;1,"Duplicate","Unique")</f>
        <v>Duplicate</v>
      </c>
    </row>
    <row r="377" spans="1:7" x14ac:dyDescent="0.25">
      <c r="A377" s="1" t="str">
        <v>NE</v>
      </c>
      <c r="B377" s="1" t="str">
        <f t="shared" si="25"/>
        <v>NE</v>
      </c>
      <c r="C377" s="1" t="str">
        <f t="shared" si="26"/>
        <v>NE</v>
      </c>
      <c r="D377" s="1" t="str">
        <f t="shared" si="27"/>
        <v>NE</v>
      </c>
      <c r="E377" s="1" t="str">
        <f t="shared" si="28"/>
        <v>NE</v>
      </c>
      <c r="F377" s="1" t="str">
        <f t="shared" si="29"/>
        <v>Complete</v>
      </c>
      <c r="G377" s="1" t="str">
        <f>IF(COUNTIF($A$2:A377,A377)&gt;1,"Duplicate","Unique")</f>
        <v>Duplicate</v>
      </c>
    </row>
    <row r="378" spans="1:7" x14ac:dyDescent="0.25">
      <c r="A378" s="1" t="str">
        <v>ND</v>
      </c>
      <c r="B378" s="1" t="str">
        <f t="shared" si="25"/>
        <v>ND</v>
      </c>
      <c r="C378" s="1" t="str">
        <f t="shared" si="26"/>
        <v>ND</v>
      </c>
      <c r="D378" s="1" t="str">
        <f t="shared" si="27"/>
        <v>ND</v>
      </c>
      <c r="E378" s="1" t="str">
        <f t="shared" si="28"/>
        <v>ND</v>
      </c>
      <c r="F378" s="1" t="str">
        <f t="shared" si="29"/>
        <v>Complete</v>
      </c>
      <c r="G378" s="1" t="str">
        <f>IF(COUNTIF($A$2:A378,A378)&gt;1,"Duplicate","Unique")</f>
        <v>Duplicate</v>
      </c>
    </row>
    <row r="379" spans="1:7" x14ac:dyDescent="0.25">
      <c r="A379" s="1" t="str">
        <v>NH</v>
      </c>
      <c r="B379" s="1" t="str">
        <f t="shared" si="25"/>
        <v>NH</v>
      </c>
      <c r="C379" s="1" t="str">
        <f t="shared" si="26"/>
        <v>NH</v>
      </c>
      <c r="D379" s="1" t="str">
        <f t="shared" si="27"/>
        <v>NH</v>
      </c>
      <c r="E379" s="1" t="str">
        <f t="shared" si="28"/>
        <v>NH</v>
      </c>
      <c r="F379" s="1" t="str">
        <f t="shared" si="29"/>
        <v>Complete</v>
      </c>
      <c r="G379" s="1" t="str">
        <f>IF(COUNTIF($A$2:A379,A379)&gt;1,"Duplicate","Unique")</f>
        <v>Duplicate</v>
      </c>
    </row>
    <row r="380" spans="1:7" x14ac:dyDescent="0.25">
      <c r="A380" s="1" t="str">
        <v>IN</v>
      </c>
      <c r="B380" s="1" t="str">
        <f t="shared" si="25"/>
        <v>IN</v>
      </c>
      <c r="C380" s="1" t="str">
        <f t="shared" si="26"/>
        <v>IN</v>
      </c>
      <c r="D380" s="1" t="str">
        <f t="shared" si="27"/>
        <v>IN</v>
      </c>
      <c r="E380" s="1" t="str">
        <f t="shared" si="28"/>
        <v>IN</v>
      </c>
      <c r="F380" s="1" t="str">
        <f t="shared" si="29"/>
        <v>Complete</v>
      </c>
      <c r="G380" s="1" t="str">
        <f>IF(COUNTIF($A$2:A380,A380)&gt;1,"Duplicate","Unique")</f>
        <v>Duplicate</v>
      </c>
    </row>
    <row r="381" spans="1:7" x14ac:dyDescent="0.25">
      <c r="A381" s="1" t="str">
        <v>OR</v>
      </c>
      <c r="B381" s="1" t="str">
        <f t="shared" si="25"/>
        <v>OR</v>
      </c>
      <c r="C381" s="1" t="str">
        <f t="shared" si="26"/>
        <v>OR</v>
      </c>
      <c r="D381" s="1" t="str">
        <f t="shared" si="27"/>
        <v>OR</v>
      </c>
      <c r="E381" s="1" t="str">
        <f t="shared" si="28"/>
        <v>OR</v>
      </c>
      <c r="F381" s="1" t="str">
        <f t="shared" si="29"/>
        <v>Complete</v>
      </c>
      <c r="G381" s="1" t="str">
        <f>IF(COUNTIF($A$2:A381,A381)&gt;1,"Duplicate","Unique")</f>
        <v>Duplicate</v>
      </c>
    </row>
    <row r="382" spans="1:7" x14ac:dyDescent="0.25">
      <c r="A382" s="1" t="str">
        <v>OH</v>
      </c>
      <c r="B382" s="1" t="str">
        <f t="shared" si="25"/>
        <v>OH</v>
      </c>
      <c r="C382" s="1" t="str">
        <f t="shared" si="26"/>
        <v>OH</v>
      </c>
      <c r="D382" s="1" t="str">
        <f t="shared" si="27"/>
        <v>OH</v>
      </c>
      <c r="E382" s="1" t="str">
        <f t="shared" si="28"/>
        <v>OH</v>
      </c>
      <c r="F382" s="1" t="str">
        <f t="shared" si="29"/>
        <v>Complete</v>
      </c>
      <c r="G382" s="1" t="str">
        <f>IF(COUNTIF($A$2:A382,A382)&gt;1,"Duplicate","Unique")</f>
        <v>Duplicate</v>
      </c>
    </row>
    <row r="383" spans="1:7" x14ac:dyDescent="0.25">
      <c r="A383" s="1" t="str">
        <v>KS</v>
      </c>
      <c r="B383" s="1" t="str">
        <f t="shared" si="25"/>
        <v>KS</v>
      </c>
      <c r="C383" s="1" t="str">
        <f t="shared" si="26"/>
        <v>KS</v>
      </c>
      <c r="D383" s="1" t="str">
        <f t="shared" si="27"/>
        <v>KS</v>
      </c>
      <c r="E383" s="1" t="str">
        <f t="shared" si="28"/>
        <v>KS</v>
      </c>
      <c r="F383" s="1" t="str">
        <f t="shared" si="29"/>
        <v>Complete</v>
      </c>
      <c r="G383" s="1" t="str">
        <f>IF(COUNTIF($A$2:A383,A383)&gt;1,"Duplicate","Unique")</f>
        <v>Duplicate</v>
      </c>
    </row>
    <row r="384" spans="1:7" x14ac:dyDescent="0.25">
      <c r="A384" s="1" t="str">
        <v>TX</v>
      </c>
      <c r="B384" s="1" t="str">
        <f t="shared" si="25"/>
        <v>TX</v>
      </c>
      <c r="C384" s="1" t="str">
        <f t="shared" si="26"/>
        <v>TX</v>
      </c>
      <c r="D384" s="1" t="str">
        <f t="shared" si="27"/>
        <v>TX</v>
      </c>
      <c r="E384" s="1" t="str">
        <f t="shared" si="28"/>
        <v>TX</v>
      </c>
      <c r="F384" s="1" t="str">
        <f t="shared" si="29"/>
        <v>Complete</v>
      </c>
      <c r="G384" s="1" t="str">
        <f>IF(COUNTIF($A$2:A384,A384)&gt;1,"Duplicate","Unique")</f>
        <v>Duplicate</v>
      </c>
    </row>
    <row r="385" spans="1:7" x14ac:dyDescent="0.25">
      <c r="A385" s="1" t="str">
        <v>DC</v>
      </c>
      <c r="B385" s="1" t="str">
        <f t="shared" si="25"/>
        <v>DC</v>
      </c>
      <c r="C385" s="1" t="str">
        <f t="shared" si="26"/>
        <v>DC</v>
      </c>
      <c r="D385" s="1" t="str">
        <f t="shared" si="27"/>
        <v>DC</v>
      </c>
      <c r="E385" s="1" t="str">
        <f t="shared" si="28"/>
        <v>DC</v>
      </c>
      <c r="F385" s="1" t="str">
        <f t="shared" si="29"/>
        <v>Complete</v>
      </c>
      <c r="G385" s="1" t="str">
        <f>IF(COUNTIF($A$2:A385,A385)&gt;1,"Duplicate","Unique")</f>
        <v>Duplicate</v>
      </c>
    </row>
    <row r="386" spans="1:7" x14ac:dyDescent="0.25">
      <c r="A386" s="1" t="str">
        <v>OR</v>
      </c>
      <c r="B386" s="1" t="str">
        <f t="shared" si="25"/>
        <v>OR</v>
      </c>
      <c r="C386" s="1" t="str">
        <f t="shared" si="26"/>
        <v>OR</v>
      </c>
      <c r="D386" s="1" t="str">
        <f t="shared" si="27"/>
        <v>OR</v>
      </c>
      <c r="E386" s="1" t="str">
        <f t="shared" si="28"/>
        <v>OR</v>
      </c>
      <c r="F386" s="1" t="str">
        <f t="shared" si="29"/>
        <v>Complete</v>
      </c>
      <c r="G386" s="1" t="str">
        <f>IF(COUNTIF($A$2:A386,A386)&gt;1,"Duplicate","Unique")</f>
        <v>Duplicate</v>
      </c>
    </row>
    <row r="387" spans="1:7" x14ac:dyDescent="0.25">
      <c r="A387" s="1" t="str">
        <v>WA</v>
      </c>
      <c r="B387" s="1" t="str">
        <f t="shared" ref="B387:B450" si="30">TRIM(A387)</f>
        <v>WA</v>
      </c>
      <c r="C387" s="1" t="str">
        <f t="shared" ref="C387:C450" si="31">CLEAN(A387)</f>
        <v>WA</v>
      </c>
      <c r="D387" s="1" t="str">
        <f t="shared" ref="D387:D450" si="32">TRIM(CLEAN(A387))</f>
        <v>WA</v>
      </c>
      <c r="E387" s="1" t="str">
        <f t="shared" ref="E387:E450" si="33">SUBSTITUTE(D387," ","")</f>
        <v>WA</v>
      </c>
      <c r="F387" s="1" t="str">
        <f t="shared" ref="F387:F450" si="34">IF(ISBLANK(A387),"Missing","Complete")</f>
        <v>Complete</v>
      </c>
      <c r="G387" s="1" t="str">
        <f>IF(COUNTIF($A$2:A387,A387)&gt;1,"Duplicate","Unique")</f>
        <v>Duplicate</v>
      </c>
    </row>
    <row r="388" spans="1:7" x14ac:dyDescent="0.25">
      <c r="A388" s="1" t="str">
        <v>NC</v>
      </c>
      <c r="B388" s="1" t="str">
        <f t="shared" si="30"/>
        <v>NC</v>
      </c>
      <c r="C388" s="1" t="str">
        <f t="shared" si="31"/>
        <v>NC</v>
      </c>
      <c r="D388" s="1" t="str">
        <f t="shared" si="32"/>
        <v>NC</v>
      </c>
      <c r="E388" s="1" t="str">
        <f t="shared" si="33"/>
        <v>NC</v>
      </c>
      <c r="F388" s="1" t="str">
        <f t="shared" si="34"/>
        <v>Complete</v>
      </c>
      <c r="G388" s="1" t="str">
        <f>IF(COUNTIF($A$2:A388,A388)&gt;1,"Duplicate","Unique")</f>
        <v>Duplicate</v>
      </c>
    </row>
    <row r="389" spans="1:7" x14ac:dyDescent="0.25">
      <c r="A389" s="1" t="str">
        <v>TX</v>
      </c>
      <c r="B389" s="1" t="str">
        <f t="shared" si="30"/>
        <v>TX</v>
      </c>
      <c r="C389" s="1" t="str">
        <f t="shared" si="31"/>
        <v>TX</v>
      </c>
      <c r="D389" s="1" t="str">
        <f t="shared" si="32"/>
        <v>TX</v>
      </c>
      <c r="E389" s="1" t="str">
        <f t="shared" si="33"/>
        <v>TX</v>
      </c>
      <c r="F389" s="1" t="str">
        <f t="shared" si="34"/>
        <v>Complete</v>
      </c>
      <c r="G389" s="1" t="str">
        <f>IF(COUNTIF($A$2:A389,A389)&gt;1,"Duplicate","Unique")</f>
        <v>Duplicate</v>
      </c>
    </row>
    <row r="390" spans="1:7" x14ac:dyDescent="0.25">
      <c r="A390" s="1" t="str">
        <v>WI</v>
      </c>
      <c r="B390" s="1" t="str">
        <f t="shared" si="30"/>
        <v>WI</v>
      </c>
      <c r="C390" s="1" t="str">
        <f t="shared" si="31"/>
        <v>WI</v>
      </c>
      <c r="D390" s="1" t="str">
        <f t="shared" si="32"/>
        <v>WI</v>
      </c>
      <c r="E390" s="1" t="str">
        <f t="shared" si="33"/>
        <v>WI</v>
      </c>
      <c r="F390" s="1" t="str">
        <f t="shared" si="34"/>
        <v>Complete</v>
      </c>
      <c r="G390" s="1" t="str">
        <f>IF(COUNTIF($A$2:A390,A390)&gt;1,"Duplicate","Unique")</f>
        <v>Duplicate</v>
      </c>
    </row>
    <row r="391" spans="1:7" x14ac:dyDescent="0.25">
      <c r="A391" s="1" t="str">
        <v>SC</v>
      </c>
      <c r="B391" s="1" t="str">
        <f t="shared" si="30"/>
        <v>SC</v>
      </c>
      <c r="C391" s="1" t="str">
        <f t="shared" si="31"/>
        <v>SC</v>
      </c>
      <c r="D391" s="1" t="str">
        <f t="shared" si="32"/>
        <v>SC</v>
      </c>
      <c r="E391" s="1" t="str">
        <f t="shared" si="33"/>
        <v>SC</v>
      </c>
      <c r="F391" s="1" t="str">
        <f t="shared" si="34"/>
        <v>Complete</v>
      </c>
      <c r="G391" s="1" t="str">
        <f>IF(COUNTIF($A$2:A391,A391)&gt;1,"Duplicate","Unique")</f>
        <v>Duplicate</v>
      </c>
    </row>
    <row r="392" spans="1:7" x14ac:dyDescent="0.25">
      <c r="A392" s="1" t="str">
        <v>SD</v>
      </c>
      <c r="B392" s="1" t="str">
        <f t="shared" si="30"/>
        <v>SD</v>
      </c>
      <c r="C392" s="1" t="str">
        <f t="shared" si="31"/>
        <v>SD</v>
      </c>
      <c r="D392" s="1" t="str">
        <f t="shared" si="32"/>
        <v>SD</v>
      </c>
      <c r="E392" s="1" t="str">
        <f t="shared" si="33"/>
        <v>SD</v>
      </c>
      <c r="F392" s="1" t="str">
        <f t="shared" si="34"/>
        <v>Complete</v>
      </c>
      <c r="G392" s="1" t="str">
        <f>IF(COUNTIF($A$2:A392,A392)&gt;1,"Duplicate","Unique")</f>
        <v>Duplicate</v>
      </c>
    </row>
    <row r="393" spans="1:7" x14ac:dyDescent="0.25">
      <c r="A393" s="1" t="str">
        <v>OH</v>
      </c>
      <c r="B393" s="1" t="str">
        <f t="shared" si="30"/>
        <v>OH</v>
      </c>
      <c r="C393" s="1" t="str">
        <f t="shared" si="31"/>
        <v>OH</v>
      </c>
      <c r="D393" s="1" t="str">
        <f t="shared" si="32"/>
        <v>OH</v>
      </c>
      <c r="E393" s="1" t="str">
        <f t="shared" si="33"/>
        <v>OH</v>
      </c>
      <c r="F393" s="1" t="str">
        <f t="shared" si="34"/>
        <v>Complete</v>
      </c>
      <c r="G393" s="1" t="str">
        <f>IF(COUNTIF($A$2:A393,A393)&gt;1,"Duplicate","Unique")</f>
        <v>Duplicate</v>
      </c>
    </row>
    <row r="394" spans="1:7" x14ac:dyDescent="0.25">
      <c r="A394" s="1" t="str">
        <v>HI</v>
      </c>
      <c r="B394" s="1" t="str">
        <f t="shared" si="30"/>
        <v>HI</v>
      </c>
      <c r="C394" s="1" t="str">
        <f t="shared" si="31"/>
        <v>HI</v>
      </c>
      <c r="D394" s="1" t="str">
        <f t="shared" si="32"/>
        <v>HI</v>
      </c>
      <c r="E394" s="1" t="str">
        <f t="shared" si="33"/>
        <v>HI</v>
      </c>
      <c r="F394" s="1" t="str">
        <f t="shared" si="34"/>
        <v>Complete</v>
      </c>
      <c r="G394" s="1" t="str">
        <f>IF(COUNTIF($A$2:A394,A394)&gt;1,"Duplicate","Unique")</f>
        <v>Duplicate</v>
      </c>
    </row>
    <row r="395" spans="1:7" x14ac:dyDescent="0.25">
      <c r="A395" s="1" t="str">
        <v>KY</v>
      </c>
      <c r="B395" s="1" t="str">
        <f t="shared" si="30"/>
        <v>KY</v>
      </c>
      <c r="C395" s="1" t="str">
        <f t="shared" si="31"/>
        <v>KY</v>
      </c>
      <c r="D395" s="1" t="str">
        <f t="shared" si="32"/>
        <v>KY</v>
      </c>
      <c r="E395" s="1" t="str">
        <f t="shared" si="33"/>
        <v>KY</v>
      </c>
      <c r="F395" s="1" t="str">
        <f t="shared" si="34"/>
        <v>Complete</v>
      </c>
      <c r="G395" s="1" t="str">
        <f>IF(COUNTIF($A$2:A395,A395)&gt;1,"Duplicate","Unique")</f>
        <v>Duplicate</v>
      </c>
    </row>
    <row r="396" spans="1:7" x14ac:dyDescent="0.25">
      <c r="A396" s="1" t="str">
        <v>OH</v>
      </c>
      <c r="B396" s="1" t="str">
        <f t="shared" si="30"/>
        <v>OH</v>
      </c>
      <c r="C396" s="1" t="str">
        <f t="shared" si="31"/>
        <v>OH</v>
      </c>
      <c r="D396" s="1" t="str">
        <f t="shared" si="32"/>
        <v>OH</v>
      </c>
      <c r="E396" s="1" t="str">
        <f t="shared" si="33"/>
        <v>OH</v>
      </c>
      <c r="F396" s="1" t="str">
        <f t="shared" si="34"/>
        <v>Complete</v>
      </c>
      <c r="G396" s="1" t="str">
        <f>IF(COUNTIF($A$2:A396,A396)&gt;1,"Duplicate","Unique")</f>
        <v>Duplicate</v>
      </c>
    </row>
    <row r="397" spans="1:7" x14ac:dyDescent="0.25">
      <c r="A397" s="1" t="str">
        <v>AL</v>
      </c>
      <c r="B397" s="1" t="str">
        <f t="shared" si="30"/>
        <v>AL</v>
      </c>
      <c r="C397" s="1" t="str">
        <f t="shared" si="31"/>
        <v>AL</v>
      </c>
      <c r="D397" s="1" t="str">
        <f t="shared" si="32"/>
        <v>AL</v>
      </c>
      <c r="E397" s="1" t="str">
        <f t="shared" si="33"/>
        <v>AL</v>
      </c>
      <c r="F397" s="1" t="str">
        <f t="shared" si="34"/>
        <v>Complete</v>
      </c>
      <c r="G397" s="1" t="str">
        <f>IF(COUNTIF($A$2:A397,A397)&gt;1,"Duplicate","Unique")</f>
        <v>Duplicate</v>
      </c>
    </row>
    <row r="398" spans="1:7" x14ac:dyDescent="0.25">
      <c r="A398" s="1" t="str">
        <v>VT</v>
      </c>
      <c r="B398" s="1" t="str">
        <f t="shared" si="30"/>
        <v>VT</v>
      </c>
      <c r="C398" s="1" t="str">
        <f t="shared" si="31"/>
        <v>VT</v>
      </c>
      <c r="D398" s="1" t="str">
        <f t="shared" si="32"/>
        <v>VT</v>
      </c>
      <c r="E398" s="1" t="str">
        <f t="shared" si="33"/>
        <v>VT</v>
      </c>
      <c r="F398" s="1" t="str">
        <f t="shared" si="34"/>
        <v>Complete</v>
      </c>
      <c r="G398" s="1" t="str">
        <f>IF(COUNTIF($A$2:A398,A398)&gt;1,"Duplicate","Unique")</f>
        <v>Duplicate</v>
      </c>
    </row>
    <row r="399" spans="1:7" x14ac:dyDescent="0.25">
      <c r="A399" s="1" t="str">
        <v>ND</v>
      </c>
      <c r="B399" s="1" t="str">
        <f t="shared" si="30"/>
        <v>ND</v>
      </c>
      <c r="C399" s="1" t="str">
        <f t="shared" si="31"/>
        <v>ND</v>
      </c>
      <c r="D399" s="1" t="str">
        <f t="shared" si="32"/>
        <v>ND</v>
      </c>
      <c r="E399" s="1" t="str">
        <f t="shared" si="33"/>
        <v>ND</v>
      </c>
      <c r="F399" s="1" t="str">
        <f t="shared" si="34"/>
        <v>Complete</v>
      </c>
      <c r="G399" s="1" t="str">
        <f>IF(COUNTIF($A$2:A399,A399)&gt;1,"Duplicate","Unique")</f>
        <v>Duplicate</v>
      </c>
    </row>
    <row r="400" spans="1:7" x14ac:dyDescent="0.25">
      <c r="A400" s="1" t="str">
        <v>WA</v>
      </c>
      <c r="B400" s="1" t="str">
        <f t="shared" si="30"/>
        <v>WA</v>
      </c>
      <c r="C400" s="1" t="str">
        <f t="shared" si="31"/>
        <v>WA</v>
      </c>
      <c r="D400" s="1" t="str">
        <f t="shared" si="32"/>
        <v>WA</v>
      </c>
      <c r="E400" s="1" t="str">
        <f t="shared" si="33"/>
        <v>WA</v>
      </c>
      <c r="F400" s="1" t="str">
        <f t="shared" si="34"/>
        <v>Complete</v>
      </c>
      <c r="G400" s="1" t="str">
        <f>IF(COUNTIF($A$2:A400,A400)&gt;1,"Duplicate","Unique")</f>
        <v>Duplicate</v>
      </c>
    </row>
    <row r="401" spans="1:7" x14ac:dyDescent="0.25">
      <c r="A401" s="1" t="str">
        <v>CT</v>
      </c>
      <c r="B401" s="1" t="str">
        <f t="shared" si="30"/>
        <v>CT</v>
      </c>
      <c r="C401" s="1" t="str">
        <f t="shared" si="31"/>
        <v>CT</v>
      </c>
      <c r="D401" s="1" t="str">
        <f t="shared" si="32"/>
        <v>CT</v>
      </c>
      <c r="E401" s="1" t="str">
        <f t="shared" si="33"/>
        <v>CT</v>
      </c>
      <c r="F401" s="1" t="str">
        <f t="shared" si="34"/>
        <v>Complete</v>
      </c>
      <c r="G401" s="1" t="str">
        <f>IF(COUNTIF($A$2:A401,A401)&gt;1,"Duplicate","Unique")</f>
        <v>Duplicate</v>
      </c>
    </row>
    <row r="402" spans="1:7" x14ac:dyDescent="0.25">
      <c r="A402" s="1" t="str">
        <v>DE</v>
      </c>
      <c r="B402" s="1" t="str">
        <f t="shared" si="30"/>
        <v>DE</v>
      </c>
      <c r="C402" s="1" t="str">
        <f t="shared" si="31"/>
        <v>DE</v>
      </c>
      <c r="D402" s="1" t="str">
        <f t="shared" si="32"/>
        <v>DE</v>
      </c>
      <c r="E402" s="1" t="str">
        <f t="shared" si="33"/>
        <v>DE</v>
      </c>
      <c r="F402" s="1" t="str">
        <f t="shared" si="34"/>
        <v>Complete</v>
      </c>
      <c r="G402" s="1" t="str">
        <f>IF(COUNTIF($A$2:A402,A402)&gt;1,"Duplicate","Unique")</f>
        <v>Duplicate</v>
      </c>
    </row>
    <row r="403" spans="1:7" x14ac:dyDescent="0.25">
      <c r="A403" s="1" t="str">
        <v>HI</v>
      </c>
      <c r="B403" s="1" t="str">
        <f t="shared" si="30"/>
        <v>HI</v>
      </c>
      <c r="C403" s="1" t="str">
        <f t="shared" si="31"/>
        <v>HI</v>
      </c>
      <c r="D403" s="1" t="str">
        <f t="shared" si="32"/>
        <v>HI</v>
      </c>
      <c r="E403" s="1" t="str">
        <f t="shared" si="33"/>
        <v>HI</v>
      </c>
      <c r="F403" s="1" t="str">
        <f t="shared" si="34"/>
        <v>Complete</v>
      </c>
      <c r="G403" s="1" t="str">
        <f>IF(COUNTIF($A$2:A403,A403)&gt;1,"Duplicate","Unique")</f>
        <v>Duplicate</v>
      </c>
    </row>
    <row r="404" spans="1:7" x14ac:dyDescent="0.25">
      <c r="A404" s="1" t="str">
        <v>MI</v>
      </c>
      <c r="B404" s="1" t="str">
        <f t="shared" si="30"/>
        <v>MI</v>
      </c>
      <c r="C404" s="1" t="str">
        <f t="shared" si="31"/>
        <v>MI</v>
      </c>
      <c r="D404" s="1" t="str">
        <f t="shared" si="32"/>
        <v>MI</v>
      </c>
      <c r="E404" s="1" t="str">
        <f t="shared" si="33"/>
        <v>MI</v>
      </c>
      <c r="F404" s="1" t="str">
        <f t="shared" si="34"/>
        <v>Complete</v>
      </c>
      <c r="G404" s="1" t="str">
        <f>IF(COUNTIF($A$2:A404,A404)&gt;1,"Duplicate","Unique")</f>
        <v>Duplicate</v>
      </c>
    </row>
    <row r="405" spans="1:7" x14ac:dyDescent="0.25">
      <c r="A405" s="1" t="str">
        <v>ND</v>
      </c>
      <c r="B405" s="1" t="str">
        <f t="shared" si="30"/>
        <v>ND</v>
      </c>
      <c r="C405" s="1" t="str">
        <f t="shared" si="31"/>
        <v>ND</v>
      </c>
      <c r="D405" s="1" t="str">
        <f t="shared" si="32"/>
        <v>ND</v>
      </c>
      <c r="E405" s="1" t="str">
        <f t="shared" si="33"/>
        <v>ND</v>
      </c>
      <c r="F405" s="1" t="str">
        <f t="shared" si="34"/>
        <v>Complete</v>
      </c>
      <c r="G405" s="1" t="str">
        <f>IF(COUNTIF($A$2:A405,A405)&gt;1,"Duplicate","Unique")</f>
        <v>Duplicate</v>
      </c>
    </row>
    <row r="406" spans="1:7" x14ac:dyDescent="0.25">
      <c r="A406" s="1" t="str">
        <v>NE</v>
      </c>
      <c r="B406" s="1" t="str">
        <f t="shared" si="30"/>
        <v>NE</v>
      </c>
      <c r="C406" s="1" t="str">
        <f t="shared" si="31"/>
        <v>NE</v>
      </c>
      <c r="D406" s="1" t="str">
        <f t="shared" si="32"/>
        <v>NE</v>
      </c>
      <c r="E406" s="1" t="str">
        <f t="shared" si="33"/>
        <v>NE</v>
      </c>
      <c r="F406" s="1" t="str">
        <f t="shared" si="34"/>
        <v>Complete</v>
      </c>
      <c r="G406" s="1" t="str">
        <f>IF(COUNTIF($A$2:A406,A406)&gt;1,"Duplicate","Unique")</f>
        <v>Duplicate</v>
      </c>
    </row>
    <row r="407" spans="1:7" x14ac:dyDescent="0.25">
      <c r="A407" s="1" t="str">
        <v>NE</v>
      </c>
      <c r="B407" s="1" t="str">
        <f t="shared" si="30"/>
        <v>NE</v>
      </c>
      <c r="C407" s="1" t="str">
        <f t="shared" si="31"/>
        <v>NE</v>
      </c>
      <c r="D407" s="1" t="str">
        <f t="shared" si="32"/>
        <v>NE</v>
      </c>
      <c r="E407" s="1" t="str">
        <f t="shared" si="33"/>
        <v>NE</v>
      </c>
      <c r="F407" s="1" t="str">
        <f t="shared" si="34"/>
        <v>Complete</v>
      </c>
      <c r="G407" s="1" t="str">
        <f>IF(COUNTIF($A$2:A407,A407)&gt;1,"Duplicate","Unique")</f>
        <v>Duplicate</v>
      </c>
    </row>
    <row r="408" spans="1:7" x14ac:dyDescent="0.25">
      <c r="A408" s="1" t="str">
        <v>KY</v>
      </c>
      <c r="B408" s="1" t="str">
        <f t="shared" si="30"/>
        <v>KY</v>
      </c>
      <c r="C408" s="1" t="str">
        <f t="shared" si="31"/>
        <v>KY</v>
      </c>
      <c r="D408" s="1" t="str">
        <f t="shared" si="32"/>
        <v>KY</v>
      </c>
      <c r="E408" s="1" t="str">
        <f t="shared" si="33"/>
        <v>KY</v>
      </c>
      <c r="F408" s="1" t="str">
        <f t="shared" si="34"/>
        <v>Complete</v>
      </c>
      <c r="G408" s="1" t="str">
        <f>IF(COUNTIF($A$2:A408,A408)&gt;1,"Duplicate","Unique")</f>
        <v>Duplicate</v>
      </c>
    </row>
    <row r="409" spans="1:7" x14ac:dyDescent="0.25">
      <c r="A409" s="1" t="str">
        <v>KS</v>
      </c>
      <c r="B409" s="1" t="str">
        <f t="shared" si="30"/>
        <v>KS</v>
      </c>
      <c r="C409" s="1" t="str">
        <f t="shared" si="31"/>
        <v>KS</v>
      </c>
      <c r="D409" s="1" t="str">
        <f t="shared" si="32"/>
        <v>KS</v>
      </c>
      <c r="E409" s="1" t="str">
        <f t="shared" si="33"/>
        <v>KS</v>
      </c>
      <c r="F409" s="1" t="str">
        <f t="shared" si="34"/>
        <v>Complete</v>
      </c>
      <c r="G409" s="1" t="str">
        <f>IF(COUNTIF($A$2:A409,A409)&gt;1,"Duplicate","Unique")</f>
        <v>Duplicate</v>
      </c>
    </row>
    <row r="410" spans="1:7" x14ac:dyDescent="0.25">
      <c r="A410" s="1" t="str">
        <v>ND</v>
      </c>
      <c r="B410" s="1" t="str">
        <f t="shared" si="30"/>
        <v>ND</v>
      </c>
      <c r="C410" s="1" t="str">
        <f t="shared" si="31"/>
        <v>ND</v>
      </c>
      <c r="D410" s="1" t="str">
        <f t="shared" si="32"/>
        <v>ND</v>
      </c>
      <c r="E410" s="1" t="str">
        <f t="shared" si="33"/>
        <v>ND</v>
      </c>
      <c r="F410" s="1" t="str">
        <f t="shared" si="34"/>
        <v>Complete</v>
      </c>
      <c r="G410" s="1" t="str">
        <f>IF(COUNTIF($A$2:A410,A410)&gt;1,"Duplicate","Unique")</f>
        <v>Duplicate</v>
      </c>
    </row>
    <row r="411" spans="1:7" x14ac:dyDescent="0.25">
      <c r="A411" s="1" t="str">
        <v>KY</v>
      </c>
      <c r="B411" s="1" t="str">
        <f t="shared" si="30"/>
        <v>KY</v>
      </c>
      <c r="C411" s="1" t="str">
        <f t="shared" si="31"/>
        <v>KY</v>
      </c>
      <c r="D411" s="1" t="str">
        <f t="shared" si="32"/>
        <v>KY</v>
      </c>
      <c r="E411" s="1" t="str">
        <f t="shared" si="33"/>
        <v>KY</v>
      </c>
      <c r="F411" s="1" t="str">
        <f t="shared" si="34"/>
        <v>Complete</v>
      </c>
      <c r="G411" s="1" t="str">
        <f>IF(COUNTIF($A$2:A411,A411)&gt;1,"Duplicate","Unique")</f>
        <v>Duplicate</v>
      </c>
    </row>
    <row r="412" spans="1:7" x14ac:dyDescent="0.25">
      <c r="A412" s="1" t="str">
        <v>ME</v>
      </c>
      <c r="B412" s="1" t="str">
        <f t="shared" si="30"/>
        <v>ME</v>
      </c>
      <c r="C412" s="1" t="str">
        <f t="shared" si="31"/>
        <v>ME</v>
      </c>
      <c r="D412" s="1" t="str">
        <f t="shared" si="32"/>
        <v>ME</v>
      </c>
      <c r="E412" s="1" t="str">
        <f t="shared" si="33"/>
        <v>ME</v>
      </c>
      <c r="F412" s="1" t="str">
        <f t="shared" si="34"/>
        <v>Complete</v>
      </c>
      <c r="G412" s="1" t="str">
        <f>IF(COUNTIF($A$2:A412,A412)&gt;1,"Duplicate","Unique")</f>
        <v>Duplicate</v>
      </c>
    </row>
    <row r="413" spans="1:7" x14ac:dyDescent="0.25">
      <c r="A413" s="1" t="str">
        <v>MT</v>
      </c>
      <c r="B413" s="1" t="str">
        <f t="shared" si="30"/>
        <v>MT</v>
      </c>
      <c r="C413" s="1" t="str">
        <f t="shared" si="31"/>
        <v>MT</v>
      </c>
      <c r="D413" s="1" t="str">
        <f t="shared" si="32"/>
        <v>MT</v>
      </c>
      <c r="E413" s="1" t="str">
        <f t="shared" si="33"/>
        <v>MT</v>
      </c>
      <c r="F413" s="1" t="str">
        <f t="shared" si="34"/>
        <v>Complete</v>
      </c>
      <c r="G413" s="1" t="str">
        <f>IF(COUNTIF($A$2:A413,A413)&gt;1,"Duplicate","Unique")</f>
        <v>Duplicate</v>
      </c>
    </row>
    <row r="414" spans="1:7" x14ac:dyDescent="0.25">
      <c r="A414" s="1" t="str">
        <v>IL</v>
      </c>
      <c r="B414" s="1" t="str">
        <f t="shared" si="30"/>
        <v>IL</v>
      </c>
      <c r="C414" s="1" t="str">
        <f t="shared" si="31"/>
        <v>IL</v>
      </c>
      <c r="D414" s="1" t="str">
        <f t="shared" si="32"/>
        <v>IL</v>
      </c>
      <c r="E414" s="1" t="str">
        <f t="shared" si="33"/>
        <v>IL</v>
      </c>
      <c r="F414" s="1" t="str">
        <f t="shared" si="34"/>
        <v>Complete</v>
      </c>
      <c r="G414" s="1" t="str">
        <f>IF(COUNTIF($A$2:A414,A414)&gt;1,"Duplicate","Unique")</f>
        <v>Duplicate</v>
      </c>
    </row>
    <row r="415" spans="1:7" x14ac:dyDescent="0.25">
      <c r="A415" s="1" t="str">
        <v>ME</v>
      </c>
      <c r="B415" s="1" t="str">
        <f t="shared" si="30"/>
        <v>ME</v>
      </c>
      <c r="C415" s="1" t="str">
        <f t="shared" si="31"/>
        <v>ME</v>
      </c>
      <c r="D415" s="1" t="str">
        <f t="shared" si="32"/>
        <v>ME</v>
      </c>
      <c r="E415" s="1" t="str">
        <f t="shared" si="33"/>
        <v>ME</v>
      </c>
      <c r="F415" s="1" t="str">
        <f t="shared" si="34"/>
        <v>Complete</v>
      </c>
      <c r="G415" s="1" t="str">
        <f>IF(COUNTIF($A$2:A415,A415)&gt;1,"Duplicate","Unique")</f>
        <v>Duplicate</v>
      </c>
    </row>
    <row r="416" spans="1:7" x14ac:dyDescent="0.25">
      <c r="A416" s="1" t="str">
        <v>SC</v>
      </c>
      <c r="B416" s="1" t="str">
        <f t="shared" si="30"/>
        <v>SC</v>
      </c>
      <c r="C416" s="1" t="str">
        <f t="shared" si="31"/>
        <v>SC</v>
      </c>
      <c r="D416" s="1" t="str">
        <f t="shared" si="32"/>
        <v>SC</v>
      </c>
      <c r="E416" s="1" t="str">
        <f t="shared" si="33"/>
        <v>SC</v>
      </c>
      <c r="F416" s="1" t="str">
        <f t="shared" si="34"/>
        <v>Complete</v>
      </c>
      <c r="G416" s="1" t="str">
        <f>IF(COUNTIF($A$2:A416,A416)&gt;1,"Duplicate","Unique")</f>
        <v>Duplicate</v>
      </c>
    </row>
    <row r="417" spans="1:7" x14ac:dyDescent="0.25">
      <c r="A417" s="1" t="str">
        <v>IL</v>
      </c>
      <c r="B417" s="1" t="str">
        <f t="shared" si="30"/>
        <v>IL</v>
      </c>
      <c r="C417" s="1" t="str">
        <f t="shared" si="31"/>
        <v>IL</v>
      </c>
      <c r="D417" s="1" t="str">
        <f t="shared" si="32"/>
        <v>IL</v>
      </c>
      <c r="E417" s="1" t="str">
        <f t="shared" si="33"/>
        <v>IL</v>
      </c>
      <c r="F417" s="1" t="str">
        <f t="shared" si="34"/>
        <v>Complete</v>
      </c>
      <c r="G417" s="1" t="str">
        <f>IF(COUNTIF($A$2:A417,A417)&gt;1,"Duplicate","Unique")</f>
        <v>Duplicate</v>
      </c>
    </row>
    <row r="418" spans="1:7" x14ac:dyDescent="0.25">
      <c r="A418" s="1" t="str">
        <v>WA</v>
      </c>
      <c r="B418" s="1" t="str">
        <f t="shared" si="30"/>
        <v>WA</v>
      </c>
      <c r="C418" s="1" t="str">
        <f t="shared" si="31"/>
        <v>WA</v>
      </c>
      <c r="D418" s="1" t="str">
        <f t="shared" si="32"/>
        <v>WA</v>
      </c>
      <c r="E418" s="1" t="str">
        <f t="shared" si="33"/>
        <v>WA</v>
      </c>
      <c r="F418" s="1" t="str">
        <f t="shared" si="34"/>
        <v>Complete</v>
      </c>
      <c r="G418" s="1" t="str">
        <f>IF(COUNTIF($A$2:A418,A418)&gt;1,"Duplicate","Unique")</f>
        <v>Duplicate</v>
      </c>
    </row>
    <row r="419" spans="1:7" x14ac:dyDescent="0.25">
      <c r="A419" s="1" t="str">
        <v>NE</v>
      </c>
      <c r="B419" s="1" t="str">
        <f t="shared" si="30"/>
        <v>NE</v>
      </c>
      <c r="C419" s="1" t="str">
        <f t="shared" si="31"/>
        <v>NE</v>
      </c>
      <c r="D419" s="1" t="str">
        <f t="shared" si="32"/>
        <v>NE</v>
      </c>
      <c r="E419" s="1" t="str">
        <f t="shared" si="33"/>
        <v>NE</v>
      </c>
      <c r="F419" s="1" t="str">
        <f t="shared" si="34"/>
        <v>Complete</v>
      </c>
      <c r="G419" s="1" t="str">
        <f>IF(COUNTIF($A$2:A419,A419)&gt;1,"Duplicate","Unique")</f>
        <v>Duplicate</v>
      </c>
    </row>
    <row r="420" spans="1:7" x14ac:dyDescent="0.25">
      <c r="A420" s="1" t="str">
        <v>IL</v>
      </c>
      <c r="B420" s="1" t="str">
        <f t="shared" si="30"/>
        <v>IL</v>
      </c>
      <c r="C420" s="1" t="str">
        <f t="shared" si="31"/>
        <v>IL</v>
      </c>
      <c r="D420" s="1" t="str">
        <f t="shared" si="32"/>
        <v>IL</v>
      </c>
      <c r="E420" s="1" t="str">
        <f t="shared" si="33"/>
        <v>IL</v>
      </c>
      <c r="F420" s="1" t="str">
        <f t="shared" si="34"/>
        <v>Complete</v>
      </c>
      <c r="G420" s="1" t="str">
        <f>IF(COUNTIF($A$2:A420,A420)&gt;1,"Duplicate","Unique")</f>
        <v>Duplicate</v>
      </c>
    </row>
    <row r="421" spans="1:7" x14ac:dyDescent="0.25">
      <c r="A421" s="1" t="str">
        <v>VT</v>
      </c>
      <c r="B421" s="1" t="str">
        <f t="shared" si="30"/>
        <v>VT</v>
      </c>
      <c r="C421" s="1" t="str">
        <f t="shared" si="31"/>
        <v>VT</v>
      </c>
      <c r="D421" s="1" t="str">
        <f t="shared" si="32"/>
        <v>VT</v>
      </c>
      <c r="E421" s="1" t="str">
        <f t="shared" si="33"/>
        <v>VT</v>
      </c>
      <c r="F421" s="1" t="str">
        <f t="shared" si="34"/>
        <v>Complete</v>
      </c>
      <c r="G421" s="1" t="str">
        <f>IF(COUNTIF($A$2:A421,A421)&gt;1,"Duplicate","Unique")</f>
        <v>Duplicate</v>
      </c>
    </row>
    <row r="422" spans="1:7" x14ac:dyDescent="0.25">
      <c r="A422" s="1" t="str">
        <v>KS</v>
      </c>
      <c r="B422" s="1" t="str">
        <f t="shared" si="30"/>
        <v>KS</v>
      </c>
      <c r="C422" s="1" t="str">
        <f t="shared" si="31"/>
        <v>KS</v>
      </c>
      <c r="D422" s="1" t="str">
        <f t="shared" si="32"/>
        <v>KS</v>
      </c>
      <c r="E422" s="1" t="str">
        <f t="shared" si="33"/>
        <v>KS</v>
      </c>
      <c r="F422" s="1" t="str">
        <f t="shared" si="34"/>
        <v>Complete</v>
      </c>
      <c r="G422" s="1" t="str">
        <f>IF(COUNTIF($A$2:A422,A422)&gt;1,"Duplicate","Unique")</f>
        <v>Duplicate</v>
      </c>
    </row>
    <row r="423" spans="1:7" x14ac:dyDescent="0.25">
      <c r="A423" s="1" t="str">
        <v>ND</v>
      </c>
      <c r="B423" s="1" t="str">
        <f t="shared" si="30"/>
        <v>ND</v>
      </c>
      <c r="C423" s="1" t="str">
        <f t="shared" si="31"/>
        <v>ND</v>
      </c>
      <c r="D423" s="1" t="str">
        <f t="shared" si="32"/>
        <v>ND</v>
      </c>
      <c r="E423" s="1" t="str">
        <f t="shared" si="33"/>
        <v>ND</v>
      </c>
      <c r="F423" s="1" t="str">
        <f t="shared" si="34"/>
        <v>Complete</v>
      </c>
      <c r="G423" s="1" t="str">
        <f>IF(COUNTIF($A$2:A423,A423)&gt;1,"Duplicate","Unique")</f>
        <v>Duplicate</v>
      </c>
    </row>
    <row r="424" spans="1:7" x14ac:dyDescent="0.25">
      <c r="A424" s="1" t="str">
        <v>CO</v>
      </c>
      <c r="B424" s="1" t="str">
        <f t="shared" si="30"/>
        <v>CO</v>
      </c>
      <c r="C424" s="1" t="str">
        <f t="shared" si="31"/>
        <v>CO</v>
      </c>
      <c r="D424" s="1" t="str">
        <f t="shared" si="32"/>
        <v>CO</v>
      </c>
      <c r="E424" s="1" t="str">
        <f t="shared" si="33"/>
        <v>CO</v>
      </c>
      <c r="F424" s="1" t="str">
        <f t="shared" si="34"/>
        <v>Complete</v>
      </c>
      <c r="G424" s="1" t="str">
        <f>IF(COUNTIF($A$2:A424,A424)&gt;1,"Duplicate","Unique")</f>
        <v>Duplicate</v>
      </c>
    </row>
    <row r="425" spans="1:7" x14ac:dyDescent="0.25">
      <c r="A425" s="1" t="str">
        <v>TX</v>
      </c>
      <c r="B425" s="1" t="str">
        <f t="shared" si="30"/>
        <v>TX</v>
      </c>
      <c r="C425" s="1" t="str">
        <f t="shared" si="31"/>
        <v>TX</v>
      </c>
      <c r="D425" s="1" t="str">
        <f t="shared" si="32"/>
        <v>TX</v>
      </c>
      <c r="E425" s="1" t="str">
        <f t="shared" si="33"/>
        <v>TX</v>
      </c>
      <c r="F425" s="1" t="str">
        <f t="shared" si="34"/>
        <v>Complete</v>
      </c>
      <c r="G425" s="1" t="str">
        <f>IF(COUNTIF($A$2:A425,A425)&gt;1,"Duplicate","Unique")</f>
        <v>Duplicate</v>
      </c>
    </row>
    <row r="426" spans="1:7" x14ac:dyDescent="0.25">
      <c r="A426" s="1" t="str">
        <v>CA</v>
      </c>
      <c r="B426" s="1" t="str">
        <f t="shared" si="30"/>
        <v>CA</v>
      </c>
      <c r="C426" s="1" t="str">
        <f t="shared" si="31"/>
        <v>CA</v>
      </c>
      <c r="D426" s="1" t="str">
        <f t="shared" si="32"/>
        <v>CA</v>
      </c>
      <c r="E426" s="1" t="str">
        <f t="shared" si="33"/>
        <v>CA</v>
      </c>
      <c r="F426" s="1" t="str">
        <f t="shared" si="34"/>
        <v>Complete</v>
      </c>
      <c r="G426" s="1" t="str">
        <f>IF(COUNTIF($A$2:A426,A426)&gt;1,"Duplicate","Unique")</f>
        <v>Duplicate</v>
      </c>
    </row>
    <row r="427" spans="1:7" x14ac:dyDescent="0.25">
      <c r="A427" s="1" t="str">
        <v>MS</v>
      </c>
      <c r="B427" s="1" t="str">
        <f t="shared" si="30"/>
        <v>MS</v>
      </c>
      <c r="C427" s="1" t="str">
        <f t="shared" si="31"/>
        <v>MS</v>
      </c>
      <c r="D427" s="1" t="str">
        <f t="shared" si="32"/>
        <v>MS</v>
      </c>
      <c r="E427" s="1" t="str">
        <f t="shared" si="33"/>
        <v>MS</v>
      </c>
      <c r="F427" s="1" t="str">
        <f t="shared" si="34"/>
        <v>Complete</v>
      </c>
      <c r="G427" s="1" t="str">
        <f>IF(COUNTIF($A$2:A427,A427)&gt;1,"Duplicate","Unique")</f>
        <v>Duplicate</v>
      </c>
    </row>
    <row r="428" spans="1:7" x14ac:dyDescent="0.25">
      <c r="A428" s="1" t="str">
        <v>RI</v>
      </c>
      <c r="B428" s="1" t="str">
        <f t="shared" si="30"/>
        <v>RI</v>
      </c>
      <c r="C428" s="1" t="str">
        <f t="shared" si="31"/>
        <v>RI</v>
      </c>
      <c r="D428" s="1" t="str">
        <f t="shared" si="32"/>
        <v>RI</v>
      </c>
      <c r="E428" s="1" t="str">
        <f t="shared" si="33"/>
        <v>RI</v>
      </c>
      <c r="F428" s="1" t="str">
        <f t="shared" si="34"/>
        <v>Complete</v>
      </c>
      <c r="G428" s="1" t="str">
        <f>IF(COUNTIF($A$2:A428,A428)&gt;1,"Duplicate","Unique")</f>
        <v>Duplicate</v>
      </c>
    </row>
    <row r="429" spans="1:7" x14ac:dyDescent="0.25">
      <c r="A429" s="1" t="str">
        <v>NM</v>
      </c>
      <c r="B429" s="1" t="str">
        <f t="shared" si="30"/>
        <v>NM</v>
      </c>
      <c r="C429" s="1" t="str">
        <f t="shared" si="31"/>
        <v>NM</v>
      </c>
      <c r="D429" s="1" t="str">
        <f t="shared" si="32"/>
        <v>NM</v>
      </c>
      <c r="E429" s="1" t="str">
        <f t="shared" si="33"/>
        <v>NM</v>
      </c>
      <c r="F429" s="1" t="str">
        <f t="shared" si="34"/>
        <v>Complete</v>
      </c>
      <c r="G429" s="1" t="str">
        <f>IF(COUNTIF($A$2:A429,A429)&gt;1,"Duplicate","Unique")</f>
        <v>Duplicate</v>
      </c>
    </row>
    <row r="430" spans="1:7" x14ac:dyDescent="0.25">
      <c r="A430" s="1" t="str">
        <v>VA</v>
      </c>
      <c r="B430" s="1" t="str">
        <f t="shared" si="30"/>
        <v>VA</v>
      </c>
      <c r="C430" s="1" t="str">
        <f t="shared" si="31"/>
        <v>VA</v>
      </c>
      <c r="D430" s="1" t="str">
        <f t="shared" si="32"/>
        <v>VA</v>
      </c>
      <c r="E430" s="1" t="str">
        <f t="shared" si="33"/>
        <v>VA</v>
      </c>
      <c r="F430" s="1" t="str">
        <f t="shared" si="34"/>
        <v>Complete</v>
      </c>
      <c r="G430" s="1" t="str">
        <f>IF(COUNTIF($A$2:A430,A430)&gt;1,"Duplicate","Unique")</f>
        <v>Duplicate</v>
      </c>
    </row>
    <row r="431" spans="1:7" x14ac:dyDescent="0.25">
      <c r="A431" s="1" t="str">
        <v>TX</v>
      </c>
      <c r="B431" s="1" t="str">
        <f t="shared" si="30"/>
        <v>TX</v>
      </c>
      <c r="C431" s="1" t="str">
        <f t="shared" si="31"/>
        <v>TX</v>
      </c>
      <c r="D431" s="1" t="str">
        <f t="shared" si="32"/>
        <v>TX</v>
      </c>
      <c r="E431" s="1" t="str">
        <f t="shared" si="33"/>
        <v>TX</v>
      </c>
      <c r="F431" s="1" t="str">
        <f t="shared" si="34"/>
        <v>Complete</v>
      </c>
      <c r="G431" s="1" t="str">
        <f>IF(COUNTIF($A$2:A431,A431)&gt;1,"Duplicate","Unique")</f>
        <v>Duplicate</v>
      </c>
    </row>
    <row r="432" spans="1:7" x14ac:dyDescent="0.25">
      <c r="A432" s="1" t="str">
        <v>NM</v>
      </c>
      <c r="B432" s="1" t="str">
        <f t="shared" si="30"/>
        <v>NM</v>
      </c>
      <c r="C432" s="1" t="str">
        <f t="shared" si="31"/>
        <v>NM</v>
      </c>
      <c r="D432" s="1" t="str">
        <f t="shared" si="32"/>
        <v>NM</v>
      </c>
      <c r="E432" s="1" t="str">
        <f t="shared" si="33"/>
        <v>NM</v>
      </c>
      <c r="F432" s="1" t="str">
        <f t="shared" si="34"/>
        <v>Complete</v>
      </c>
      <c r="G432" s="1" t="str">
        <f>IF(COUNTIF($A$2:A432,A432)&gt;1,"Duplicate","Unique")</f>
        <v>Duplicate</v>
      </c>
    </row>
    <row r="433" spans="1:7" x14ac:dyDescent="0.25">
      <c r="A433" s="1" t="str">
        <v>RI</v>
      </c>
      <c r="B433" s="1" t="str">
        <f t="shared" si="30"/>
        <v>RI</v>
      </c>
      <c r="C433" s="1" t="str">
        <f t="shared" si="31"/>
        <v>RI</v>
      </c>
      <c r="D433" s="1" t="str">
        <f t="shared" si="32"/>
        <v>RI</v>
      </c>
      <c r="E433" s="1" t="str">
        <f t="shared" si="33"/>
        <v>RI</v>
      </c>
      <c r="F433" s="1" t="str">
        <f t="shared" si="34"/>
        <v>Complete</v>
      </c>
      <c r="G433" s="1" t="str">
        <f>IF(COUNTIF($A$2:A433,A433)&gt;1,"Duplicate","Unique")</f>
        <v>Duplicate</v>
      </c>
    </row>
    <row r="434" spans="1:7" x14ac:dyDescent="0.25">
      <c r="A434" s="1" t="str">
        <v>NY</v>
      </c>
      <c r="B434" s="1" t="str">
        <f t="shared" si="30"/>
        <v>NY</v>
      </c>
      <c r="C434" s="1" t="str">
        <f t="shared" si="31"/>
        <v>NY</v>
      </c>
      <c r="D434" s="1" t="str">
        <f t="shared" si="32"/>
        <v>NY</v>
      </c>
      <c r="E434" s="1" t="str">
        <f t="shared" si="33"/>
        <v>NY</v>
      </c>
      <c r="F434" s="1" t="str">
        <f t="shared" si="34"/>
        <v>Complete</v>
      </c>
      <c r="G434" s="1" t="str">
        <f>IF(COUNTIF($A$2:A434,A434)&gt;1,"Duplicate","Unique")</f>
        <v>Duplicate</v>
      </c>
    </row>
    <row r="435" spans="1:7" x14ac:dyDescent="0.25">
      <c r="A435" s="1" t="str">
        <v>WA</v>
      </c>
      <c r="B435" s="1" t="str">
        <f t="shared" si="30"/>
        <v>WA</v>
      </c>
      <c r="C435" s="1" t="str">
        <f t="shared" si="31"/>
        <v>WA</v>
      </c>
      <c r="D435" s="1" t="str">
        <f t="shared" si="32"/>
        <v>WA</v>
      </c>
      <c r="E435" s="1" t="str">
        <f t="shared" si="33"/>
        <v>WA</v>
      </c>
      <c r="F435" s="1" t="str">
        <f t="shared" si="34"/>
        <v>Complete</v>
      </c>
      <c r="G435" s="1" t="str">
        <f>IF(COUNTIF($A$2:A435,A435)&gt;1,"Duplicate","Unique")</f>
        <v>Duplicate</v>
      </c>
    </row>
    <row r="436" spans="1:7" x14ac:dyDescent="0.25">
      <c r="A436" s="1" t="str">
        <v>NE</v>
      </c>
      <c r="B436" s="1" t="str">
        <f t="shared" si="30"/>
        <v>NE</v>
      </c>
      <c r="C436" s="1" t="str">
        <f t="shared" si="31"/>
        <v>NE</v>
      </c>
      <c r="D436" s="1" t="str">
        <f t="shared" si="32"/>
        <v>NE</v>
      </c>
      <c r="E436" s="1" t="str">
        <f t="shared" si="33"/>
        <v>NE</v>
      </c>
      <c r="F436" s="1" t="str">
        <f t="shared" si="34"/>
        <v>Complete</v>
      </c>
      <c r="G436" s="1" t="str">
        <f>IF(COUNTIF($A$2:A436,A436)&gt;1,"Duplicate","Unique")</f>
        <v>Duplicate</v>
      </c>
    </row>
    <row r="437" spans="1:7" x14ac:dyDescent="0.25">
      <c r="A437" s="1" t="str">
        <v>ID</v>
      </c>
      <c r="B437" s="1" t="str">
        <f t="shared" si="30"/>
        <v>ID</v>
      </c>
      <c r="C437" s="1" t="str">
        <f t="shared" si="31"/>
        <v>ID</v>
      </c>
      <c r="D437" s="1" t="str">
        <f t="shared" si="32"/>
        <v>ID</v>
      </c>
      <c r="E437" s="1" t="str">
        <f t="shared" si="33"/>
        <v>ID</v>
      </c>
      <c r="F437" s="1" t="str">
        <f t="shared" si="34"/>
        <v>Complete</v>
      </c>
      <c r="G437" s="1" t="str">
        <f>IF(COUNTIF($A$2:A437,A437)&gt;1,"Duplicate","Unique")</f>
        <v>Duplicate</v>
      </c>
    </row>
    <row r="438" spans="1:7" x14ac:dyDescent="0.25">
      <c r="A438" s="1" t="str">
        <v>WV</v>
      </c>
      <c r="B438" s="1" t="str">
        <f t="shared" si="30"/>
        <v>WV</v>
      </c>
      <c r="C438" s="1" t="str">
        <f t="shared" si="31"/>
        <v>WV</v>
      </c>
      <c r="D438" s="1" t="str">
        <f t="shared" si="32"/>
        <v>WV</v>
      </c>
      <c r="E438" s="1" t="str">
        <f t="shared" si="33"/>
        <v>WV</v>
      </c>
      <c r="F438" s="1" t="str">
        <f t="shared" si="34"/>
        <v>Complete</v>
      </c>
      <c r="G438" s="1" t="str">
        <f>IF(COUNTIF($A$2:A438,A438)&gt;1,"Duplicate","Unique")</f>
        <v>Duplicate</v>
      </c>
    </row>
    <row r="439" spans="1:7" x14ac:dyDescent="0.25">
      <c r="A439" s="1" t="str">
        <v>NE</v>
      </c>
      <c r="B439" s="1" t="str">
        <f t="shared" si="30"/>
        <v>NE</v>
      </c>
      <c r="C439" s="1" t="str">
        <f t="shared" si="31"/>
        <v>NE</v>
      </c>
      <c r="D439" s="1" t="str">
        <f t="shared" si="32"/>
        <v>NE</v>
      </c>
      <c r="E439" s="1" t="str">
        <f t="shared" si="33"/>
        <v>NE</v>
      </c>
      <c r="F439" s="1" t="str">
        <f t="shared" si="34"/>
        <v>Complete</v>
      </c>
      <c r="G439" s="1" t="str">
        <f>IF(COUNTIF($A$2:A439,A439)&gt;1,"Duplicate","Unique")</f>
        <v>Duplicate</v>
      </c>
    </row>
    <row r="440" spans="1:7" x14ac:dyDescent="0.25">
      <c r="A440" s="1" t="str">
        <v>RI</v>
      </c>
      <c r="B440" s="1" t="str">
        <f t="shared" si="30"/>
        <v>RI</v>
      </c>
      <c r="C440" s="1" t="str">
        <f t="shared" si="31"/>
        <v>RI</v>
      </c>
      <c r="D440" s="1" t="str">
        <f t="shared" si="32"/>
        <v>RI</v>
      </c>
      <c r="E440" s="1" t="str">
        <f t="shared" si="33"/>
        <v>RI</v>
      </c>
      <c r="F440" s="1" t="str">
        <f t="shared" si="34"/>
        <v>Complete</v>
      </c>
      <c r="G440" s="1" t="str">
        <f>IF(COUNTIF($A$2:A440,A440)&gt;1,"Duplicate","Unique")</f>
        <v>Duplicate</v>
      </c>
    </row>
    <row r="441" spans="1:7" x14ac:dyDescent="0.25">
      <c r="A441" s="1" t="str">
        <v>CT</v>
      </c>
      <c r="B441" s="1" t="str">
        <f t="shared" si="30"/>
        <v>CT</v>
      </c>
      <c r="C441" s="1" t="str">
        <f t="shared" si="31"/>
        <v>CT</v>
      </c>
      <c r="D441" s="1" t="str">
        <f t="shared" si="32"/>
        <v>CT</v>
      </c>
      <c r="E441" s="1" t="str">
        <f t="shared" si="33"/>
        <v>CT</v>
      </c>
      <c r="F441" s="1" t="str">
        <f t="shared" si="34"/>
        <v>Complete</v>
      </c>
      <c r="G441" s="1" t="str">
        <f>IF(COUNTIF($A$2:A441,A441)&gt;1,"Duplicate","Unique")</f>
        <v>Duplicate</v>
      </c>
    </row>
    <row r="442" spans="1:7" x14ac:dyDescent="0.25">
      <c r="A442" s="1" t="str">
        <v>RI</v>
      </c>
      <c r="B442" s="1" t="str">
        <f t="shared" si="30"/>
        <v>RI</v>
      </c>
      <c r="C442" s="1" t="str">
        <f t="shared" si="31"/>
        <v>RI</v>
      </c>
      <c r="D442" s="1" t="str">
        <f t="shared" si="32"/>
        <v>RI</v>
      </c>
      <c r="E442" s="1" t="str">
        <f t="shared" si="33"/>
        <v>RI</v>
      </c>
      <c r="F442" s="1" t="str">
        <f t="shared" si="34"/>
        <v>Complete</v>
      </c>
      <c r="G442" s="1" t="str">
        <f>IF(COUNTIF($A$2:A442,A442)&gt;1,"Duplicate","Unique")</f>
        <v>Duplicate</v>
      </c>
    </row>
    <row r="443" spans="1:7" x14ac:dyDescent="0.25">
      <c r="A443" s="1" t="str">
        <v>IA</v>
      </c>
      <c r="B443" s="1" t="str">
        <f t="shared" si="30"/>
        <v>IA</v>
      </c>
      <c r="C443" s="1" t="str">
        <f t="shared" si="31"/>
        <v>IA</v>
      </c>
      <c r="D443" s="1" t="str">
        <f t="shared" si="32"/>
        <v>IA</v>
      </c>
      <c r="E443" s="1" t="str">
        <f t="shared" si="33"/>
        <v>IA</v>
      </c>
      <c r="F443" s="1" t="str">
        <f t="shared" si="34"/>
        <v>Complete</v>
      </c>
      <c r="G443" s="1" t="str">
        <f>IF(COUNTIF($A$2:A443,A443)&gt;1,"Duplicate","Unique")</f>
        <v>Duplicate</v>
      </c>
    </row>
    <row r="444" spans="1:7" x14ac:dyDescent="0.25">
      <c r="A444" s="1" t="str">
        <v>MS</v>
      </c>
      <c r="B444" s="1" t="str">
        <f t="shared" si="30"/>
        <v>MS</v>
      </c>
      <c r="C444" s="1" t="str">
        <f t="shared" si="31"/>
        <v>MS</v>
      </c>
      <c r="D444" s="1" t="str">
        <f t="shared" si="32"/>
        <v>MS</v>
      </c>
      <c r="E444" s="1" t="str">
        <f t="shared" si="33"/>
        <v>MS</v>
      </c>
      <c r="F444" s="1" t="str">
        <f t="shared" si="34"/>
        <v>Complete</v>
      </c>
      <c r="G444" s="1" t="str">
        <f>IF(COUNTIF($A$2:A444,A444)&gt;1,"Duplicate","Unique")</f>
        <v>Duplicate</v>
      </c>
    </row>
    <row r="445" spans="1:7" x14ac:dyDescent="0.25">
      <c r="A445" s="1" t="str">
        <v>ME</v>
      </c>
      <c r="B445" s="1" t="str">
        <f t="shared" si="30"/>
        <v>ME</v>
      </c>
      <c r="C445" s="1" t="str">
        <f t="shared" si="31"/>
        <v>ME</v>
      </c>
      <c r="D445" s="1" t="str">
        <f t="shared" si="32"/>
        <v>ME</v>
      </c>
      <c r="E445" s="1" t="str">
        <f t="shared" si="33"/>
        <v>ME</v>
      </c>
      <c r="F445" s="1" t="str">
        <f t="shared" si="34"/>
        <v>Complete</v>
      </c>
      <c r="G445" s="1" t="str">
        <f>IF(COUNTIF($A$2:A445,A445)&gt;1,"Duplicate","Unique")</f>
        <v>Duplicate</v>
      </c>
    </row>
    <row r="446" spans="1:7" x14ac:dyDescent="0.25">
      <c r="A446" s="1" t="str">
        <v>MS</v>
      </c>
      <c r="B446" s="1" t="str">
        <f t="shared" si="30"/>
        <v>MS</v>
      </c>
      <c r="C446" s="1" t="str">
        <f t="shared" si="31"/>
        <v>MS</v>
      </c>
      <c r="D446" s="1" t="str">
        <f t="shared" si="32"/>
        <v>MS</v>
      </c>
      <c r="E446" s="1" t="str">
        <f t="shared" si="33"/>
        <v>MS</v>
      </c>
      <c r="F446" s="1" t="str">
        <f t="shared" si="34"/>
        <v>Complete</v>
      </c>
      <c r="G446" s="1" t="str">
        <f>IF(COUNTIF($A$2:A446,A446)&gt;1,"Duplicate","Unique")</f>
        <v>Duplicate</v>
      </c>
    </row>
    <row r="447" spans="1:7" x14ac:dyDescent="0.25">
      <c r="A447" s="1" t="str">
        <v>VA</v>
      </c>
      <c r="B447" s="1" t="str">
        <f t="shared" si="30"/>
        <v>VA</v>
      </c>
      <c r="C447" s="1" t="str">
        <f t="shared" si="31"/>
        <v>VA</v>
      </c>
      <c r="D447" s="1" t="str">
        <f t="shared" si="32"/>
        <v>VA</v>
      </c>
      <c r="E447" s="1" t="str">
        <f t="shared" si="33"/>
        <v>VA</v>
      </c>
      <c r="F447" s="1" t="str">
        <f t="shared" si="34"/>
        <v>Complete</v>
      </c>
      <c r="G447" s="1" t="str">
        <f>IF(COUNTIF($A$2:A447,A447)&gt;1,"Duplicate","Unique")</f>
        <v>Duplicate</v>
      </c>
    </row>
    <row r="448" spans="1:7" x14ac:dyDescent="0.25">
      <c r="A448" s="1" t="str">
        <v>PA</v>
      </c>
      <c r="B448" s="1" t="str">
        <f t="shared" si="30"/>
        <v>PA</v>
      </c>
      <c r="C448" s="1" t="str">
        <f t="shared" si="31"/>
        <v>PA</v>
      </c>
      <c r="D448" s="1" t="str">
        <f t="shared" si="32"/>
        <v>PA</v>
      </c>
      <c r="E448" s="1" t="str">
        <f t="shared" si="33"/>
        <v>PA</v>
      </c>
      <c r="F448" s="1" t="str">
        <f t="shared" si="34"/>
        <v>Complete</v>
      </c>
      <c r="G448" s="1" t="str">
        <f>IF(COUNTIF($A$2:A448,A448)&gt;1,"Duplicate","Unique")</f>
        <v>Duplicate</v>
      </c>
    </row>
    <row r="449" spans="1:7" x14ac:dyDescent="0.25">
      <c r="A449" s="1" t="str">
        <v>NE</v>
      </c>
      <c r="B449" s="1" t="str">
        <f t="shared" si="30"/>
        <v>NE</v>
      </c>
      <c r="C449" s="1" t="str">
        <f t="shared" si="31"/>
        <v>NE</v>
      </c>
      <c r="D449" s="1" t="str">
        <f t="shared" si="32"/>
        <v>NE</v>
      </c>
      <c r="E449" s="1" t="str">
        <f t="shared" si="33"/>
        <v>NE</v>
      </c>
      <c r="F449" s="1" t="str">
        <f t="shared" si="34"/>
        <v>Complete</v>
      </c>
      <c r="G449" s="1" t="str">
        <f>IF(COUNTIF($A$2:A449,A449)&gt;1,"Duplicate","Unique")</f>
        <v>Duplicate</v>
      </c>
    </row>
    <row r="450" spans="1:7" x14ac:dyDescent="0.25">
      <c r="A450" s="1" t="str">
        <v>MI</v>
      </c>
      <c r="B450" s="1" t="str">
        <f t="shared" si="30"/>
        <v>MI</v>
      </c>
      <c r="C450" s="1" t="str">
        <f t="shared" si="31"/>
        <v>MI</v>
      </c>
      <c r="D450" s="1" t="str">
        <f t="shared" si="32"/>
        <v>MI</v>
      </c>
      <c r="E450" s="1" t="str">
        <f t="shared" si="33"/>
        <v>MI</v>
      </c>
      <c r="F450" s="1" t="str">
        <f t="shared" si="34"/>
        <v>Complete</v>
      </c>
      <c r="G450" s="1" t="str">
        <f>IF(COUNTIF($A$2:A450,A450)&gt;1,"Duplicate","Unique")</f>
        <v>Duplicate</v>
      </c>
    </row>
    <row r="451" spans="1:7" x14ac:dyDescent="0.25">
      <c r="A451" s="1" t="str">
        <v>MD</v>
      </c>
      <c r="B451" s="1" t="str">
        <f t="shared" ref="B451:B514" si="35">TRIM(A451)</f>
        <v>MD</v>
      </c>
      <c r="C451" s="1" t="str">
        <f t="shared" ref="C451:C514" si="36">CLEAN(A451)</f>
        <v>MD</v>
      </c>
      <c r="D451" s="1" t="str">
        <f t="shared" ref="D451:D514" si="37">TRIM(CLEAN(A451))</f>
        <v>MD</v>
      </c>
      <c r="E451" s="1" t="str">
        <f t="shared" ref="E451:E514" si="38">SUBSTITUTE(D451," ","")</f>
        <v>MD</v>
      </c>
      <c r="F451" s="1" t="str">
        <f t="shared" ref="F451:F514" si="39">IF(ISBLANK(A451),"Missing","Complete")</f>
        <v>Complete</v>
      </c>
      <c r="G451" s="1" t="str">
        <f>IF(COUNTIF($A$2:A451,A451)&gt;1,"Duplicate","Unique")</f>
        <v>Duplicate</v>
      </c>
    </row>
    <row r="452" spans="1:7" x14ac:dyDescent="0.25">
      <c r="A452" s="1" t="str">
        <v>AR</v>
      </c>
      <c r="B452" s="1" t="str">
        <f t="shared" si="35"/>
        <v>AR</v>
      </c>
      <c r="C452" s="1" t="str">
        <f t="shared" si="36"/>
        <v>AR</v>
      </c>
      <c r="D452" s="1" t="str">
        <f t="shared" si="37"/>
        <v>AR</v>
      </c>
      <c r="E452" s="1" t="str">
        <f t="shared" si="38"/>
        <v>AR</v>
      </c>
      <c r="F452" s="1" t="str">
        <f t="shared" si="39"/>
        <v>Complete</v>
      </c>
      <c r="G452" s="1" t="str">
        <f>IF(COUNTIF($A$2:A452,A452)&gt;1,"Duplicate","Unique")</f>
        <v>Duplicate</v>
      </c>
    </row>
    <row r="453" spans="1:7" x14ac:dyDescent="0.25">
      <c r="A453" s="1" t="str">
        <v>FL</v>
      </c>
      <c r="B453" s="1" t="str">
        <f t="shared" si="35"/>
        <v>FL</v>
      </c>
      <c r="C453" s="1" t="str">
        <f t="shared" si="36"/>
        <v>FL</v>
      </c>
      <c r="D453" s="1" t="str">
        <f t="shared" si="37"/>
        <v>FL</v>
      </c>
      <c r="E453" s="1" t="str">
        <f t="shared" si="38"/>
        <v>FL</v>
      </c>
      <c r="F453" s="1" t="str">
        <f t="shared" si="39"/>
        <v>Complete</v>
      </c>
      <c r="G453" s="1" t="str">
        <f>IF(COUNTIF($A$2:A453,A453)&gt;1,"Duplicate","Unique")</f>
        <v>Duplicate</v>
      </c>
    </row>
    <row r="454" spans="1:7" x14ac:dyDescent="0.25">
      <c r="A454" s="1" t="str">
        <v>KY</v>
      </c>
      <c r="B454" s="1" t="str">
        <f t="shared" si="35"/>
        <v>KY</v>
      </c>
      <c r="C454" s="1" t="str">
        <f t="shared" si="36"/>
        <v>KY</v>
      </c>
      <c r="D454" s="1" t="str">
        <f t="shared" si="37"/>
        <v>KY</v>
      </c>
      <c r="E454" s="1" t="str">
        <f t="shared" si="38"/>
        <v>KY</v>
      </c>
      <c r="F454" s="1" t="str">
        <f t="shared" si="39"/>
        <v>Complete</v>
      </c>
      <c r="G454" s="1" t="str">
        <f>IF(COUNTIF($A$2:A454,A454)&gt;1,"Duplicate","Unique")</f>
        <v>Duplicate</v>
      </c>
    </row>
    <row r="455" spans="1:7" x14ac:dyDescent="0.25">
      <c r="A455" s="1" t="str">
        <v>IN</v>
      </c>
      <c r="B455" s="1" t="str">
        <f t="shared" si="35"/>
        <v>IN</v>
      </c>
      <c r="C455" s="1" t="str">
        <f t="shared" si="36"/>
        <v>IN</v>
      </c>
      <c r="D455" s="1" t="str">
        <f t="shared" si="37"/>
        <v>IN</v>
      </c>
      <c r="E455" s="1" t="str">
        <f t="shared" si="38"/>
        <v>IN</v>
      </c>
      <c r="F455" s="1" t="str">
        <f t="shared" si="39"/>
        <v>Complete</v>
      </c>
      <c r="G455" s="1" t="str">
        <f>IF(COUNTIF($A$2:A455,A455)&gt;1,"Duplicate","Unique")</f>
        <v>Duplicate</v>
      </c>
    </row>
    <row r="456" spans="1:7" x14ac:dyDescent="0.25">
      <c r="A456" s="1" t="str">
        <v>FL</v>
      </c>
      <c r="B456" s="1" t="str">
        <f t="shared" si="35"/>
        <v>FL</v>
      </c>
      <c r="C456" s="1" t="str">
        <f t="shared" si="36"/>
        <v>FL</v>
      </c>
      <c r="D456" s="1" t="str">
        <f t="shared" si="37"/>
        <v>FL</v>
      </c>
      <c r="E456" s="1" t="str">
        <f t="shared" si="38"/>
        <v>FL</v>
      </c>
      <c r="F456" s="1" t="str">
        <f t="shared" si="39"/>
        <v>Complete</v>
      </c>
      <c r="G456" s="1" t="str">
        <f>IF(COUNTIF($A$2:A456,A456)&gt;1,"Duplicate","Unique")</f>
        <v>Duplicate</v>
      </c>
    </row>
    <row r="457" spans="1:7" x14ac:dyDescent="0.25">
      <c r="A457" s="1" t="str">
        <v>IL</v>
      </c>
      <c r="B457" s="1" t="str">
        <f t="shared" si="35"/>
        <v>IL</v>
      </c>
      <c r="C457" s="1" t="str">
        <f t="shared" si="36"/>
        <v>IL</v>
      </c>
      <c r="D457" s="1" t="str">
        <f t="shared" si="37"/>
        <v>IL</v>
      </c>
      <c r="E457" s="1" t="str">
        <f t="shared" si="38"/>
        <v>IL</v>
      </c>
      <c r="F457" s="1" t="str">
        <f t="shared" si="39"/>
        <v>Complete</v>
      </c>
      <c r="G457" s="1" t="str">
        <f>IF(COUNTIF($A$2:A457,A457)&gt;1,"Duplicate","Unique")</f>
        <v>Duplicate</v>
      </c>
    </row>
    <row r="458" spans="1:7" x14ac:dyDescent="0.25">
      <c r="A458" s="1" t="str">
        <v>AL</v>
      </c>
      <c r="B458" s="1" t="str">
        <f t="shared" si="35"/>
        <v>AL</v>
      </c>
      <c r="C458" s="1" t="str">
        <f t="shared" si="36"/>
        <v>AL</v>
      </c>
      <c r="D458" s="1" t="str">
        <f t="shared" si="37"/>
        <v>AL</v>
      </c>
      <c r="E458" s="1" t="str">
        <f t="shared" si="38"/>
        <v>AL</v>
      </c>
      <c r="F458" s="1" t="str">
        <f t="shared" si="39"/>
        <v>Complete</v>
      </c>
      <c r="G458" s="1" t="str">
        <f>IF(COUNTIF($A$2:A458,A458)&gt;1,"Duplicate","Unique")</f>
        <v>Duplicate</v>
      </c>
    </row>
    <row r="459" spans="1:7" x14ac:dyDescent="0.25">
      <c r="A459" s="1" t="str">
        <v>MT</v>
      </c>
      <c r="B459" s="1" t="str">
        <f t="shared" si="35"/>
        <v>MT</v>
      </c>
      <c r="C459" s="1" t="str">
        <f t="shared" si="36"/>
        <v>MT</v>
      </c>
      <c r="D459" s="1" t="str">
        <f t="shared" si="37"/>
        <v>MT</v>
      </c>
      <c r="E459" s="1" t="str">
        <f t="shared" si="38"/>
        <v>MT</v>
      </c>
      <c r="F459" s="1" t="str">
        <f t="shared" si="39"/>
        <v>Complete</v>
      </c>
      <c r="G459" s="1" t="str">
        <f>IF(COUNTIF($A$2:A459,A459)&gt;1,"Duplicate","Unique")</f>
        <v>Duplicate</v>
      </c>
    </row>
    <row r="460" spans="1:7" x14ac:dyDescent="0.25">
      <c r="A460" s="1" t="str">
        <v>WI</v>
      </c>
      <c r="B460" s="1" t="str">
        <f t="shared" si="35"/>
        <v>WI</v>
      </c>
      <c r="C460" s="1" t="str">
        <f t="shared" si="36"/>
        <v>WI</v>
      </c>
      <c r="D460" s="1" t="str">
        <f t="shared" si="37"/>
        <v>WI</v>
      </c>
      <c r="E460" s="1" t="str">
        <f t="shared" si="38"/>
        <v>WI</v>
      </c>
      <c r="F460" s="1" t="str">
        <f t="shared" si="39"/>
        <v>Complete</v>
      </c>
      <c r="G460" s="1" t="str">
        <f>IF(COUNTIF($A$2:A460,A460)&gt;1,"Duplicate","Unique")</f>
        <v>Duplicate</v>
      </c>
    </row>
    <row r="461" spans="1:7" x14ac:dyDescent="0.25">
      <c r="A461" s="1" t="str">
        <v>NY</v>
      </c>
      <c r="B461" s="1" t="str">
        <f t="shared" si="35"/>
        <v>NY</v>
      </c>
      <c r="C461" s="1" t="str">
        <f t="shared" si="36"/>
        <v>NY</v>
      </c>
      <c r="D461" s="1" t="str">
        <f t="shared" si="37"/>
        <v>NY</v>
      </c>
      <c r="E461" s="1" t="str">
        <f t="shared" si="38"/>
        <v>NY</v>
      </c>
      <c r="F461" s="1" t="str">
        <f t="shared" si="39"/>
        <v>Complete</v>
      </c>
      <c r="G461" s="1" t="str">
        <f>IF(COUNTIF($A$2:A461,A461)&gt;1,"Duplicate","Unique")</f>
        <v>Duplicate</v>
      </c>
    </row>
    <row r="462" spans="1:7" x14ac:dyDescent="0.25">
      <c r="A462" s="1" t="str">
        <v>WY</v>
      </c>
      <c r="B462" s="1" t="str">
        <f t="shared" si="35"/>
        <v>WY</v>
      </c>
      <c r="C462" s="1" t="str">
        <f t="shared" si="36"/>
        <v>WY</v>
      </c>
      <c r="D462" s="1" t="str">
        <f t="shared" si="37"/>
        <v>WY</v>
      </c>
      <c r="E462" s="1" t="str">
        <f t="shared" si="38"/>
        <v>WY</v>
      </c>
      <c r="F462" s="1" t="str">
        <f t="shared" si="39"/>
        <v>Complete</v>
      </c>
      <c r="G462" s="1" t="str">
        <f>IF(COUNTIF($A$2:A462,A462)&gt;1,"Duplicate","Unique")</f>
        <v>Duplicate</v>
      </c>
    </row>
    <row r="463" spans="1:7" x14ac:dyDescent="0.25">
      <c r="A463" s="1" t="str">
        <v>NY</v>
      </c>
      <c r="B463" s="1" t="str">
        <f t="shared" si="35"/>
        <v>NY</v>
      </c>
      <c r="C463" s="1" t="str">
        <f t="shared" si="36"/>
        <v>NY</v>
      </c>
      <c r="D463" s="1" t="str">
        <f t="shared" si="37"/>
        <v>NY</v>
      </c>
      <c r="E463" s="1" t="str">
        <f t="shared" si="38"/>
        <v>NY</v>
      </c>
      <c r="F463" s="1" t="str">
        <f t="shared" si="39"/>
        <v>Complete</v>
      </c>
      <c r="G463" s="1" t="str">
        <f>IF(COUNTIF($A$2:A463,A463)&gt;1,"Duplicate","Unique")</f>
        <v>Duplicate</v>
      </c>
    </row>
    <row r="464" spans="1:7" x14ac:dyDescent="0.25">
      <c r="A464" s="1" t="str">
        <v>CO</v>
      </c>
      <c r="B464" s="1" t="str">
        <f t="shared" si="35"/>
        <v>CO</v>
      </c>
      <c r="C464" s="1" t="str">
        <f t="shared" si="36"/>
        <v>CO</v>
      </c>
      <c r="D464" s="1" t="str">
        <f t="shared" si="37"/>
        <v>CO</v>
      </c>
      <c r="E464" s="1" t="str">
        <f t="shared" si="38"/>
        <v>CO</v>
      </c>
      <c r="F464" s="1" t="str">
        <f t="shared" si="39"/>
        <v>Complete</v>
      </c>
      <c r="G464" s="1" t="str">
        <f>IF(COUNTIF($A$2:A464,A464)&gt;1,"Duplicate","Unique")</f>
        <v>Duplicate</v>
      </c>
    </row>
    <row r="465" spans="1:7" x14ac:dyDescent="0.25">
      <c r="A465" s="1" t="str">
        <v>CA</v>
      </c>
      <c r="B465" s="1" t="str">
        <f t="shared" si="35"/>
        <v>CA</v>
      </c>
      <c r="C465" s="1" t="str">
        <f t="shared" si="36"/>
        <v>CA</v>
      </c>
      <c r="D465" s="1" t="str">
        <f t="shared" si="37"/>
        <v>CA</v>
      </c>
      <c r="E465" s="1" t="str">
        <f t="shared" si="38"/>
        <v>CA</v>
      </c>
      <c r="F465" s="1" t="str">
        <f t="shared" si="39"/>
        <v>Complete</v>
      </c>
      <c r="G465" s="1" t="str">
        <f>IF(COUNTIF($A$2:A465,A465)&gt;1,"Duplicate","Unique")</f>
        <v>Duplicate</v>
      </c>
    </row>
    <row r="466" spans="1:7" x14ac:dyDescent="0.25">
      <c r="A466" s="1" t="str">
        <v>CO</v>
      </c>
      <c r="B466" s="1" t="str">
        <f t="shared" si="35"/>
        <v>CO</v>
      </c>
      <c r="C466" s="1" t="str">
        <f t="shared" si="36"/>
        <v>CO</v>
      </c>
      <c r="D466" s="1" t="str">
        <f t="shared" si="37"/>
        <v>CO</v>
      </c>
      <c r="E466" s="1" t="str">
        <f t="shared" si="38"/>
        <v>CO</v>
      </c>
      <c r="F466" s="1" t="str">
        <f t="shared" si="39"/>
        <v>Complete</v>
      </c>
      <c r="G466" s="1" t="str">
        <f>IF(COUNTIF($A$2:A466,A466)&gt;1,"Duplicate","Unique")</f>
        <v>Duplicate</v>
      </c>
    </row>
    <row r="467" spans="1:7" x14ac:dyDescent="0.25">
      <c r="A467" s="1" t="str">
        <v>KY</v>
      </c>
      <c r="B467" s="1" t="str">
        <f t="shared" si="35"/>
        <v>KY</v>
      </c>
      <c r="C467" s="1" t="str">
        <f t="shared" si="36"/>
        <v>KY</v>
      </c>
      <c r="D467" s="1" t="str">
        <f t="shared" si="37"/>
        <v>KY</v>
      </c>
      <c r="E467" s="1" t="str">
        <f t="shared" si="38"/>
        <v>KY</v>
      </c>
      <c r="F467" s="1" t="str">
        <f t="shared" si="39"/>
        <v>Complete</v>
      </c>
      <c r="G467" s="1" t="str">
        <f>IF(COUNTIF($A$2:A467,A467)&gt;1,"Duplicate","Unique")</f>
        <v>Duplicate</v>
      </c>
    </row>
    <row r="468" spans="1:7" x14ac:dyDescent="0.25">
      <c r="A468" s="1" t="str">
        <v>ID</v>
      </c>
      <c r="B468" s="1" t="str">
        <f t="shared" si="35"/>
        <v>ID</v>
      </c>
      <c r="C468" s="1" t="str">
        <f t="shared" si="36"/>
        <v>ID</v>
      </c>
      <c r="D468" s="1" t="str">
        <f t="shared" si="37"/>
        <v>ID</v>
      </c>
      <c r="E468" s="1" t="str">
        <f t="shared" si="38"/>
        <v>ID</v>
      </c>
      <c r="F468" s="1" t="str">
        <f t="shared" si="39"/>
        <v>Complete</v>
      </c>
      <c r="G468" s="1" t="str">
        <f>IF(COUNTIF($A$2:A468,A468)&gt;1,"Duplicate","Unique")</f>
        <v>Duplicate</v>
      </c>
    </row>
    <row r="469" spans="1:7" x14ac:dyDescent="0.25">
      <c r="A469" s="1" t="str">
        <v>HI</v>
      </c>
      <c r="B469" s="1" t="str">
        <f t="shared" si="35"/>
        <v>HI</v>
      </c>
      <c r="C469" s="1" t="str">
        <f t="shared" si="36"/>
        <v>HI</v>
      </c>
      <c r="D469" s="1" t="str">
        <f t="shared" si="37"/>
        <v>HI</v>
      </c>
      <c r="E469" s="1" t="str">
        <f t="shared" si="38"/>
        <v>HI</v>
      </c>
      <c r="F469" s="1" t="str">
        <f t="shared" si="39"/>
        <v>Complete</v>
      </c>
      <c r="G469" s="1" t="str">
        <f>IF(COUNTIF($A$2:A469,A469)&gt;1,"Duplicate","Unique")</f>
        <v>Duplicate</v>
      </c>
    </row>
    <row r="470" spans="1:7" x14ac:dyDescent="0.25">
      <c r="A470" s="1" t="str">
        <v>TX</v>
      </c>
      <c r="B470" s="1" t="str">
        <f t="shared" si="35"/>
        <v>TX</v>
      </c>
      <c r="C470" s="1" t="str">
        <f t="shared" si="36"/>
        <v>TX</v>
      </c>
      <c r="D470" s="1" t="str">
        <f t="shared" si="37"/>
        <v>TX</v>
      </c>
      <c r="E470" s="1" t="str">
        <f t="shared" si="38"/>
        <v>TX</v>
      </c>
      <c r="F470" s="1" t="str">
        <f t="shared" si="39"/>
        <v>Complete</v>
      </c>
      <c r="G470" s="1" t="str">
        <f>IF(COUNTIF($A$2:A470,A470)&gt;1,"Duplicate","Unique")</f>
        <v>Duplicate</v>
      </c>
    </row>
    <row r="471" spans="1:7" x14ac:dyDescent="0.25">
      <c r="A471" s="1" t="str">
        <v>GA</v>
      </c>
      <c r="B471" s="1" t="str">
        <f t="shared" si="35"/>
        <v>GA</v>
      </c>
      <c r="C471" s="1" t="str">
        <f t="shared" si="36"/>
        <v>GA</v>
      </c>
      <c r="D471" s="1" t="str">
        <f t="shared" si="37"/>
        <v>GA</v>
      </c>
      <c r="E471" s="1" t="str">
        <f t="shared" si="38"/>
        <v>GA</v>
      </c>
      <c r="F471" s="1" t="str">
        <f t="shared" si="39"/>
        <v>Complete</v>
      </c>
      <c r="G471" s="1" t="str">
        <f>IF(COUNTIF($A$2:A471,A471)&gt;1,"Duplicate","Unique")</f>
        <v>Duplicate</v>
      </c>
    </row>
    <row r="472" spans="1:7" x14ac:dyDescent="0.25">
      <c r="A472" s="1" t="str">
        <v>ME</v>
      </c>
      <c r="B472" s="1" t="str">
        <f t="shared" si="35"/>
        <v>ME</v>
      </c>
      <c r="C472" s="1" t="str">
        <f t="shared" si="36"/>
        <v>ME</v>
      </c>
      <c r="D472" s="1" t="str">
        <f t="shared" si="37"/>
        <v>ME</v>
      </c>
      <c r="E472" s="1" t="str">
        <f t="shared" si="38"/>
        <v>ME</v>
      </c>
      <c r="F472" s="1" t="str">
        <f t="shared" si="39"/>
        <v>Complete</v>
      </c>
      <c r="G472" s="1" t="str">
        <f>IF(COUNTIF($A$2:A472,A472)&gt;1,"Duplicate","Unique")</f>
        <v>Duplicate</v>
      </c>
    </row>
    <row r="473" spans="1:7" x14ac:dyDescent="0.25">
      <c r="A473" s="1" t="str">
        <v>OH</v>
      </c>
      <c r="B473" s="1" t="str">
        <f t="shared" si="35"/>
        <v>OH</v>
      </c>
      <c r="C473" s="1" t="str">
        <f t="shared" si="36"/>
        <v>OH</v>
      </c>
      <c r="D473" s="1" t="str">
        <f t="shared" si="37"/>
        <v>OH</v>
      </c>
      <c r="E473" s="1" t="str">
        <f t="shared" si="38"/>
        <v>OH</v>
      </c>
      <c r="F473" s="1" t="str">
        <f t="shared" si="39"/>
        <v>Complete</v>
      </c>
      <c r="G473" s="1" t="str">
        <f>IF(COUNTIF($A$2:A473,A473)&gt;1,"Duplicate","Unique")</f>
        <v>Duplicate</v>
      </c>
    </row>
    <row r="474" spans="1:7" x14ac:dyDescent="0.25">
      <c r="A474" s="1" t="str">
        <v>TN</v>
      </c>
      <c r="B474" s="1" t="str">
        <f t="shared" si="35"/>
        <v>TN</v>
      </c>
      <c r="C474" s="1" t="str">
        <f t="shared" si="36"/>
        <v>TN</v>
      </c>
      <c r="D474" s="1" t="str">
        <f t="shared" si="37"/>
        <v>TN</v>
      </c>
      <c r="E474" s="1" t="str">
        <f t="shared" si="38"/>
        <v>TN</v>
      </c>
      <c r="F474" s="1" t="str">
        <f t="shared" si="39"/>
        <v>Complete</v>
      </c>
      <c r="G474" s="1" t="str">
        <f>IF(COUNTIF($A$2:A474,A474)&gt;1,"Duplicate","Unique")</f>
        <v>Duplicate</v>
      </c>
    </row>
    <row r="475" spans="1:7" x14ac:dyDescent="0.25">
      <c r="A475" s="1" t="str">
        <v>VT</v>
      </c>
      <c r="B475" s="1" t="str">
        <f t="shared" si="35"/>
        <v>VT</v>
      </c>
      <c r="C475" s="1" t="str">
        <f t="shared" si="36"/>
        <v>VT</v>
      </c>
      <c r="D475" s="1" t="str">
        <f t="shared" si="37"/>
        <v>VT</v>
      </c>
      <c r="E475" s="1" t="str">
        <f t="shared" si="38"/>
        <v>VT</v>
      </c>
      <c r="F475" s="1" t="str">
        <f t="shared" si="39"/>
        <v>Complete</v>
      </c>
      <c r="G475" s="1" t="str">
        <f>IF(COUNTIF($A$2:A475,A475)&gt;1,"Duplicate","Unique")</f>
        <v>Duplicate</v>
      </c>
    </row>
    <row r="476" spans="1:7" x14ac:dyDescent="0.25">
      <c r="A476" s="1" t="str">
        <v>MD</v>
      </c>
      <c r="B476" s="1" t="str">
        <f t="shared" si="35"/>
        <v>MD</v>
      </c>
      <c r="C476" s="1" t="str">
        <f t="shared" si="36"/>
        <v>MD</v>
      </c>
      <c r="D476" s="1" t="str">
        <f t="shared" si="37"/>
        <v>MD</v>
      </c>
      <c r="E476" s="1" t="str">
        <f t="shared" si="38"/>
        <v>MD</v>
      </c>
      <c r="F476" s="1" t="str">
        <f t="shared" si="39"/>
        <v>Complete</v>
      </c>
      <c r="G476" s="1" t="str">
        <f>IF(COUNTIF($A$2:A476,A476)&gt;1,"Duplicate","Unique")</f>
        <v>Duplicate</v>
      </c>
    </row>
    <row r="477" spans="1:7" x14ac:dyDescent="0.25">
      <c r="A477" s="1" t="str">
        <v>NE</v>
      </c>
      <c r="B477" s="1" t="str">
        <f t="shared" si="35"/>
        <v>NE</v>
      </c>
      <c r="C477" s="1" t="str">
        <f t="shared" si="36"/>
        <v>NE</v>
      </c>
      <c r="D477" s="1" t="str">
        <f t="shared" si="37"/>
        <v>NE</v>
      </c>
      <c r="E477" s="1" t="str">
        <f t="shared" si="38"/>
        <v>NE</v>
      </c>
      <c r="F477" s="1" t="str">
        <f t="shared" si="39"/>
        <v>Complete</v>
      </c>
      <c r="G477" s="1" t="str">
        <f>IF(COUNTIF($A$2:A477,A477)&gt;1,"Duplicate","Unique")</f>
        <v>Duplicate</v>
      </c>
    </row>
    <row r="478" spans="1:7" x14ac:dyDescent="0.25">
      <c r="A478" s="1" t="str">
        <v>WY</v>
      </c>
      <c r="B478" s="1" t="str">
        <f t="shared" si="35"/>
        <v>WY</v>
      </c>
      <c r="C478" s="1" t="str">
        <f t="shared" si="36"/>
        <v>WY</v>
      </c>
      <c r="D478" s="1" t="str">
        <f t="shared" si="37"/>
        <v>WY</v>
      </c>
      <c r="E478" s="1" t="str">
        <f t="shared" si="38"/>
        <v>WY</v>
      </c>
      <c r="F478" s="1" t="str">
        <f t="shared" si="39"/>
        <v>Complete</v>
      </c>
      <c r="G478" s="1" t="str">
        <f>IF(COUNTIF($A$2:A478,A478)&gt;1,"Duplicate","Unique")</f>
        <v>Duplicate</v>
      </c>
    </row>
    <row r="479" spans="1:7" x14ac:dyDescent="0.25">
      <c r="A479" s="1" t="str">
        <v>WV</v>
      </c>
      <c r="B479" s="1" t="str">
        <f t="shared" si="35"/>
        <v>WV</v>
      </c>
      <c r="C479" s="1" t="str">
        <f t="shared" si="36"/>
        <v>WV</v>
      </c>
      <c r="D479" s="1" t="str">
        <f t="shared" si="37"/>
        <v>WV</v>
      </c>
      <c r="E479" s="1" t="str">
        <f t="shared" si="38"/>
        <v>WV</v>
      </c>
      <c r="F479" s="1" t="str">
        <f t="shared" si="39"/>
        <v>Complete</v>
      </c>
      <c r="G479" s="1" t="str">
        <f>IF(COUNTIF($A$2:A479,A479)&gt;1,"Duplicate","Unique")</f>
        <v>Duplicate</v>
      </c>
    </row>
    <row r="480" spans="1:7" x14ac:dyDescent="0.25">
      <c r="A480" s="1" t="str">
        <v>MS</v>
      </c>
      <c r="B480" s="1" t="str">
        <f t="shared" si="35"/>
        <v>MS</v>
      </c>
      <c r="C480" s="1" t="str">
        <f t="shared" si="36"/>
        <v>MS</v>
      </c>
      <c r="D480" s="1" t="str">
        <f t="shared" si="37"/>
        <v>MS</v>
      </c>
      <c r="E480" s="1" t="str">
        <f t="shared" si="38"/>
        <v>MS</v>
      </c>
      <c r="F480" s="1" t="str">
        <f t="shared" si="39"/>
        <v>Complete</v>
      </c>
      <c r="G480" s="1" t="str">
        <f>IF(COUNTIF($A$2:A480,A480)&gt;1,"Duplicate","Unique")</f>
        <v>Duplicate</v>
      </c>
    </row>
    <row r="481" spans="1:7" x14ac:dyDescent="0.25">
      <c r="A481" s="1" t="str">
        <v>OH</v>
      </c>
      <c r="B481" s="1" t="str">
        <f t="shared" si="35"/>
        <v>OH</v>
      </c>
      <c r="C481" s="1" t="str">
        <f t="shared" si="36"/>
        <v>OH</v>
      </c>
      <c r="D481" s="1" t="str">
        <f t="shared" si="37"/>
        <v>OH</v>
      </c>
      <c r="E481" s="1" t="str">
        <f t="shared" si="38"/>
        <v>OH</v>
      </c>
      <c r="F481" s="1" t="str">
        <f t="shared" si="39"/>
        <v>Complete</v>
      </c>
      <c r="G481" s="1" t="str">
        <f>IF(COUNTIF($A$2:A481,A481)&gt;1,"Duplicate","Unique")</f>
        <v>Duplicate</v>
      </c>
    </row>
    <row r="482" spans="1:7" x14ac:dyDescent="0.25">
      <c r="A482" s="1" t="str">
        <v>AK</v>
      </c>
      <c r="B482" s="1" t="str">
        <f t="shared" si="35"/>
        <v>AK</v>
      </c>
      <c r="C482" s="1" t="str">
        <f t="shared" si="36"/>
        <v>AK</v>
      </c>
      <c r="D482" s="1" t="str">
        <f t="shared" si="37"/>
        <v>AK</v>
      </c>
      <c r="E482" s="1" t="str">
        <f t="shared" si="38"/>
        <v>AK</v>
      </c>
      <c r="F482" s="1" t="str">
        <f t="shared" si="39"/>
        <v>Complete</v>
      </c>
      <c r="G482" s="1" t="str">
        <f>IF(COUNTIF($A$2:A482,A482)&gt;1,"Duplicate","Unique")</f>
        <v>Duplicate</v>
      </c>
    </row>
    <row r="483" spans="1:7" x14ac:dyDescent="0.25">
      <c r="A483" s="1" t="str">
        <v>IN</v>
      </c>
      <c r="B483" s="1" t="str">
        <f t="shared" si="35"/>
        <v>IN</v>
      </c>
      <c r="C483" s="1" t="str">
        <f t="shared" si="36"/>
        <v>IN</v>
      </c>
      <c r="D483" s="1" t="str">
        <f t="shared" si="37"/>
        <v>IN</v>
      </c>
      <c r="E483" s="1" t="str">
        <f t="shared" si="38"/>
        <v>IN</v>
      </c>
      <c r="F483" s="1" t="str">
        <f t="shared" si="39"/>
        <v>Complete</v>
      </c>
      <c r="G483" s="1" t="str">
        <f>IF(COUNTIF($A$2:A483,A483)&gt;1,"Duplicate","Unique")</f>
        <v>Duplicate</v>
      </c>
    </row>
    <row r="484" spans="1:7" x14ac:dyDescent="0.25">
      <c r="A484" s="1" t="str">
        <v>WA</v>
      </c>
      <c r="B484" s="1" t="str">
        <f t="shared" si="35"/>
        <v>WA</v>
      </c>
      <c r="C484" s="1" t="str">
        <f t="shared" si="36"/>
        <v>WA</v>
      </c>
      <c r="D484" s="1" t="str">
        <f t="shared" si="37"/>
        <v>WA</v>
      </c>
      <c r="E484" s="1" t="str">
        <f t="shared" si="38"/>
        <v>WA</v>
      </c>
      <c r="F484" s="1" t="str">
        <f t="shared" si="39"/>
        <v>Complete</v>
      </c>
      <c r="G484" s="1" t="str">
        <f>IF(COUNTIF($A$2:A484,A484)&gt;1,"Duplicate","Unique")</f>
        <v>Duplicate</v>
      </c>
    </row>
    <row r="485" spans="1:7" x14ac:dyDescent="0.25">
      <c r="A485" s="1" t="str">
        <v>RI</v>
      </c>
      <c r="B485" s="1" t="str">
        <f t="shared" si="35"/>
        <v>RI</v>
      </c>
      <c r="C485" s="1" t="str">
        <f t="shared" si="36"/>
        <v>RI</v>
      </c>
      <c r="D485" s="1" t="str">
        <f t="shared" si="37"/>
        <v>RI</v>
      </c>
      <c r="E485" s="1" t="str">
        <f t="shared" si="38"/>
        <v>RI</v>
      </c>
      <c r="F485" s="1" t="str">
        <f t="shared" si="39"/>
        <v>Complete</v>
      </c>
      <c r="G485" s="1" t="str">
        <f>IF(COUNTIF($A$2:A485,A485)&gt;1,"Duplicate","Unique")</f>
        <v>Duplicate</v>
      </c>
    </row>
    <row r="486" spans="1:7" x14ac:dyDescent="0.25">
      <c r="A486" s="1" t="str">
        <v>AL</v>
      </c>
      <c r="B486" s="1" t="str">
        <f t="shared" si="35"/>
        <v>AL</v>
      </c>
      <c r="C486" s="1" t="str">
        <f t="shared" si="36"/>
        <v>AL</v>
      </c>
      <c r="D486" s="1" t="str">
        <f t="shared" si="37"/>
        <v>AL</v>
      </c>
      <c r="E486" s="1" t="str">
        <f t="shared" si="38"/>
        <v>AL</v>
      </c>
      <c r="F486" s="1" t="str">
        <f t="shared" si="39"/>
        <v>Complete</v>
      </c>
      <c r="G486" s="1" t="str">
        <f>IF(COUNTIF($A$2:A486,A486)&gt;1,"Duplicate","Unique")</f>
        <v>Duplicate</v>
      </c>
    </row>
    <row r="487" spans="1:7" x14ac:dyDescent="0.25">
      <c r="A487" s="1" t="str">
        <v>MT</v>
      </c>
      <c r="B487" s="1" t="str">
        <f t="shared" si="35"/>
        <v>MT</v>
      </c>
      <c r="C487" s="1" t="str">
        <f t="shared" si="36"/>
        <v>MT</v>
      </c>
      <c r="D487" s="1" t="str">
        <f t="shared" si="37"/>
        <v>MT</v>
      </c>
      <c r="E487" s="1" t="str">
        <f t="shared" si="38"/>
        <v>MT</v>
      </c>
      <c r="F487" s="1" t="str">
        <f t="shared" si="39"/>
        <v>Complete</v>
      </c>
      <c r="G487" s="1" t="str">
        <f>IF(COUNTIF($A$2:A487,A487)&gt;1,"Duplicate","Unique")</f>
        <v>Duplicate</v>
      </c>
    </row>
    <row r="488" spans="1:7" x14ac:dyDescent="0.25">
      <c r="A488" s="1" t="str">
        <v>NM</v>
      </c>
      <c r="B488" s="1" t="str">
        <f t="shared" si="35"/>
        <v>NM</v>
      </c>
      <c r="C488" s="1" t="str">
        <f t="shared" si="36"/>
        <v>NM</v>
      </c>
      <c r="D488" s="1" t="str">
        <f t="shared" si="37"/>
        <v>NM</v>
      </c>
      <c r="E488" s="1" t="str">
        <f t="shared" si="38"/>
        <v>NM</v>
      </c>
      <c r="F488" s="1" t="str">
        <f t="shared" si="39"/>
        <v>Complete</v>
      </c>
      <c r="G488" s="1" t="str">
        <f>IF(COUNTIF($A$2:A488,A488)&gt;1,"Duplicate","Unique")</f>
        <v>Duplicate</v>
      </c>
    </row>
    <row r="489" spans="1:7" x14ac:dyDescent="0.25">
      <c r="A489" s="1" t="str">
        <v>OH</v>
      </c>
      <c r="B489" s="1" t="str">
        <f t="shared" si="35"/>
        <v>OH</v>
      </c>
      <c r="C489" s="1" t="str">
        <f t="shared" si="36"/>
        <v>OH</v>
      </c>
      <c r="D489" s="1" t="str">
        <f t="shared" si="37"/>
        <v>OH</v>
      </c>
      <c r="E489" s="1" t="str">
        <f t="shared" si="38"/>
        <v>OH</v>
      </c>
      <c r="F489" s="1" t="str">
        <f t="shared" si="39"/>
        <v>Complete</v>
      </c>
      <c r="G489" s="1" t="str">
        <f>IF(COUNTIF($A$2:A489,A489)&gt;1,"Duplicate","Unique")</f>
        <v>Duplicate</v>
      </c>
    </row>
    <row r="490" spans="1:7" x14ac:dyDescent="0.25">
      <c r="A490" s="1" t="str">
        <v>LA</v>
      </c>
      <c r="B490" s="1" t="str">
        <f t="shared" si="35"/>
        <v>LA</v>
      </c>
      <c r="C490" s="1" t="str">
        <f t="shared" si="36"/>
        <v>LA</v>
      </c>
      <c r="D490" s="1" t="str">
        <f t="shared" si="37"/>
        <v>LA</v>
      </c>
      <c r="E490" s="1" t="str">
        <f t="shared" si="38"/>
        <v>LA</v>
      </c>
      <c r="F490" s="1" t="str">
        <f t="shared" si="39"/>
        <v>Complete</v>
      </c>
      <c r="G490" s="1" t="str">
        <f>IF(COUNTIF($A$2:A490,A490)&gt;1,"Duplicate","Unique")</f>
        <v>Duplicate</v>
      </c>
    </row>
    <row r="491" spans="1:7" x14ac:dyDescent="0.25">
      <c r="A491" s="1" t="str">
        <v>MO</v>
      </c>
      <c r="B491" s="1" t="str">
        <f t="shared" si="35"/>
        <v>MO</v>
      </c>
      <c r="C491" s="1" t="str">
        <f t="shared" si="36"/>
        <v>MO</v>
      </c>
      <c r="D491" s="1" t="str">
        <f t="shared" si="37"/>
        <v>MO</v>
      </c>
      <c r="E491" s="1" t="str">
        <f t="shared" si="38"/>
        <v>MO</v>
      </c>
      <c r="F491" s="1" t="str">
        <f t="shared" si="39"/>
        <v>Complete</v>
      </c>
      <c r="G491" s="1" t="str">
        <f>IF(COUNTIF($A$2:A491,A491)&gt;1,"Duplicate","Unique")</f>
        <v>Duplicate</v>
      </c>
    </row>
    <row r="492" spans="1:7" x14ac:dyDescent="0.25">
      <c r="A492" s="1" t="str">
        <v>DC</v>
      </c>
      <c r="B492" s="1" t="str">
        <f t="shared" si="35"/>
        <v>DC</v>
      </c>
      <c r="C492" s="1" t="str">
        <f t="shared" si="36"/>
        <v>DC</v>
      </c>
      <c r="D492" s="1" t="str">
        <f t="shared" si="37"/>
        <v>DC</v>
      </c>
      <c r="E492" s="1" t="str">
        <f t="shared" si="38"/>
        <v>DC</v>
      </c>
      <c r="F492" s="1" t="str">
        <f t="shared" si="39"/>
        <v>Complete</v>
      </c>
      <c r="G492" s="1" t="str">
        <f>IF(COUNTIF($A$2:A492,A492)&gt;1,"Duplicate","Unique")</f>
        <v>Duplicate</v>
      </c>
    </row>
    <row r="493" spans="1:7" x14ac:dyDescent="0.25">
      <c r="A493" s="1" t="str">
        <v>TN</v>
      </c>
      <c r="B493" s="1" t="str">
        <f t="shared" si="35"/>
        <v>TN</v>
      </c>
      <c r="C493" s="1" t="str">
        <f t="shared" si="36"/>
        <v>TN</v>
      </c>
      <c r="D493" s="1" t="str">
        <f t="shared" si="37"/>
        <v>TN</v>
      </c>
      <c r="E493" s="1" t="str">
        <f t="shared" si="38"/>
        <v>TN</v>
      </c>
      <c r="F493" s="1" t="str">
        <f t="shared" si="39"/>
        <v>Complete</v>
      </c>
      <c r="G493" s="1" t="str">
        <f>IF(COUNTIF($A$2:A493,A493)&gt;1,"Duplicate","Unique")</f>
        <v>Duplicate</v>
      </c>
    </row>
    <row r="494" spans="1:7" x14ac:dyDescent="0.25">
      <c r="A494" s="1" t="str">
        <v>WA</v>
      </c>
      <c r="B494" s="1" t="str">
        <f t="shared" si="35"/>
        <v>WA</v>
      </c>
      <c r="C494" s="1" t="str">
        <f t="shared" si="36"/>
        <v>WA</v>
      </c>
      <c r="D494" s="1" t="str">
        <f t="shared" si="37"/>
        <v>WA</v>
      </c>
      <c r="E494" s="1" t="str">
        <f t="shared" si="38"/>
        <v>WA</v>
      </c>
      <c r="F494" s="1" t="str">
        <f t="shared" si="39"/>
        <v>Complete</v>
      </c>
      <c r="G494" s="1" t="str">
        <f>IF(COUNTIF($A$2:A494,A494)&gt;1,"Duplicate","Unique")</f>
        <v>Duplicate</v>
      </c>
    </row>
    <row r="495" spans="1:7" x14ac:dyDescent="0.25">
      <c r="A495" s="1" t="str">
        <v>RI</v>
      </c>
      <c r="B495" s="1" t="str">
        <f t="shared" si="35"/>
        <v>RI</v>
      </c>
      <c r="C495" s="1" t="str">
        <f t="shared" si="36"/>
        <v>RI</v>
      </c>
      <c r="D495" s="1" t="str">
        <f t="shared" si="37"/>
        <v>RI</v>
      </c>
      <c r="E495" s="1" t="str">
        <f t="shared" si="38"/>
        <v>RI</v>
      </c>
      <c r="F495" s="1" t="str">
        <f t="shared" si="39"/>
        <v>Complete</v>
      </c>
      <c r="G495" s="1" t="str">
        <f>IF(COUNTIF($A$2:A495,A495)&gt;1,"Duplicate","Unique")</f>
        <v>Duplicate</v>
      </c>
    </row>
    <row r="496" spans="1:7" x14ac:dyDescent="0.25">
      <c r="A496" s="1" t="str">
        <v>RI</v>
      </c>
      <c r="B496" s="1" t="str">
        <f t="shared" si="35"/>
        <v>RI</v>
      </c>
      <c r="C496" s="1" t="str">
        <f t="shared" si="36"/>
        <v>RI</v>
      </c>
      <c r="D496" s="1" t="str">
        <f t="shared" si="37"/>
        <v>RI</v>
      </c>
      <c r="E496" s="1" t="str">
        <f t="shared" si="38"/>
        <v>RI</v>
      </c>
      <c r="F496" s="1" t="str">
        <f t="shared" si="39"/>
        <v>Complete</v>
      </c>
      <c r="G496" s="1" t="str">
        <f>IF(COUNTIF($A$2:A496,A496)&gt;1,"Duplicate","Unique")</f>
        <v>Duplicate</v>
      </c>
    </row>
    <row r="497" spans="1:7" x14ac:dyDescent="0.25">
      <c r="A497" s="1" t="str">
        <v>OR</v>
      </c>
      <c r="B497" s="1" t="str">
        <f t="shared" si="35"/>
        <v>OR</v>
      </c>
      <c r="C497" s="1" t="str">
        <f t="shared" si="36"/>
        <v>OR</v>
      </c>
      <c r="D497" s="1" t="str">
        <f t="shared" si="37"/>
        <v>OR</v>
      </c>
      <c r="E497" s="1" t="str">
        <f t="shared" si="38"/>
        <v>OR</v>
      </c>
      <c r="F497" s="1" t="str">
        <f t="shared" si="39"/>
        <v>Complete</v>
      </c>
      <c r="G497" s="1" t="str">
        <f>IF(COUNTIF($A$2:A497,A497)&gt;1,"Duplicate","Unique")</f>
        <v>Duplicate</v>
      </c>
    </row>
    <row r="498" spans="1:7" x14ac:dyDescent="0.25">
      <c r="A498" s="1" t="str">
        <v>MA</v>
      </c>
      <c r="B498" s="1" t="str">
        <f t="shared" si="35"/>
        <v>MA</v>
      </c>
      <c r="C498" s="1" t="str">
        <f t="shared" si="36"/>
        <v>MA</v>
      </c>
      <c r="D498" s="1" t="str">
        <f t="shared" si="37"/>
        <v>MA</v>
      </c>
      <c r="E498" s="1" t="str">
        <f t="shared" si="38"/>
        <v>MA</v>
      </c>
      <c r="F498" s="1" t="str">
        <f t="shared" si="39"/>
        <v>Complete</v>
      </c>
      <c r="G498" s="1" t="str">
        <f>IF(COUNTIF($A$2:A498,A498)&gt;1,"Duplicate","Unique")</f>
        <v>Duplicate</v>
      </c>
    </row>
    <row r="499" spans="1:7" x14ac:dyDescent="0.25">
      <c r="A499" s="1" t="str">
        <v>NC</v>
      </c>
      <c r="B499" s="1" t="str">
        <f t="shared" si="35"/>
        <v>NC</v>
      </c>
      <c r="C499" s="1" t="str">
        <f t="shared" si="36"/>
        <v>NC</v>
      </c>
      <c r="D499" s="1" t="str">
        <f t="shared" si="37"/>
        <v>NC</v>
      </c>
      <c r="E499" s="1" t="str">
        <f t="shared" si="38"/>
        <v>NC</v>
      </c>
      <c r="F499" s="1" t="str">
        <f t="shared" si="39"/>
        <v>Complete</v>
      </c>
      <c r="G499" s="1" t="str">
        <f>IF(COUNTIF($A$2:A499,A499)&gt;1,"Duplicate","Unique")</f>
        <v>Duplicate</v>
      </c>
    </row>
    <row r="500" spans="1:7" x14ac:dyDescent="0.25">
      <c r="A500" s="1" t="str">
        <v>IA</v>
      </c>
      <c r="B500" s="1" t="str">
        <f t="shared" si="35"/>
        <v>IA</v>
      </c>
      <c r="C500" s="1" t="str">
        <f t="shared" si="36"/>
        <v>IA</v>
      </c>
      <c r="D500" s="1" t="str">
        <f t="shared" si="37"/>
        <v>IA</v>
      </c>
      <c r="E500" s="1" t="str">
        <f t="shared" si="38"/>
        <v>IA</v>
      </c>
      <c r="F500" s="1" t="str">
        <f t="shared" si="39"/>
        <v>Complete</v>
      </c>
      <c r="G500" s="1" t="str">
        <f>IF(COUNTIF($A$2:A500,A500)&gt;1,"Duplicate","Unique")</f>
        <v>Duplicate</v>
      </c>
    </row>
    <row r="501" spans="1:7" x14ac:dyDescent="0.25">
      <c r="A501" s="1" t="str">
        <v>IL</v>
      </c>
      <c r="B501" s="1" t="str">
        <f t="shared" si="35"/>
        <v>IL</v>
      </c>
      <c r="C501" s="1" t="str">
        <f t="shared" si="36"/>
        <v>IL</v>
      </c>
      <c r="D501" s="1" t="str">
        <f t="shared" si="37"/>
        <v>IL</v>
      </c>
      <c r="E501" s="1" t="str">
        <f t="shared" si="38"/>
        <v>IL</v>
      </c>
      <c r="F501" s="1" t="str">
        <f t="shared" si="39"/>
        <v>Complete</v>
      </c>
      <c r="G501" s="1" t="str">
        <f>IF(COUNTIF($A$2:A501,A501)&gt;1,"Duplicate","Unique")</f>
        <v>Duplicate</v>
      </c>
    </row>
    <row r="502" spans="1:7" x14ac:dyDescent="0.25">
      <c r="A502" s="1" t="str">
        <v>KY</v>
      </c>
      <c r="B502" s="1" t="str">
        <f t="shared" si="35"/>
        <v>KY</v>
      </c>
      <c r="C502" s="1" t="str">
        <f t="shared" si="36"/>
        <v>KY</v>
      </c>
      <c r="D502" s="1" t="str">
        <f t="shared" si="37"/>
        <v>KY</v>
      </c>
      <c r="E502" s="1" t="str">
        <f t="shared" si="38"/>
        <v>KY</v>
      </c>
      <c r="F502" s="1" t="str">
        <f t="shared" si="39"/>
        <v>Complete</v>
      </c>
      <c r="G502" s="1" t="str">
        <f>IF(COUNTIF($A$2:A502,A502)&gt;1,"Duplicate","Unique")</f>
        <v>Duplicate</v>
      </c>
    </row>
    <row r="503" spans="1:7" x14ac:dyDescent="0.25">
      <c r="A503" s="1" t="str">
        <v>TN</v>
      </c>
      <c r="B503" s="1" t="str">
        <f t="shared" si="35"/>
        <v>TN</v>
      </c>
      <c r="C503" s="1" t="str">
        <f t="shared" si="36"/>
        <v>TN</v>
      </c>
      <c r="D503" s="1" t="str">
        <f t="shared" si="37"/>
        <v>TN</v>
      </c>
      <c r="E503" s="1" t="str">
        <f t="shared" si="38"/>
        <v>TN</v>
      </c>
      <c r="F503" s="1" t="str">
        <f t="shared" si="39"/>
        <v>Complete</v>
      </c>
      <c r="G503" s="1" t="str">
        <f>IF(COUNTIF($A$2:A503,A503)&gt;1,"Duplicate","Unique")</f>
        <v>Duplicate</v>
      </c>
    </row>
    <row r="504" spans="1:7" x14ac:dyDescent="0.25">
      <c r="A504" s="1" t="str">
        <v>GA</v>
      </c>
      <c r="B504" s="1" t="str">
        <f t="shared" si="35"/>
        <v>GA</v>
      </c>
      <c r="C504" s="1" t="str">
        <f t="shared" si="36"/>
        <v>GA</v>
      </c>
      <c r="D504" s="1" t="str">
        <f t="shared" si="37"/>
        <v>GA</v>
      </c>
      <c r="E504" s="1" t="str">
        <f t="shared" si="38"/>
        <v>GA</v>
      </c>
      <c r="F504" s="1" t="str">
        <f t="shared" si="39"/>
        <v>Complete</v>
      </c>
      <c r="G504" s="1" t="str">
        <f>IF(COUNTIF($A$2:A504,A504)&gt;1,"Duplicate","Unique")</f>
        <v>Duplicate</v>
      </c>
    </row>
    <row r="505" spans="1:7" x14ac:dyDescent="0.25">
      <c r="A505" s="1" t="str">
        <v>MN</v>
      </c>
      <c r="B505" s="1" t="str">
        <f t="shared" si="35"/>
        <v>MN</v>
      </c>
      <c r="C505" s="1" t="str">
        <f t="shared" si="36"/>
        <v>MN</v>
      </c>
      <c r="D505" s="1" t="str">
        <f t="shared" si="37"/>
        <v>MN</v>
      </c>
      <c r="E505" s="1" t="str">
        <f t="shared" si="38"/>
        <v>MN</v>
      </c>
      <c r="F505" s="1" t="str">
        <f t="shared" si="39"/>
        <v>Complete</v>
      </c>
      <c r="G505" s="1" t="str">
        <f>IF(COUNTIF($A$2:A505,A505)&gt;1,"Duplicate","Unique")</f>
        <v>Duplicate</v>
      </c>
    </row>
    <row r="506" spans="1:7" x14ac:dyDescent="0.25">
      <c r="A506" s="1" t="str">
        <v>MT</v>
      </c>
      <c r="B506" s="1" t="str">
        <f t="shared" si="35"/>
        <v>MT</v>
      </c>
      <c r="C506" s="1" t="str">
        <f t="shared" si="36"/>
        <v>MT</v>
      </c>
      <c r="D506" s="1" t="str">
        <f t="shared" si="37"/>
        <v>MT</v>
      </c>
      <c r="E506" s="1" t="str">
        <f t="shared" si="38"/>
        <v>MT</v>
      </c>
      <c r="F506" s="1" t="str">
        <f t="shared" si="39"/>
        <v>Complete</v>
      </c>
      <c r="G506" s="1" t="str">
        <f>IF(COUNTIF($A$2:A506,A506)&gt;1,"Duplicate","Unique")</f>
        <v>Duplicate</v>
      </c>
    </row>
    <row r="507" spans="1:7" x14ac:dyDescent="0.25">
      <c r="A507" s="1" t="str">
        <v>ND</v>
      </c>
      <c r="B507" s="1" t="str">
        <f t="shared" si="35"/>
        <v>ND</v>
      </c>
      <c r="C507" s="1" t="str">
        <f t="shared" si="36"/>
        <v>ND</v>
      </c>
      <c r="D507" s="1" t="str">
        <f t="shared" si="37"/>
        <v>ND</v>
      </c>
      <c r="E507" s="1" t="str">
        <f t="shared" si="38"/>
        <v>ND</v>
      </c>
      <c r="F507" s="1" t="str">
        <f t="shared" si="39"/>
        <v>Complete</v>
      </c>
      <c r="G507" s="1" t="str">
        <f>IF(COUNTIF($A$2:A507,A507)&gt;1,"Duplicate","Unique")</f>
        <v>Duplicate</v>
      </c>
    </row>
    <row r="508" spans="1:7" x14ac:dyDescent="0.25">
      <c r="A508" s="1" t="str">
        <v>VA</v>
      </c>
      <c r="B508" s="1" t="str">
        <f t="shared" si="35"/>
        <v>VA</v>
      </c>
      <c r="C508" s="1" t="str">
        <f t="shared" si="36"/>
        <v>VA</v>
      </c>
      <c r="D508" s="1" t="str">
        <f t="shared" si="37"/>
        <v>VA</v>
      </c>
      <c r="E508" s="1" t="str">
        <f t="shared" si="38"/>
        <v>VA</v>
      </c>
      <c r="F508" s="1" t="str">
        <f t="shared" si="39"/>
        <v>Complete</v>
      </c>
      <c r="G508" s="1" t="str">
        <f>IF(COUNTIF($A$2:A508,A508)&gt;1,"Duplicate","Unique")</f>
        <v>Duplicate</v>
      </c>
    </row>
    <row r="509" spans="1:7" x14ac:dyDescent="0.25">
      <c r="A509" s="1" t="str">
        <v>ND</v>
      </c>
      <c r="B509" s="1" t="str">
        <f t="shared" si="35"/>
        <v>ND</v>
      </c>
      <c r="C509" s="1" t="str">
        <f t="shared" si="36"/>
        <v>ND</v>
      </c>
      <c r="D509" s="1" t="str">
        <f t="shared" si="37"/>
        <v>ND</v>
      </c>
      <c r="E509" s="1" t="str">
        <f t="shared" si="38"/>
        <v>ND</v>
      </c>
      <c r="F509" s="1" t="str">
        <f t="shared" si="39"/>
        <v>Complete</v>
      </c>
      <c r="G509" s="1" t="str">
        <f>IF(COUNTIF($A$2:A509,A509)&gt;1,"Duplicate","Unique")</f>
        <v>Duplicate</v>
      </c>
    </row>
    <row r="510" spans="1:7" x14ac:dyDescent="0.25">
      <c r="A510" s="1" t="str">
        <v>TN</v>
      </c>
      <c r="B510" s="1" t="str">
        <f t="shared" si="35"/>
        <v>TN</v>
      </c>
      <c r="C510" s="1" t="str">
        <f t="shared" si="36"/>
        <v>TN</v>
      </c>
      <c r="D510" s="1" t="str">
        <f t="shared" si="37"/>
        <v>TN</v>
      </c>
      <c r="E510" s="1" t="str">
        <f t="shared" si="38"/>
        <v>TN</v>
      </c>
      <c r="F510" s="1" t="str">
        <f t="shared" si="39"/>
        <v>Complete</v>
      </c>
      <c r="G510" s="1" t="str">
        <f>IF(COUNTIF($A$2:A510,A510)&gt;1,"Duplicate","Unique")</f>
        <v>Duplicate</v>
      </c>
    </row>
    <row r="511" spans="1:7" x14ac:dyDescent="0.25">
      <c r="A511" s="1" t="str">
        <v>NE</v>
      </c>
      <c r="B511" s="1" t="str">
        <f t="shared" si="35"/>
        <v>NE</v>
      </c>
      <c r="C511" s="1" t="str">
        <f t="shared" si="36"/>
        <v>NE</v>
      </c>
      <c r="D511" s="1" t="str">
        <f t="shared" si="37"/>
        <v>NE</v>
      </c>
      <c r="E511" s="1" t="str">
        <f t="shared" si="38"/>
        <v>NE</v>
      </c>
      <c r="F511" s="1" t="str">
        <f t="shared" si="39"/>
        <v>Complete</v>
      </c>
      <c r="G511" s="1" t="str">
        <f>IF(COUNTIF($A$2:A511,A511)&gt;1,"Duplicate","Unique")</f>
        <v>Duplicate</v>
      </c>
    </row>
    <row r="512" spans="1:7" x14ac:dyDescent="0.25">
      <c r="A512" s="1" t="str">
        <v>IN</v>
      </c>
      <c r="B512" s="1" t="str">
        <f t="shared" si="35"/>
        <v>IN</v>
      </c>
      <c r="C512" s="1" t="str">
        <f t="shared" si="36"/>
        <v>IN</v>
      </c>
      <c r="D512" s="1" t="str">
        <f t="shared" si="37"/>
        <v>IN</v>
      </c>
      <c r="E512" s="1" t="str">
        <f t="shared" si="38"/>
        <v>IN</v>
      </c>
      <c r="F512" s="1" t="str">
        <f t="shared" si="39"/>
        <v>Complete</v>
      </c>
      <c r="G512" s="1" t="str">
        <f>IF(COUNTIF($A$2:A512,A512)&gt;1,"Duplicate","Unique")</f>
        <v>Duplicate</v>
      </c>
    </row>
    <row r="513" spans="1:7" x14ac:dyDescent="0.25">
      <c r="A513" s="1" t="str">
        <v>OR</v>
      </c>
      <c r="B513" s="1" t="str">
        <f t="shared" si="35"/>
        <v>OR</v>
      </c>
      <c r="C513" s="1" t="str">
        <f t="shared" si="36"/>
        <v>OR</v>
      </c>
      <c r="D513" s="1" t="str">
        <f t="shared" si="37"/>
        <v>OR</v>
      </c>
      <c r="E513" s="1" t="str">
        <f t="shared" si="38"/>
        <v>OR</v>
      </c>
      <c r="F513" s="1" t="str">
        <f t="shared" si="39"/>
        <v>Complete</v>
      </c>
      <c r="G513" s="1" t="str">
        <f>IF(COUNTIF($A$2:A513,A513)&gt;1,"Duplicate","Unique")</f>
        <v>Duplicate</v>
      </c>
    </row>
    <row r="514" spans="1:7" x14ac:dyDescent="0.25">
      <c r="A514" s="1" t="str">
        <v>TN</v>
      </c>
      <c r="B514" s="1" t="str">
        <f t="shared" si="35"/>
        <v>TN</v>
      </c>
      <c r="C514" s="1" t="str">
        <f t="shared" si="36"/>
        <v>TN</v>
      </c>
      <c r="D514" s="1" t="str">
        <f t="shared" si="37"/>
        <v>TN</v>
      </c>
      <c r="E514" s="1" t="str">
        <f t="shared" si="38"/>
        <v>TN</v>
      </c>
      <c r="F514" s="1" t="str">
        <f t="shared" si="39"/>
        <v>Complete</v>
      </c>
      <c r="G514" s="1" t="str">
        <f>IF(COUNTIF($A$2:A514,A514)&gt;1,"Duplicate","Unique")</f>
        <v>Duplicate</v>
      </c>
    </row>
    <row r="515" spans="1:7" x14ac:dyDescent="0.25">
      <c r="A515" s="1" t="str">
        <v>TX</v>
      </c>
      <c r="B515" s="1" t="str">
        <f t="shared" ref="B515:B578" si="40">TRIM(A515)</f>
        <v>TX</v>
      </c>
      <c r="C515" s="1" t="str">
        <f t="shared" ref="C515:C578" si="41">CLEAN(A515)</f>
        <v>TX</v>
      </c>
      <c r="D515" s="1" t="str">
        <f t="shared" ref="D515:D578" si="42">TRIM(CLEAN(A515))</f>
        <v>TX</v>
      </c>
      <c r="E515" s="1" t="str">
        <f t="shared" ref="E515:E578" si="43">SUBSTITUTE(D515," ","")</f>
        <v>TX</v>
      </c>
      <c r="F515" s="1" t="str">
        <f t="shared" ref="F515:F578" si="44">IF(ISBLANK(A515),"Missing","Complete")</f>
        <v>Complete</v>
      </c>
      <c r="G515" s="1" t="str">
        <f>IF(COUNTIF($A$2:A515,A515)&gt;1,"Duplicate","Unique")</f>
        <v>Duplicate</v>
      </c>
    </row>
    <row r="516" spans="1:7" x14ac:dyDescent="0.25">
      <c r="A516" s="1" t="str">
        <v>TN</v>
      </c>
      <c r="B516" s="1" t="str">
        <f t="shared" si="40"/>
        <v>TN</v>
      </c>
      <c r="C516" s="1" t="str">
        <f t="shared" si="41"/>
        <v>TN</v>
      </c>
      <c r="D516" s="1" t="str">
        <f t="shared" si="42"/>
        <v>TN</v>
      </c>
      <c r="E516" s="1" t="str">
        <f t="shared" si="43"/>
        <v>TN</v>
      </c>
      <c r="F516" s="1" t="str">
        <f t="shared" si="44"/>
        <v>Complete</v>
      </c>
      <c r="G516" s="1" t="str">
        <f>IF(COUNTIF($A$2:A516,A516)&gt;1,"Duplicate","Unique")</f>
        <v>Duplicate</v>
      </c>
    </row>
    <row r="517" spans="1:7" x14ac:dyDescent="0.25">
      <c r="A517" s="1" t="str">
        <v>NC</v>
      </c>
      <c r="B517" s="1" t="str">
        <f t="shared" si="40"/>
        <v>NC</v>
      </c>
      <c r="C517" s="1" t="str">
        <f t="shared" si="41"/>
        <v>NC</v>
      </c>
      <c r="D517" s="1" t="str">
        <f t="shared" si="42"/>
        <v>NC</v>
      </c>
      <c r="E517" s="1" t="str">
        <f t="shared" si="43"/>
        <v>NC</v>
      </c>
      <c r="F517" s="1" t="str">
        <f t="shared" si="44"/>
        <v>Complete</v>
      </c>
      <c r="G517" s="1" t="str">
        <f>IF(COUNTIF($A$2:A517,A517)&gt;1,"Duplicate","Unique")</f>
        <v>Duplicate</v>
      </c>
    </row>
    <row r="518" spans="1:7" x14ac:dyDescent="0.25">
      <c r="A518" s="1" t="str">
        <v>MT</v>
      </c>
      <c r="B518" s="1" t="str">
        <f t="shared" si="40"/>
        <v>MT</v>
      </c>
      <c r="C518" s="1" t="str">
        <f t="shared" si="41"/>
        <v>MT</v>
      </c>
      <c r="D518" s="1" t="str">
        <f t="shared" si="42"/>
        <v>MT</v>
      </c>
      <c r="E518" s="1" t="str">
        <f t="shared" si="43"/>
        <v>MT</v>
      </c>
      <c r="F518" s="1" t="str">
        <f t="shared" si="44"/>
        <v>Complete</v>
      </c>
      <c r="G518" s="1" t="str">
        <f>IF(COUNTIF($A$2:A518,A518)&gt;1,"Duplicate","Unique")</f>
        <v>Duplicate</v>
      </c>
    </row>
    <row r="519" spans="1:7" x14ac:dyDescent="0.25">
      <c r="A519" s="1" t="str">
        <v>HI</v>
      </c>
      <c r="B519" s="1" t="str">
        <f t="shared" si="40"/>
        <v>HI</v>
      </c>
      <c r="C519" s="1" t="str">
        <f t="shared" si="41"/>
        <v>HI</v>
      </c>
      <c r="D519" s="1" t="str">
        <f t="shared" si="42"/>
        <v>HI</v>
      </c>
      <c r="E519" s="1" t="str">
        <f t="shared" si="43"/>
        <v>HI</v>
      </c>
      <c r="F519" s="1" t="str">
        <f t="shared" si="44"/>
        <v>Complete</v>
      </c>
      <c r="G519" s="1" t="str">
        <f>IF(COUNTIF($A$2:A519,A519)&gt;1,"Duplicate","Unique")</f>
        <v>Duplicate</v>
      </c>
    </row>
    <row r="520" spans="1:7" x14ac:dyDescent="0.25">
      <c r="A520" s="1" t="str">
        <v>MI</v>
      </c>
      <c r="B520" s="1" t="str">
        <f t="shared" si="40"/>
        <v>MI</v>
      </c>
      <c r="C520" s="1" t="str">
        <f t="shared" si="41"/>
        <v>MI</v>
      </c>
      <c r="D520" s="1" t="str">
        <f t="shared" si="42"/>
        <v>MI</v>
      </c>
      <c r="E520" s="1" t="str">
        <f t="shared" si="43"/>
        <v>MI</v>
      </c>
      <c r="F520" s="1" t="str">
        <f t="shared" si="44"/>
        <v>Complete</v>
      </c>
      <c r="G520" s="1" t="str">
        <f>IF(COUNTIF($A$2:A520,A520)&gt;1,"Duplicate","Unique")</f>
        <v>Duplicate</v>
      </c>
    </row>
    <row r="521" spans="1:7" x14ac:dyDescent="0.25">
      <c r="A521" s="1" t="str">
        <v>AL</v>
      </c>
      <c r="B521" s="1" t="str">
        <f t="shared" si="40"/>
        <v>AL</v>
      </c>
      <c r="C521" s="1" t="str">
        <f t="shared" si="41"/>
        <v>AL</v>
      </c>
      <c r="D521" s="1" t="str">
        <f t="shared" si="42"/>
        <v>AL</v>
      </c>
      <c r="E521" s="1" t="str">
        <f t="shared" si="43"/>
        <v>AL</v>
      </c>
      <c r="F521" s="1" t="str">
        <f t="shared" si="44"/>
        <v>Complete</v>
      </c>
      <c r="G521" s="1" t="str">
        <f>IF(COUNTIF($A$2:A521,A521)&gt;1,"Duplicate","Unique")</f>
        <v>Duplicate</v>
      </c>
    </row>
    <row r="522" spans="1:7" x14ac:dyDescent="0.25">
      <c r="A522" s="1" t="str">
        <v>CT</v>
      </c>
      <c r="B522" s="1" t="str">
        <f t="shared" si="40"/>
        <v>CT</v>
      </c>
      <c r="C522" s="1" t="str">
        <f t="shared" si="41"/>
        <v>CT</v>
      </c>
      <c r="D522" s="1" t="str">
        <f t="shared" si="42"/>
        <v>CT</v>
      </c>
      <c r="E522" s="1" t="str">
        <f t="shared" si="43"/>
        <v>CT</v>
      </c>
      <c r="F522" s="1" t="str">
        <f t="shared" si="44"/>
        <v>Complete</v>
      </c>
      <c r="G522" s="1" t="str">
        <f>IF(COUNTIF($A$2:A522,A522)&gt;1,"Duplicate","Unique")</f>
        <v>Duplicate</v>
      </c>
    </row>
    <row r="523" spans="1:7" x14ac:dyDescent="0.25">
      <c r="A523" s="1" t="str">
        <v>UT</v>
      </c>
      <c r="B523" s="1" t="str">
        <f t="shared" si="40"/>
        <v>UT</v>
      </c>
      <c r="C523" s="1" t="str">
        <f t="shared" si="41"/>
        <v>UT</v>
      </c>
      <c r="D523" s="1" t="str">
        <f t="shared" si="42"/>
        <v>UT</v>
      </c>
      <c r="E523" s="1" t="str">
        <f t="shared" si="43"/>
        <v>UT</v>
      </c>
      <c r="F523" s="1" t="str">
        <f t="shared" si="44"/>
        <v>Complete</v>
      </c>
      <c r="G523" s="1" t="str">
        <f>IF(COUNTIF($A$2:A523,A523)&gt;1,"Duplicate","Unique")</f>
        <v>Duplicate</v>
      </c>
    </row>
    <row r="524" spans="1:7" x14ac:dyDescent="0.25">
      <c r="A524" s="1" t="str">
        <v>DC</v>
      </c>
      <c r="B524" s="1" t="str">
        <f t="shared" si="40"/>
        <v>DC</v>
      </c>
      <c r="C524" s="1" t="str">
        <f t="shared" si="41"/>
        <v>DC</v>
      </c>
      <c r="D524" s="1" t="str">
        <f t="shared" si="42"/>
        <v>DC</v>
      </c>
      <c r="E524" s="1" t="str">
        <f t="shared" si="43"/>
        <v>DC</v>
      </c>
      <c r="F524" s="1" t="str">
        <f t="shared" si="44"/>
        <v>Complete</v>
      </c>
      <c r="G524" s="1" t="str">
        <f>IF(COUNTIF($A$2:A524,A524)&gt;1,"Duplicate","Unique")</f>
        <v>Duplicate</v>
      </c>
    </row>
    <row r="525" spans="1:7" x14ac:dyDescent="0.25">
      <c r="A525" s="1" t="str">
        <v>UT</v>
      </c>
      <c r="B525" s="1" t="str">
        <f t="shared" si="40"/>
        <v>UT</v>
      </c>
      <c r="C525" s="1" t="str">
        <f t="shared" si="41"/>
        <v>UT</v>
      </c>
      <c r="D525" s="1" t="str">
        <f t="shared" si="42"/>
        <v>UT</v>
      </c>
      <c r="E525" s="1" t="str">
        <f t="shared" si="43"/>
        <v>UT</v>
      </c>
      <c r="F525" s="1" t="str">
        <f t="shared" si="44"/>
        <v>Complete</v>
      </c>
      <c r="G525" s="1" t="str">
        <f>IF(COUNTIF($A$2:A525,A525)&gt;1,"Duplicate","Unique")</f>
        <v>Duplicate</v>
      </c>
    </row>
    <row r="526" spans="1:7" x14ac:dyDescent="0.25">
      <c r="A526" s="1" t="str">
        <v>MN</v>
      </c>
      <c r="B526" s="1" t="str">
        <f t="shared" si="40"/>
        <v>MN</v>
      </c>
      <c r="C526" s="1" t="str">
        <f t="shared" si="41"/>
        <v>MN</v>
      </c>
      <c r="D526" s="1" t="str">
        <f t="shared" si="42"/>
        <v>MN</v>
      </c>
      <c r="E526" s="1" t="str">
        <f t="shared" si="43"/>
        <v>MN</v>
      </c>
      <c r="F526" s="1" t="str">
        <f t="shared" si="44"/>
        <v>Complete</v>
      </c>
      <c r="G526" s="1" t="str">
        <f>IF(COUNTIF($A$2:A526,A526)&gt;1,"Duplicate","Unique")</f>
        <v>Duplicate</v>
      </c>
    </row>
    <row r="527" spans="1:7" x14ac:dyDescent="0.25">
      <c r="A527" s="1" t="str">
        <v>SC</v>
      </c>
      <c r="B527" s="1" t="str">
        <f t="shared" si="40"/>
        <v>SC</v>
      </c>
      <c r="C527" s="1" t="str">
        <f t="shared" si="41"/>
        <v>SC</v>
      </c>
      <c r="D527" s="1" t="str">
        <f t="shared" si="42"/>
        <v>SC</v>
      </c>
      <c r="E527" s="1" t="str">
        <f t="shared" si="43"/>
        <v>SC</v>
      </c>
      <c r="F527" s="1" t="str">
        <f t="shared" si="44"/>
        <v>Complete</v>
      </c>
      <c r="G527" s="1" t="str">
        <f>IF(COUNTIF($A$2:A527,A527)&gt;1,"Duplicate","Unique")</f>
        <v>Duplicate</v>
      </c>
    </row>
    <row r="528" spans="1:7" x14ac:dyDescent="0.25">
      <c r="A528" s="1" t="str">
        <v>NH</v>
      </c>
      <c r="B528" s="1" t="str">
        <f t="shared" si="40"/>
        <v>NH</v>
      </c>
      <c r="C528" s="1" t="str">
        <f t="shared" si="41"/>
        <v>NH</v>
      </c>
      <c r="D528" s="1" t="str">
        <f t="shared" si="42"/>
        <v>NH</v>
      </c>
      <c r="E528" s="1" t="str">
        <f t="shared" si="43"/>
        <v>NH</v>
      </c>
      <c r="F528" s="1" t="str">
        <f t="shared" si="44"/>
        <v>Complete</v>
      </c>
      <c r="G528" s="1" t="str">
        <f>IF(COUNTIF($A$2:A528,A528)&gt;1,"Duplicate","Unique")</f>
        <v>Duplicate</v>
      </c>
    </row>
    <row r="529" spans="1:7" x14ac:dyDescent="0.25">
      <c r="A529" s="1" t="str">
        <v>MD</v>
      </c>
      <c r="B529" s="1" t="str">
        <f t="shared" si="40"/>
        <v>MD</v>
      </c>
      <c r="C529" s="1" t="str">
        <f t="shared" si="41"/>
        <v>MD</v>
      </c>
      <c r="D529" s="1" t="str">
        <f t="shared" si="42"/>
        <v>MD</v>
      </c>
      <c r="E529" s="1" t="str">
        <f t="shared" si="43"/>
        <v>MD</v>
      </c>
      <c r="F529" s="1" t="str">
        <f t="shared" si="44"/>
        <v>Complete</v>
      </c>
      <c r="G529" s="1" t="str">
        <f>IF(COUNTIF($A$2:A529,A529)&gt;1,"Duplicate","Unique")</f>
        <v>Duplicate</v>
      </c>
    </row>
    <row r="530" spans="1:7" x14ac:dyDescent="0.25">
      <c r="A530" s="1" t="str">
        <v>OK</v>
      </c>
      <c r="B530" s="1" t="str">
        <f t="shared" si="40"/>
        <v>OK</v>
      </c>
      <c r="C530" s="1" t="str">
        <f t="shared" si="41"/>
        <v>OK</v>
      </c>
      <c r="D530" s="1" t="str">
        <f t="shared" si="42"/>
        <v>OK</v>
      </c>
      <c r="E530" s="1" t="str">
        <f t="shared" si="43"/>
        <v>OK</v>
      </c>
      <c r="F530" s="1" t="str">
        <f t="shared" si="44"/>
        <v>Complete</v>
      </c>
      <c r="G530" s="1" t="str">
        <f>IF(COUNTIF($A$2:A530,A530)&gt;1,"Duplicate","Unique")</f>
        <v>Duplicate</v>
      </c>
    </row>
    <row r="531" spans="1:7" x14ac:dyDescent="0.25">
      <c r="A531" s="1" t="str">
        <v>NJ</v>
      </c>
      <c r="B531" s="1" t="str">
        <f t="shared" si="40"/>
        <v>NJ</v>
      </c>
      <c r="C531" s="1" t="str">
        <f t="shared" si="41"/>
        <v>NJ</v>
      </c>
      <c r="D531" s="1" t="str">
        <f t="shared" si="42"/>
        <v>NJ</v>
      </c>
      <c r="E531" s="1" t="str">
        <f t="shared" si="43"/>
        <v>NJ</v>
      </c>
      <c r="F531" s="1" t="str">
        <f t="shared" si="44"/>
        <v>Complete</v>
      </c>
      <c r="G531" s="1" t="str">
        <f>IF(COUNTIF($A$2:A531,A531)&gt;1,"Duplicate","Unique")</f>
        <v>Duplicate</v>
      </c>
    </row>
    <row r="532" spans="1:7" x14ac:dyDescent="0.25">
      <c r="A532" s="1" t="str">
        <v>HI</v>
      </c>
      <c r="B532" s="1" t="str">
        <f t="shared" si="40"/>
        <v>HI</v>
      </c>
      <c r="C532" s="1" t="str">
        <f t="shared" si="41"/>
        <v>HI</v>
      </c>
      <c r="D532" s="1" t="str">
        <f t="shared" si="42"/>
        <v>HI</v>
      </c>
      <c r="E532" s="1" t="str">
        <f t="shared" si="43"/>
        <v>HI</v>
      </c>
      <c r="F532" s="1" t="str">
        <f t="shared" si="44"/>
        <v>Complete</v>
      </c>
      <c r="G532" s="1" t="str">
        <f>IF(COUNTIF($A$2:A532,A532)&gt;1,"Duplicate","Unique")</f>
        <v>Duplicate</v>
      </c>
    </row>
    <row r="533" spans="1:7" x14ac:dyDescent="0.25">
      <c r="A533" s="1" t="str">
        <v>DE</v>
      </c>
      <c r="B533" s="1" t="str">
        <f t="shared" si="40"/>
        <v>DE</v>
      </c>
      <c r="C533" s="1" t="str">
        <f t="shared" si="41"/>
        <v>DE</v>
      </c>
      <c r="D533" s="1" t="str">
        <f t="shared" si="42"/>
        <v>DE</v>
      </c>
      <c r="E533" s="1" t="str">
        <f t="shared" si="43"/>
        <v>DE</v>
      </c>
      <c r="F533" s="1" t="str">
        <f t="shared" si="44"/>
        <v>Complete</v>
      </c>
      <c r="G533" s="1" t="str">
        <f>IF(COUNTIF($A$2:A533,A533)&gt;1,"Duplicate","Unique")</f>
        <v>Duplicate</v>
      </c>
    </row>
    <row r="534" spans="1:7" x14ac:dyDescent="0.25">
      <c r="A534" s="1" t="str">
        <v>AL</v>
      </c>
      <c r="B534" s="1" t="str">
        <f t="shared" si="40"/>
        <v>AL</v>
      </c>
      <c r="C534" s="1" t="str">
        <f t="shared" si="41"/>
        <v>AL</v>
      </c>
      <c r="D534" s="1" t="str">
        <f t="shared" si="42"/>
        <v>AL</v>
      </c>
      <c r="E534" s="1" t="str">
        <f t="shared" si="43"/>
        <v>AL</v>
      </c>
      <c r="F534" s="1" t="str">
        <f t="shared" si="44"/>
        <v>Complete</v>
      </c>
      <c r="G534" s="1" t="str">
        <f>IF(COUNTIF($A$2:A534,A534)&gt;1,"Duplicate","Unique")</f>
        <v>Duplicate</v>
      </c>
    </row>
    <row r="535" spans="1:7" x14ac:dyDescent="0.25">
      <c r="A535" s="1" t="str">
        <v>KS</v>
      </c>
      <c r="B535" s="1" t="str">
        <f t="shared" si="40"/>
        <v>KS</v>
      </c>
      <c r="C535" s="1" t="str">
        <f t="shared" si="41"/>
        <v>KS</v>
      </c>
      <c r="D535" s="1" t="str">
        <f t="shared" si="42"/>
        <v>KS</v>
      </c>
      <c r="E535" s="1" t="str">
        <f t="shared" si="43"/>
        <v>KS</v>
      </c>
      <c r="F535" s="1" t="str">
        <f t="shared" si="44"/>
        <v>Complete</v>
      </c>
      <c r="G535" s="1" t="str">
        <f>IF(COUNTIF($A$2:A535,A535)&gt;1,"Duplicate","Unique")</f>
        <v>Duplicate</v>
      </c>
    </row>
    <row r="536" spans="1:7" x14ac:dyDescent="0.25">
      <c r="A536" s="1" t="str">
        <v>AK</v>
      </c>
      <c r="B536" s="1" t="str">
        <f t="shared" si="40"/>
        <v>AK</v>
      </c>
      <c r="C536" s="1" t="str">
        <f t="shared" si="41"/>
        <v>AK</v>
      </c>
      <c r="D536" s="1" t="str">
        <f t="shared" si="42"/>
        <v>AK</v>
      </c>
      <c r="E536" s="1" t="str">
        <f t="shared" si="43"/>
        <v>AK</v>
      </c>
      <c r="F536" s="1" t="str">
        <f t="shared" si="44"/>
        <v>Complete</v>
      </c>
      <c r="G536" s="1" t="str">
        <f>IF(COUNTIF($A$2:A536,A536)&gt;1,"Duplicate","Unique")</f>
        <v>Duplicate</v>
      </c>
    </row>
    <row r="537" spans="1:7" x14ac:dyDescent="0.25">
      <c r="A537" s="1" t="str">
        <v>WI</v>
      </c>
      <c r="B537" s="1" t="str">
        <f t="shared" si="40"/>
        <v>WI</v>
      </c>
      <c r="C537" s="1" t="str">
        <f t="shared" si="41"/>
        <v>WI</v>
      </c>
      <c r="D537" s="1" t="str">
        <f t="shared" si="42"/>
        <v>WI</v>
      </c>
      <c r="E537" s="1" t="str">
        <f t="shared" si="43"/>
        <v>WI</v>
      </c>
      <c r="F537" s="1" t="str">
        <f t="shared" si="44"/>
        <v>Complete</v>
      </c>
      <c r="G537" s="1" t="str">
        <f>IF(COUNTIF($A$2:A537,A537)&gt;1,"Duplicate","Unique")</f>
        <v>Duplicate</v>
      </c>
    </row>
    <row r="538" spans="1:7" x14ac:dyDescent="0.25">
      <c r="A538" s="1" t="str">
        <v>IN</v>
      </c>
      <c r="B538" s="1" t="str">
        <f t="shared" si="40"/>
        <v>IN</v>
      </c>
      <c r="C538" s="1" t="str">
        <f t="shared" si="41"/>
        <v>IN</v>
      </c>
      <c r="D538" s="1" t="str">
        <f t="shared" si="42"/>
        <v>IN</v>
      </c>
      <c r="E538" s="1" t="str">
        <f t="shared" si="43"/>
        <v>IN</v>
      </c>
      <c r="F538" s="1" t="str">
        <f t="shared" si="44"/>
        <v>Complete</v>
      </c>
      <c r="G538" s="1" t="str">
        <f>IF(COUNTIF($A$2:A538,A538)&gt;1,"Duplicate","Unique")</f>
        <v>Duplicate</v>
      </c>
    </row>
    <row r="539" spans="1:7" x14ac:dyDescent="0.25">
      <c r="A539" s="1" t="str">
        <v>DC</v>
      </c>
      <c r="B539" s="1" t="str">
        <f t="shared" si="40"/>
        <v>DC</v>
      </c>
      <c r="C539" s="1" t="str">
        <f t="shared" si="41"/>
        <v>DC</v>
      </c>
      <c r="D539" s="1" t="str">
        <f t="shared" si="42"/>
        <v>DC</v>
      </c>
      <c r="E539" s="1" t="str">
        <f t="shared" si="43"/>
        <v>DC</v>
      </c>
      <c r="F539" s="1" t="str">
        <f t="shared" si="44"/>
        <v>Complete</v>
      </c>
      <c r="G539" s="1" t="str">
        <f>IF(COUNTIF($A$2:A539,A539)&gt;1,"Duplicate","Unique")</f>
        <v>Duplicate</v>
      </c>
    </row>
    <row r="540" spans="1:7" x14ac:dyDescent="0.25">
      <c r="A540" s="1" t="str">
        <v>MS</v>
      </c>
      <c r="B540" s="1" t="str">
        <f t="shared" si="40"/>
        <v>MS</v>
      </c>
      <c r="C540" s="1" t="str">
        <f t="shared" si="41"/>
        <v>MS</v>
      </c>
      <c r="D540" s="1" t="str">
        <f t="shared" si="42"/>
        <v>MS</v>
      </c>
      <c r="E540" s="1" t="str">
        <f t="shared" si="43"/>
        <v>MS</v>
      </c>
      <c r="F540" s="1" t="str">
        <f t="shared" si="44"/>
        <v>Complete</v>
      </c>
      <c r="G540" s="1" t="str">
        <f>IF(COUNTIF($A$2:A540,A540)&gt;1,"Duplicate","Unique")</f>
        <v>Duplicate</v>
      </c>
    </row>
    <row r="541" spans="1:7" x14ac:dyDescent="0.25">
      <c r="A541" s="1" t="str">
        <v>NH</v>
      </c>
      <c r="B541" s="1" t="str">
        <f t="shared" si="40"/>
        <v>NH</v>
      </c>
      <c r="C541" s="1" t="str">
        <f t="shared" si="41"/>
        <v>NH</v>
      </c>
      <c r="D541" s="1" t="str">
        <f t="shared" si="42"/>
        <v>NH</v>
      </c>
      <c r="E541" s="1" t="str">
        <f t="shared" si="43"/>
        <v>NH</v>
      </c>
      <c r="F541" s="1" t="str">
        <f t="shared" si="44"/>
        <v>Complete</v>
      </c>
      <c r="G541" s="1" t="str">
        <f>IF(COUNTIF($A$2:A541,A541)&gt;1,"Duplicate","Unique")</f>
        <v>Duplicate</v>
      </c>
    </row>
    <row r="542" spans="1:7" x14ac:dyDescent="0.25">
      <c r="A542" s="1" t="str">
        <v>NJ</v>
      </c>
      <c r="B542" s="1" t="str">
        <f t="shared" si="40"/>
        <v>NJ</v>
      </c>
      <c r="C542" s="1" t="str">
        <f t="shared" si="41"/>
        <v>NJ</v>
      </c>
      <c r="D542" s="1" t="str">
        <f t="shared" si="42"/>
        <v>NJ</v>
      </c>
      <c r="E542" s="1" t="str">
        <f t="shared" si="43"/>
        <v>NJ</v>
      </c>
      <c r="F542" s="1" t="str">
        <f t="shared" si="44"/>
        <v>Complete</v>
      </c>
      <c r="G542" s="1" t="str">
        <f>IF(COUNTIF($A$2:A542,A542)&gt;1,"Duplicate","Unique")</f>
        <v>Duplicate</v>
      </c>
    </row>
    <row r="543" spans="1:7" x14ac:dyDescent="0.25">
      <c r="A543" s="1" t="str">
        <v>VT</v>
      </c>
      <c r="B543" s="1" t="str">
        <f t="shared" si="40"/>
        <v>VT</v>
      </c>
      <c r="C543" s="1" t="str">
        <f t="shared" si="41"/>
        <v>VT</v>
      </c>
      <c r="D543" s="1" t="str">
        <f t="shared" si="42"/>
        <v>VT</v>
      </c>
      <c r="E543" s="1" t="str">
        <f t="shared" si="43"/>
        <v>VT</v>
      </c>
      <c r="F543" s="1" t="str">
        <f t="shared" si="44"/>
        <v>Complete</v>
      </c>
      <c r="G543" s="1" t="str">
        <f>IF(COUNTIF($A$2:A543,A543)&gt;1,"Duplicate","Unique")</f>
        <v>Duplicate</v>
      </c>
    </row>
    <row r="544" spans="1:7" x14ac:dyDescent="0.25">
      <c r="A544" s="1" t="str">
        <v>MD</v>
      </c>
      <c r="B544" s="1" t="str">
        <f t="shared" si="40"/>
        <v>MD</v>
      </c>
      <c r="C544" s="1" t="str">
        <f t="shared" si="41"/>
        <v>MD</v>
      </c>
      <c r="D544" s="1" t="str">
        <f t="shared" si="42"/>
        <v>MD</v>
      </c>
      <c r="E544" s="1" t="str">
        <f t="shared" si="43"/>
        <v>MD</v>
      </c>
      <c r="F544" s="1" t="str">
        <f t="shared" si="44"/>
        <v>Complete</v>
      </c>
      <c r="G544" s="1" t="str">
        <f>IF(COUNTIF($A$2:A544,A544)&gt;1,"Duplicate","Unique")</f>
        <v>Duplicate</v>
      </c>
    </row>
    <row r="545" spans="1:7" x14ac:dyDescent="0.25">
      <c r="A545" s="1" t="str">
        <v>KS</v>
      </c>
      <c r="B545" s="1" t="str">
        <f t="shared" si="40"/>
        <v>KS</v>
      </c>
      <c r="C545" s="1" t="str">
        <f t="shared" si="41"/>
        <v>KS</v>
      </c>
      <c r="D545" s="1" t="str">
        <f t="shared" si="42"/>
        <v>KS</v>
      </c>
      <c r="E545" s="1" t="str">
        <f t="shared" si="43"/>
        <v>KS</v>
      </c>
      <c r="F545" s="1" t="str">
        <f t="shared" si="44"/>
        <v>Complete</v>
      </c>
      <c r="G545" s="1" t="str">
        <f>IF(COUNTIF($A$2:A545,A545)&gt;1,"Duplicate","Unique")</f>
        <v>Duplicate</v>
      </c>
    </row>
    <row r="546" spans="1:7" x14ac:dyDescent="0.25">
      <c r="A546" s="1" t="str">
        <v>NH</v>
      </c>
      <c r="B546" s="1" t="str">
        <f t="shared" si="40"/>
        <v>NH</v>
      </c>
      <c r="C546" s="1" t="str">
        <f t="shared" si="41"/>
        <v>NH</v>
      </c>
      <c r="D546" s="1" t="str">
        <f t="shared" si="42"/>
        <v>NH</v>
      </c>
      <c r="E546" s="1" t="str">
        <f t="shared" si="43"/>
        <v>NH</v>
      </c>
      <c r="F546" s="1" t="str">
        <f t="shared" si="44"/>
        <v>Complete</v>
      </c>
      <c r="G546" s="1" t="str">
        <f>IF(COUNTIF($A$2:A546,A546)&gt;1,"Duplicate","Unique")</f>
        <v>Duplicate</v>
      </c>
    </row>
    <row r="547" spans="1:7" x14ac:dyDescent="0.25">
      <c r="A547" s="1" t="str">
        <v>AZ</v>
      </c>
      <c r="B547" s="1" t="str">
        <f t="shared" si="40"/>
        <v>AZ</v>
      </c>
      <c r="C547" s="1" t="str">
        <f t="shared" si="41"/>
        <v>AZ</v>
      </c>
      <c r="D547" s="1" t="str">
        <f t="shared" si="42"/>
        <v>AZ</v>
      </c>
      <c r="E547" s="1" t="str">
        <f t="shared" si="43"/>
        <v>AZ</v>
      </c>
      <c r="F547" s="1" t="str">
        <f t="shared" si="44"/>
        <v>Complete</v>
      </c>
      <c r="G547" s="1" t="str">
        <f>IF(COUNTIF($A$2:A547,A547)&gt;1,"Duplicate","Unique")</f>
        <v>Duplicate</v>
      </c>
    </row>
    <row r="548" spans="1:7" x14ac:dyDescent="0.25">
      <c r="A548" s="1" t="str">
        <v>ID</v>
      </c>
      <c r="B548" s="1" t="str">
        <f t="shared" si="40"/>
        <v>ID</v>
      </c>
      <c r="C548" s="1" t="str">
        <f t="shared" si="41"/>
        <v>ID</v>
      </c>
      <c r="D548" s="1" t="str">
        <f t="shared" si="42"/>
        <v>ID</v>
      </c>
      <c r="E548" s="1" t="str">
        <f t="shared" si="43"/>
        <v>ID</v>
      </c>
      <c r="F548" s="1" t="str">
        <f t="shared" si="44"/>
        <v>Complete</v>
      </c>
      <c r="G548" s="1" t="str">
        <f>IF(COUNTIF($A$2:A548,A548)&gt;1,"Duplicate","Unique")</f>
        <v>Duplicate</v>
      </c>
    </row>
    <row r="549" spans="1:7" x14ac:dyDescent="0.25">
      <c r="A549" s="1" t="str">
        <v>TX</v>
      </c>
      <c r="B549" s="1" t="str">
        <f t="shared" si="40"/>
        <v>TX</v>
      </c>
      <c r="C549" s="1" t="str">
        <f t="shared" si="41"/>
        <v>TX</v>
      </c>
      <c r="D549" s="1" t="str">
        <f t="shared" si="42"/>
        <v>TX</v>
      </c>
      <c r="E549" s="1" t="str">
        <f t="shared" si="43"/>
        <v>TX</v>
      </c>
      <c r="F549" s="1" t="str">
        <f t="shared" si="44"/>
        <v>Complete</v>
      </c>
      <c r="G549" s="1" t="str">
        <f>IF(COUNTIF($A$2:A549,A549)&gt;1,"Duplicate","Unique")</f>
        <v>Duplicate</v>
      </c>
    </row>
    <row r="550" spans="1:7" x14ac:dyDescent="0.25">
      <c r="A550" s="1" t="str">
        <v>RI</v>
      </c>
      <c r="B550" s="1" t="str">
        <f t="shared" si="40"/>
        <v>RI</v>
      </c>
      <c r="C550" s="1" t="str">
        <f t="shared" si="41"/>
        <v>RI</v>
      </c>
      <c r="D550" s="1" t="str">
        <f t="shared" si="42"/>
        <v>RI</v>
      </c>
      <c r="E550" s="1" t="str">
        <f t="shared" si="43"/>
        <v>RI</v>
      </c>
      <c r="F550" s="1" t="str">
        <f t="shared" si="44"/>
        <v>Complete</v>
      </c>
      <c r="G550" s="1" t="str">
        <f>IF(COUNTIF($A$2:A550,A550)&gt;1,"Duplicate","Unique")</f>
        <v>Duplicate</v>
      </c>
    </row>
    <row r="551" spans="1:7" x14ac:dyDescent="0.25">
      <c r="A551" s="1" t="str">
        <v>OR</v>
      </c>
      <c r="B551" s="1" t="str">
        <f t="shared" si="40"/>
        <v>OR</v>
      </c>
      <c r="C551" s="1" t="str">
        <f t="shared" si="41"/>
        <v>OR</v>
      </c>
      <c r="D551" s="1" t="str">
        <f t="shared" si="42"/>
        <v>OR</v>
      </c>
      <c r="E551" s="1" t="str">
        <f t="shared" si="43"/>
        <v>OR</v>
      </c>
      <c r="F551" s="1" t="str">
        <f t="shared" si="44"/>
        <v>Complete</v>
      </c>
      <c r="G551" s="1" t="str">
        <f>IF(COUNTIF($A$2:A551,A551)&gt;1,"Duplicate","Unique")</f>
        <v>Duplicate</v>
      </c>
    </row>
    <row r="552" spans="1:7" x14ac:dyDescent="0.25">
      <c r="A552" s="1" t="str">
        <v>NC</v>
      </c>
      <c r="B552" s="1" t="str">
        <f t="shared" si="40"/>
        <v>NC</v>
      </c>
      <c r="C552" s="1" t="str">
        <f t="shared" si="41"/>
        <v>NC</v>
      </c>
      <c r="D552" s="1" t="str">
        <f t="shared" si="42"/>
        <v>NC</v>
      </c>
      <c r="E552" s="1" t="str">
        <f t="shared" si="43"/>
        <v>NC</v>
      </c>
      <c r="F552" s="1" t="str">
        <f t="shared" si="44"/>
        <v>Complete</v>
      </c>
      <c r="G552" s="1" t="str">
        <f>IF(COUNTIF($A$2:A552,A552)&gt;1,"Duplicate","Unique")</f>
        <v>Duplicate</v>
      </c>
    </row>
    <row r="553" spans="1:7" x14ac:dyDescent="0.25">
      <c r="A553" s="1" t="str">
        <v>NM</v>
      </c>
      <c r="B553" s="1" t="str">
        <f t="shared" si="40"/>
        <v>NM</v>
      </c>
      <c r="C553" s="1" t="str">
        <f t="shared" si="41"/>
        <v>NM</v>
      </c>
      <c r="D553" s="1" t="str">
        <f t="shared" si="42"/>
        <v>NM</v>
      </c>
      <c r="E553" s="1" t="str">
        <f t="shared" si="43"/>
        <v>NM</v>
      </c>
      <c r="F553" s="1" t="str">
        <f t="shared" si="44"/>
        <v>Complete</v>
      </c>
      <c r="G553" s="1" t="str">
        <f>IF(COUNTIF($A$2:A553,A553)&gt;1,"Duplicate","Unique")</f>
        <v>Duplicate</v>
      </c>
    </row>
    <row r="554" spans="1:7" x14ac:dyDescent="0.25">
      <c r="A554" s="1" t="str">
        <v>SC</v>
      </c>
      <c r="B554" s="1" t="str">
        <f t="shared" si="40"/>
        <v>SC</v>
      </c>
      <c r="C554" s="1" t="str">
        <f t="shared" si="41"/>
        <v>SC</v>
      </c>
      <c r="D554" s="1" t="str">
        <f t="shared" si="42"/>
        <v>SC</v>
      </c>
      <c r="E554" s="1" t="str">
        <f t="shared" si="43"/>
        <v>SC</v>
      </c>
      <c r="F554" s="1" t="str">
        <f t="shared" si="44"/>
        <v>Complete</v>
      </c>
      <c r="G554" s="1" t="str">
        <f>IF(COUNTIF($A$2:A554,A554)&gt;1,"Duplicate","Unique")</f>
        <v>Duplicate</v>
      </c>
    </row>
    <row r="555" spans="1:7" x14ac:dyDescent="0.25">
      <c r="A555" s="1" t="str">
        <v>AZ</v>
      </c>
      <c r="B555" s="1" t="str">
        <f t="shared" si="40"/>
        <v>AZ</v>
      </c>
      <c r="C555" s="1" t="str">
        <f t="shared" si="41"/>
        <v>AZ</v>
      </c>
      <c r="D555" s="1" t="str">
        <f t="shared" si="42"/>
        <v>AZ</v>
      </c>
      <c r="E555" s="1" t="str">
        <f t="shared" si="43"/>
        <v>AZ</v>
      </c>
      <c r="F555" s="1" t="str">
        <f t="shared" si="44"/>
        <v>Complete</v>
      </c>
      <c r="G555" s="1" t="str">
        <f>IF(COUNTIF($A$2:A555,A555)&gt;1,"Duplicate","Unique")</f>
        <v>Duplicate</v>
      </c>
    </row>
    <row r="556" spans="1:7" x14ac:dyDescent="0.25">
      <c r="A556" s="1" t="str">
        <v>WV</v>
      </c>
      <c r="B556" s="1" t="str">
        <f t="shared" si="40"/>
        <v>WV</v>
      </c>
      <c r="C556" s="1" t="str">
        <f t="shared" si="41"/>
        <v>WV</v>
      </c>
      <c r="D556" s="1" t="str">
        <f t="shared" si="42"/>
        <v>WV</v>
      </c>
      <c r="E556" s="1" t="str">
        <f t="shared" si="43"/>
        <v>WV</v>
      </c>
      <c r="F556" s="1" t="str">
        <f t="shared" si="44"/>
        <v>Complete</v>
      </c>
      <c r="G556" s="1" t="str">
        <f>IF(COUNTIF($A$2:A556,A556)&gt;1,"Duplicate","Unique")</f>
        <v>Duplicate</v>
      </c>
    </row>
    <row r="557" spans="1:7" x14ac:dyDescent="0.25">
      <c r="A557" s="1" t="str">
        <v>NY</v>
      </c>
      <c r="B557" s="1" t="str">
        <f t="shared" si="40"/>
        <v>NY</v>
      </c>
      <c r="C557" s="1" t="str">
        <f t="shared" si="41"/>
        <v>NY</v>
      </c>
      <c r="D557" s="1" t="str">
        <f t="shared" si="42"/>
        <v>NY</v>
      </c>
      <c r="E557" s="1" t="str">
        <f t="shared" si="43"/>
        <v>NY</v>
      </c>
      <c r="F557" s="1" t="str">
        <f t="shared" si="44"/>
        <v>Complete</v>
      </c>
      <c r="G557" s="1" t="str">
        <f>IF(COUNTIF($A$2:A557,A557)&gt;1,"Duplicate","Unique")</f>
        <v>Duplicate</v>
      </c>
    </row>
    <row r="558" spans="1:7" x14ac:dyDescent="0.25">
      <c r="A558" s="1" t="str">
        <v>WV</v>
      </c>
      <c r="B558" s="1" t="str">
        <f t="shared" si="40"/>
        <v>WV</v>
      </c>
      <c r="C558" s="1" t="str">
        <f t="shared" si="41"/>
        <v>WV</v>
      </c>
      <c r="D558" s="1" t="str">
        <f t="shared" si="42"/>
        <v>WV</v>
      </c>
      <c r="E558" s="1" t="str">
        <f t="shared" si="43"/>
        <v>WV</v>
      </c>
      <c r="F558" s="1" t="str">
        <f t="shared" si="44"/>
        <v>Complete</v>
      </c>
      <c r="G558" s="1" t="str">
        <f>IF(COUNTIF($A$2:A558,A558)&gt;1,"Duplicate","Unique")</f>
        <v>Duplicate</v>
      </c>
    </row>
    <row r="559" spans="1:7" x14ac:dyDescent="0.25">
      <c r="A559" s="1" t="str">
        <v>NM</v>
      </c>
      <c r="B559" s="1" t="str">
        <f t="shared" si="40"/>
        <v>NM</v>
      </c>
      <c r="C559" s="1" t="str">
        <f t="shared" si="41"/>
        <v>NM</v>
      </c>
      <c r="D559" s="1" t="str">
        <f t="shared" si="42"/>
        <v>NM</v>
      </c>
      <c r="E559" s="1" t="str">
        <f t="shared" si="43"/>
        <v>NM</v>
      </c>
      <c r="F559" s="1" t="str">
        <f t="shared" si="44"/>
        <v>Complete</v>
      </c>
      <c r="G559" s="1" t="str">
        <f>IF(COUNTIF($A$2:A559,A559)&gt;1,"Duplicate","Unique")</f>
        <v>Duplicate</v>
      </c>
    </row>
    <row r="560" spans="1:7" x14ac:dyDescent="0.25">
      <c r="A560" s="1" t="str">
        <v>ME</v>
      </c>
      <c r="B560" s="1" t="str">
        <f t="shared" si="40"/>
        <v>ME</v>
      </c>
      <c r="C560" s="1" t="str">
        <f t="shared" si="41"/>
        <v>ME</v>
      </c>
      <c r="D560" s="1" t="str">
        <f t="shared" si="42"/>
        <v>ME</v>
      </c>
      <c r="E560" s="1" t="str">
        <f t="shared" si="43"/>
        <v>ME</v>
      </c>
      <c r="F560" s="1" t="str">
        <f t="shared" si="44"/>
        <v>Complete</v>
      </c>
      <c r="G560" s="1" t="str">
        <f>IF(COUNTIF($A$2:A560,A560)&gt;1,"Duplicate","Unique")</f>
        <v>Duplicate</v>
      </c>
    </row>
    <row r="561" spans="1:7" x14ac:dyDescent="0.25">
      <c r="A561" s="1" t="str">
        <v>WI</v>
      </c>
      <c r="B561" s="1" t="str">
        <f t="shared" si="40"/>
        <v>WI</v>
      </c>
      <c r="C561" s="1" t="str">
        <f t="shared" si="41"/>
        <v>WI</v>
      </c>
      <c r="D561" s="1" t="str">
        <f t="shared" si="42"/>
        <v>WI</v>
      </c>
      <c r="E561" s="1" t="str">
        <f t="shared" si="43"/>
        <v>WI</v>
      </c>
      <c r="F561" s="1" t="str">
        <f t="shared" si="44"/>
        <v>Complete</v>
      </c>
      <c r="G561" s="1" t="str">
        <f>IF(COUNTIF($A$2:A561,A561)&gt;1,"Duplicate","Unique")</f>
        <v>Duplicate</v>
      </c>
    </row>
    <row r="562" spans="1:7" x14ac:dyDescent="0.25">
      <c r="A562" s="1" t="str">
        <v>NJ</v>
      </c>
      <c r="B562" s="1" t="str">
        <f t="shared" si="40"/>
        <v>NJ</v>
      </c>
      <c r="C562" s="1" t="str">
        <f t="shared" si="41"/>
        <v>NJ</v>
      </c>
      <c r="D562" s="1" t="str">
        <f t="shared" si="42"/>
        <v>NJ</v>
      </c>
      <c r="E562" s="1" t="str">
        <f t="shared" si="43"/>
        <v>NJ</v>
      </c>
      <c r="F562" s="1" t="str">
        <f t="shared" si="44"/>
        <v>Complete</v>
      </c>
      <c r="G562" s="1" t="str">
        <f>IF(COUNTIF($A$2:A562,A562)&gt;1,"Duplicate","Unique")</f>
        <v>Duplicate</v>
      </c>
    </row>
    <row r="563" spans="1:7" x14ac:dyDescent="0.25">
      <c r="A563" s="1" t="str">
        <v>WY</v>
      </c>
      <c r="B563" s="1" t="str">
        <f t="shared" si="40"/>
        <v>WY</v>
      </c>
      <c r="C563" s="1" t="str">
        <f t="shared" si="41"/>
        <v>WY</v>
      </c>
      <c r="D563" s="1" t="str">
        <f t="shared" si="42"/>
        <v>WY</v>
      </c>
      <c r="E563" s="1" t="str">
        <f t="shared" si="43"/>
        <v>WY</v>
      </c>
      <c r="F563" s="1" t="str">
        <f t="shared" si="44"/>
        <v>Complete</v>
      </c>
      <c r="G563" s="1" t="str">
        <f>IF(COUNTIF($A$2:A563,A563)&gt;1,"Duplicate","Unique")</f>
        <v>Duplicate</v>
      </c>
    </row>
    <row r="564" spans="1:7" x14ac:dyDescent="0.25">
      <c r="A564" s="1" t="str">
        <v>AR</v>
      </c>
      <c r="B564" s="1" t="str">
        <f t="shared" si="40"/>
        <v>AR</v>
      </c>
      <c r="C564" s="1" t="str">
        <f t="shared" si="41"/>
        <v>AR</v>
      </c>
      <c r="D564" s="1" t="str">
        <f t="shared" si="42"/>
        <v>AR</v>
      </c>
      <c r="E564" s="1" t="str">
        <f t="shared" si="43"/>
        <v>AR</v>
      </c>
      <c r="F564" s="1" t="str">
        <f t="shared" si="44"/>
        <v>Complete</v>
      </c>
      <c r="G564" s="1" t="str">
        <f>IF(COUNTIF($A$2:A564,A564)&gt;1,"Duplicate","Unique")</f>
        <v>Duplicate</v>
      </c>
    </row>
    <row r="565" spans="1:7" x14ac:dyDescent="0.25">
      <c r="A565" s="1" t="str">
        <v>PA</v>
      </c>
      <c r="B565" s="1" t="str">
        <f t="shared" si="40"/>
        <v>PA</v>
      </c>
      <c r="C565" s="1" t="str">
        <f t="shared" si="41"/>
        <v>PA</v>
      </c>
      <c r="D565" s="1" t="str">
        <f t="shared" si="42"/>
        <v>PA</v>
      </c>
      <c r="E565" s="1" t="str">
        <f t="shared" si="43"/>
        <v>PA</v>
      </c>
      <c r="F565" s="1" t="str">
        <f t="shared" si="44"/>
        <v>Complete</v>
      </c>
      <c r="G565" s="1" t="str">
        <f>IF(COUNTIF($A$2:A565,A565)&gt;1,"Duplicate","Unique")</f>
        <v>Duplicate</v>
      </c>
    </row>
    <row r="566" spans="1:7" x14ac:dyDescent="0.25">
      <c r="A566" s="1" t="str">
        <v>TN</v>
      </c>
      <c r="B566" s="1" t="str">
        <f t="shared" si="40"/>
        <v>TN</v>
      </c>
      <c r="C566" s="1" t="str">
        <f t="shared" si="41"/>
        <v>TN</v>
      </c>
      <c r="D566" s="1" t="str">
        <f t="shared" si="42"/>
        <v>TN</v>
      </c>
      <c r="E566" s="1" t="str">
        <f t="shared" si="43"/>
        <v>TN</v>
      </c>
      <c r="F566" s="1" t="str">
        <f t="shared" si="44"/>
        <v>Complete</v>
      </c>
      <c r="G566" s="1" t="str">
        <f>IF(COUNTIF($A$2:A566,A566)&gt;1,"Duplicate","Unique")</f>
        <v>Duplicate</v>
      </c>
    </row>
    <row r="567" spans="1:7" x14ac:dyDescent="0.25">
      <c r="A567" s="1" t="str">
        <v>CT</v>
      </c>
      <c r="B567" s="1" t="str">
        <f t="shared" si="40"/>
        <v>CT</v>
      </c>
      <c r="C567" s="1" t="str">
        <f t="shared" si="41"/>
        <v>CT</v>
      </c>
      <c r="D567" s="1" t="str">
        <f t="shared" si="42"/>
        <v>CT</v>
      </c>
      <c r="E567" s="1" t="str">
        <f t="shared" si="43"/>
        <v>CT</v>
      </c>
      <c r="F567" s="1" t="str">
        <f t="shared" si="44"/>
        <v>Complete</v>
      </c>
      <c r="G567" s="1" t="str">
        <f>IF(COUNTIF($A$2:A567,A567)&gt;1,"Duplicate","Unique")</f>
        <v>Duplicate</v>
      </c>
    </row>
    <row r="568" spans="1:7" x14ac:dyDescent="0.25">
      <c r="A568" s="1" t="str">
        <v>MA</v>
      </c>
      <c r="B568" s="1" t="str">
        <f t="shared" si="40"/>
        <v>MA</v>
      </c>
      <c r="C568" s="1" t="str">
        <f t="shared" si="41"/>
        <v>MA</v>
      </c>
      <c r="D568" s="1" t="str">
        <f t="shared" si="42"/>
        <v>MA</v>
      </c>
      <c r="E568" s="1" t="str">
        <f t="shared" si="43"/>
        <v>MA</v>
      </c>
      <c r="F568" s="1" t="str">
        <f t="shared" si="44"/>
        <v>Complete</v>
      </c>
      <c r="G568" s="1" t="str">
        <f>IF(COUNTIF($A$2:A568,A568)&gt;1,"Duplicate","Unique")</f>
        <v>Duplicate</v>
      </c>
    </row>
    <row r="569" spans="1:7" x14ac:dyDescent="0.25">
      <c r="A569" s="1" t="str">
        <v>OH</v>
      </c>
      <c r="B569" s="1" t="str">
        <f t="shared" si="40"/>
        <v>OH</v>
      </c>
      <c r="C569" s="1" t="str">
        <f t="shared" si="41"/>
        <v>OH</v>
      </c>
      <c r="D569" s="1" t="str">
        <f t="shared" si="42"/>
        <v>OH</v>
      </c>
      <c r="E569" s="1" t="str">
        <f t="shared" si="43"/>
        <v>OH</v>
      </c>
      <c r="F569" s="1" t="str">
        <f t="shared" si="44"/>
        <v>Complete</v>
      </c>
      <c r="G569" s="1" t="str">
        <f>IF(COUNTIF($A$2:A569,A569)&gt;1,"Duplicate","Unique")</f>
        <v>Duplicate</v>
      </c>
    </row>
    <row r="570" spans="1:7" x14ac:dyDescent="0.25">
      <c r="A570" s="1" t="str">
        <v>KS</v>
      </c>
      <c r="B570" s="1" t="str">
        <f t="shared" si="40"/>
        <v>KS</v>
      </c>
      <c r="C570" s="1" t="str">
        <f t="shared" si="41"/>
        <v>KS</v>
      </c>
      <c r="D570" s="1" t="str">
        <f t="shared" si="42"/>
        <v>KS</v>
      </c>
      <c r="E570" s="1" t="str">
        <f t="shared" si="43"/>
        <v>KS</v>
      </c>
      <c r="F570" s="1" t="str">
        <f t="shared" si="44"/>
        <v>Complete</v>
      </c>
      <c r="G570" s="1" t="str">
        <f>IF(COUNTIF($A$2:A570,A570)&gt;1,"Duplicate","Unique")</f>
        <v>Duplicate</v>
      </c>
    </row>
    <row r="571" spans="1:7" x14ac:dyDescent="0.25">
      <c r="A571" s="1" t="str">
        <v>OK</v>
      </c>
      <c r="B571" s="1" t="str">
        <f t="shared" si="40"/>
        <v>OK</v>
      </c>
      <c r="C571" s="1" t="str">
        <f t="shared" si="41"/>
        <v>OK</v>
      </c>
      <c r="D571" s="1" t="str">
        <f t="shared" si="42"/>
        <v>OK</v>
      </c>
      <c r="E571" s="1" t="str">
        <f t="shared" si="43"/>
        <v>OK</v>
      </c>
      <c r="F571" s="1" t="str">
        <f t="shared" si="44"/>
        <v>Complete</v>
      </c>
      <c r="G571" s="1" t="str">
        <f>IF(COUNTIF($A$2:A571,A571)&gt;1,"Duplicate","Unique")</f>
        <v>Duplicate</v>
      </c>
    </row>
    <row r="572" spans="1:7" x14ac:dyDescent="0.25">
      <c r="A572" s="1" t="str">
        <v>UT</v>
      </c>
      <c r="B572" s="1" t="str">
        <f t="shared" si="40"/>
        <v>UT</v>
      </c>
      <c r="C572" s="1" t="str">
        <f t="shared" si="41"/>
        <v>UT</v>
      </c>
      <c r="D572" s="1" t="str">
        <f t="shared" si="42"/>
        <v>UT</v>
      </c>
      <c r="E572" s="1" t="str">
        <f t="shared" si="43"/>
        <v>UT</v>
      </c>
      <c r="F572" s="1" t="str">
        <f t="shared" si="44"/>
        <v>Complete</v>
      </c>
      <c r="G572" s="1" t="str">
        <f>IF(COUNTIF($A$2:A572,A572)&gt;1,"Duplicate","Unique")</f>
        <v>Duplicate</v>
      </c>
    </row>
    <row r="573" spans="1:7" x14ac:dyDescent="0.25">
      <c r="A573" s="1" t="str">
        <v>OH</v>
      </c>
      <c r="B573" s="1" t="str">
        <f t="shared" si="40"/>
        <v>OH</v>
      </c>
      <c r="C573" s="1" t="str">
        <f t="shared" si="41"/>
        <v>OH</v>
      </c>
      <c r="D573" s="1" t="str">
        <f t="shared" si="42"/>
        <v>OH</v>
      </c>
      <c r="E573" s="1" t="str">
        <f t="shared" si="43"/>
        <v>OH</v>
      </c>
      <c r="F573" s="1" t="str">
        <f t="shared" si="44"/>
        <v>Complete</v>
      </c>
      <c r="G573" s="1" t="str">
        <f>IF(COUNTIF($A$2:A573,A573)&gt;1,"Duplicate","Unique")</f>
        <v>Duplicate</v>
      </c>
    </row>
    <row r="574" spans="1:7" x14ac:dyDescent="0.25">
      <c r="A574" s="1" t="str">
        <v>WA</v>
      </c>
      <c r="B574" s="1" t="str">
        <f t="shared" si="40"/>
        <v>WA</v>
      </c>
      <c r="C574" s="1" t="str">
        <f t="shared" si="41"/>
        <v>WA</v>
      </c>
      <c r="D574" s="1" t="str">
        <f t="shared" si="42"/>
        <v>WA</v>
      </c>
      <c r="E574" s="1" t="str">
        <f t="shared" si="43"/>
        <v>WA</v>
      </c>
      <c r="F574" s="1" t="str">
        <f t="shared" si="44"/>
        <v>Complete</v>
      </c>
      <c r="G574" s="1" t="str">
        <f>IF(COUNTIF($A$2:A574,A574)&gt;1,"Duplicate","Unique")</f>
        <v>Duplicate</v>
      </c>
    </row>
    <row r="575" spans="1:7" x14ac:dyDescent="0.25">
      <c r="A575" s="1" t="str">
        <v>IN</v>
      </c>
      <c r="B575" s="1" t="str">
        <f t="shared" si="40"/>
        <v>IN</v>
      </c>
      <c r="C575" s="1" t="str">
        <f t="shared" si="41"/>
        <v>IN</v>
      </c>
      <c r="D575" s="1" t="str">
        <f t="shared" si="42"/>
        <v>IN</v>
      </c>
      <c r="E575" s="1" t="str">
        <f t="shared" si="43"/>
        <v>IN</v>
      </c>
      <c r="F575" s="1" t="str">
        <f t="shared" si="44"/>
        <v>Complete</v>
      </c>
      <c r="G575" s="1" t="str">
        <f>IF(COUNTIF($A$2:A575,A575)&gt;1,"Duplicate","Unique")</f>
        <v>Duplicate</v>
      </c>
    </row>
    <row r="576" spans="1:7" x14ac:dyDescent="0.25">
      <c r="A576" s="1" t="str">
        <v>NE</v>
      </c>
      <c r="B576" s="1" t="str">
        <f t="shared" si="40"/>
        <v>NE</v>
      </c>
      <c r="C576" s="1" t="str">
        <f t="shared" si="41"/>
        <v>NE</v>
      </c>
      <c r="D576" s="1" t="str">
        <f t="shared" si="42"/>
        <v>NE</v>
      </c>
      <c r="E576" s="1" t="str">
        <f t="shared" si="43"/>
        <v>NE</v>
      </c>
      <c r="F576" s="1" t="str">
        <f t="shared" si="44"/>
        <v>Complete</v>
      </c>
      <c r="G576" s="1" t="str">
        <f>IF(COUNTIF($A$2:A576,A576)&gt;1,"Duplicate","Unique")</f>
        <v>Duplicate</v>
      </c>
    </row>
    <row r="577" spans="1:7" x14ac:dyDescent="0.25">
      <c r="A577" s="1" t="str">
        <v>AL</v>
      </c>
      <c r="B577" s="1" t="str">
        <f t="shared" si="40"/>
        <v>AL</v>
      </c>
      <c r="C577" s="1" t="str">
        <f t="shared" si="41"/>
        <v>AL</v>
      </c>
      <c r="D577" s="1" t="str">
        <f t="shared" si="42"/>
        <v>AL</v>
      </c>
      <c r="E577" s="1" t="str">
        <f t="shared" si="43"/>
        <v>AL</v>
      </c>
      <c r="F577" s="1" t="str">
        <f t="shared" si="44"/>
        <v>Complete</v>
      </c>
      <c r="G577" s="1" t="str">
        <f>IF(COUNTIF($A$2:A577,A577)&gt;1,"Duplicate","Unique")</f>
        <v>Duplicate</v>
      </c>
    </row>
    <row r="578" spans="1:7" x14ac:dyDescent="0.25">
      <c r="A578" s="1" t="str">
        <v>PA</v>
      </c>
      <c r="B578" s="1" t="str">
        <f t="shared" si="40"/>
        <v>PA</v>
      </c>
      <c r="C578" s="1" t="str">
        <f t="shared" si="41"/>
        <v>PA</v>
      </c>
      <c r="D578" s="1" t="str">
        <f t="shared" si="42"/>
        <v>PA</v>
      </c>
      <c r="E578" s="1" t="str">
        <f t="shared" si="43"/>
        <v>PA</v>
      </c>
      <c r="F578" s="1" t="str">
        <f t="shared" si="44"/>
        <v>Complete</v>
      </c>
      <c r="G578" s="1" t="str">
        <f>IF(COUNTIF($A$2:A578,A578)&gt;1,"Duplicate","Unique")</f>
        <v>Duplicate</v>
      </c>
    </row>
    <row r="579" spans="1:7" x14ac:dyDescent="0.25">
      <c r="A579" s="1" t="str">
        <v>OR</v>
      </c>
      <c r="B579" s="1" t="str">
        <f t="shared" ref="B579:B642" si="45">TRIM(A579)</f>
        <v>OR</v>
      </c>
      <c r="C579" s="1" t="str">
        <f t="shared" ref="C579:C642" si="46">CLEAN(A579)</f>
        <v>OR</v>
      </c>
      <c r="D579" s="1" t="str">
        <f t="shared" ref="D579:D642" si="47">TRIM(CLEAN(A579))</f>
        <v>OR</v>
      </c>
      <c r="E579" s="1" t="str">
        <f t="shared" ref="E579:E642" si="48">SUBSTITUTE(D579," ","")</f>
        <v>OR</v>
      </c>
      <c r="F579" s="1" t="str">
        <f t="shared" ref="F579:F642" si="49">IF(ISBLANK(A579),"Missing","Complete")</f>
        <v>Complete</v>
      </c>
      <c r="G579" s="1" t="str">
        <f>IF(COUNTIF($A$2:A579,A579)&gt;1,"Duplicate","Unique")</f>
        <v>Duplicate</v>
      </c>
    </row>
    <row r="580" spans="1:7" x14ac:dyDescent="0.25">
      <c r="A580" s="1" t="str">
        <v>MN</v>
      </c>
      <c r="B580" s="1" t="str">
        <f t="shared" si="45"/>
        <v>MN</v>
      </c>
      <c r="C580" s="1" t="str">
        <f t="shared" si="46"/>
        <v>MN</v>
      </c>
      <c r="D580" s="1" t="str">
        <f t="shared" si="47"/>
        <v>MN</v>
      </c>
      <c r="E580" s="1" t="str">
        <f t="shared" si="48"/>
        <v>MN</v>
      </c>
      <c r="F580" s="1" t="str">
        <f t="shared" si="49"/>
        <v>Complete</v>
      </c>
      <c r="G580" s="1" t="str">
        <f>IF(COUNTIF($A$2:A580,A580)&gt;1,"Duplicate","Unique")</f>
        <v>Duplicate</v>
      </c>
    </row>
    <row r="581" spans="1:7" x14ac:dyDescent="0.25">
      <c r="A581" s="1" t="str">
        <v>GA</v>
      </c>
      <c r="B581" s="1" t="str">
        <f t="shared" si="45"/>
        <v>GA</v>
      </c>
      <c r="C581" s="1" t="str">
        <f t="shared" si="46"/>
        <v>GA</v>
      </c>
      <c r="D581" s="1" t="str">
        <f t="shared" si="47"/>
        <v>GA</v>
      </c>
      <c r="E581" s="1" t="str">
        <f t="shared" si="48"/>
        <v>GA</v>
      </c>
      <c r="F581" s="1" t="str">
        <f t="shared" si="49"/>
        <v>Complete</v>
      </c>
      <c r="G581" s="1" t="str">
        <f>IF(COUNTIF($A$2:A581,A581)&gt;1,"Duplicate","Unique")</f>
        <v>Duplicate</v>
      </c>
    </row>
    <row r="582" spans="1:7" x14ac:dyDescent="0.25">
      <c r="A582" s="1" t="str">
        <v>TX</v>
      </c>
      <c r="B582" s="1" t="str">
        <f t="shared" si="45"/>
        <v>TX</v>
      </c>
      <c r="C582" s="1" t="str">
        <f t="shared" si="46"/>
        <v>TX</v>
      </c>
      <c r="D582" s="1" t="str">
        <f t="shared" si="47"/>
        <v>TX</v>
      </c>
      <c r="E582" s="1" t="str">
        <f t="shared" si="48"/>
        <v>TX</v>
      </c>
      <c r="F582" s="1" t="str">
        <f t="shared" si="49"/>
        <v>Complete</v>
      </c>
      <c r="G582" s="1" t="str">
        <f>IF(COUNTIF($A$2:A582,A582)&gt;1,"Duplicate","Unique")</f>
        <v>Duplicate</v>
      </c>
    </row>
    <row r="583" spans="1:7" x14ac:dyDescent="0.25">
      <c r="A583" s="1" t="str">
        <v>NM</v>
      </c>
      <c r="B583" s="1" t="str">
        <f t="shared" si="45"/>
        <v>NM</v>
      </c>
      <c r="C583" s="1" t="str">
        <f t="shared" si="46"/>
        <v>NM</v>
      </c>
      <c r="D583" s="1" t="str">
        <f t="shared" si="47"/>
        <v>NM</v>
      </c>
      <c r="E583" s="1" t="str">
        <f t="shared" si="48"/>
        <v>NM</v>
      </c>
      <c r="F583" s="1" t="str">
        <f t="shared" si="49"/>
        <v>Complete</v>
      </c>
      <c r="G583" s="1" t="str">
        <f>IF(COUNTIF($A$2:A583,A583)&gt;1,"Duplicate","Unique")</f>
        <v>Duplicate</v>
      </c>
    </row>
    <row r="584" spans="1:7" x14ac:dyDescent="0.25">
      <c r="A584" s="1" t="str">
        <v>NC</v>
      </c>
      <c r="B584" s="1" t="str">
        <f t="shared" si="45"/>
        <v>NC</v>
      </c>
      <c r="C584" s="1" t="str">
        <f t="shared" si="46"/>
        <v>NC</v>
      </c>
      <c r="D584" s="1" t="str">
        <f t="shared" si="47"/>
        <v>NC</v>
      </c>
      <c r="E584" s="1" t="str">
        <f t="shared" si="48"/>
        <v>NC</v>
      </c>
      <c r="F584" s="1" t="str">
        <f t="shared" si="49"/>
        <v>Complete</v>
      </c>
      <c r="G584" s="1" t="str">
        <f>IF(COUNTIF($A$2:A584,A584)&gt;1,"Duplicate","Unique")</f>
        <v>Duplicate</v>
      </c>
    </row>
    <row r="585" spans="1:7" x14ac:dyDescent="0.25">
      <c r="A585" s="1" t="str">
        <v>ID</v>
      </c>
      <c r="B585" s="1" t="str">
        <f t="shared" si="45"/>
        <v>ID</v>
      </c>
      <c r="C585" s="1" t="str">
        <f t="shared" si="46"/>
        <v>ID</v>
      </c>
      <c r="D585" s="1" t="str">
        <f t="shared" si="47"/>
        <v>ID</v>
      </c>
      <c r="E585" s="1" t="str">
        <f t="shared" si="48"/>
        <v>ID</v>
      </c>
      <c r="F585" s="1" t="str">
        <f t="shared" si="49"/>
        <v>Complete</v>
      </c>
      <c r="G585" s="1" t="str">
        <f>IF(COUNTIF($A$2:A585,A585)&gt;1,"Duplicate","Unique")</f>
        <v>Duplicate</v>
      </c>
    </row>
    <row r="586" spans="1:7" x14ac:dyDescent="0.25">
      <c r="A586" s="1" t="str">
        <v>WI</v>
      </c>
      <c r="B586" s="1" t="str">
        <f t="shared" si="45"/>
        <v>WI</v>
      </c>
      <c r="C586" s="1" t="str">
        <f t="shared" si="46"/>
        <v>WI</v>
      </c>
      <c r="D586" s="1" t="str">
        <f t="shared" si="47"/>
        <v>WI</v>
      </c>
      <c r="E586" s="1" t="str">
        <f t="shared" si="48"/>
        <v>WI</v>
      </c>
      <c r="F586" s="1" t="str">
        <f t="shared" si="49"/>
        <v>Complete</v>
      </c>
      <c r="G586" s="1" t="str">
        <f>IF(COUNTIF($A$2:A586,A586)&gt;1,"Duplicate","Unique")</f>
        <v>Duplicate</v>
      </c>
    </row>
    <row r="587" spans="1:7" x14ac:dyDescent="0.25">
      <c r="A587" s="1" t="str">
        <v>SC</v>
      </c>
      <c r="B587" s="1" t="str">
        <f t="shared" si="45"/>
        <v>SC</v>
      </c>
      <c r="C587" s="1" t="str">
        <f t="shared" si="46"/>
        <v>SC</v>
      </c>
      <c r="D587" s="1" t="str">
        <f t="shared" si="47"/>
        <v>SC</v>
      </c>
      <c r="E587" s="1" t="str">
        <f t="shared" si="48"/>
        <v>SC</v>
      </c>
      <c r="F587" s="1" t="str">
        <f t="shared" si="49"/>
        <v>Complete</v>
      </c>
      <c r="G587" s="1" t="str">
        <f>IF(COUNTIF($A$2:A587,A587)&gt;1,"Duplicate","Unique")</f>
        <v>Duplicate</v>
      </c>
    </row>
    <row r="588" spans="1:7" x14ac:dyDescent="0.25">
      <c r="A588" s="1" t="str">
        <v>NV</v>
      </c>
      <c r="B588" s="1" t="str">
        <f t="shared" si="45"/>
        <v>NV</v>
      </c>
      <c r="C588" s="1" t="str">
        <f t="shared" si="46"/>
        <v>NV</v>
      </c>
      <c r="D588" s="1" t="str">
        <f t="shared" si="47"/>
        <v>NV</v>
      </c>
      <c r="E588" s="1" t="str">
        <f t="shared" si="48"/>
        <v>NV</v>
      </c>
      <c r="F588" s="1" t="str">
        <f t="shared" si="49"/>
        <v>Complete</v>
      </c>
      <c r="G588" s="1" t="str">
        <f>IF(COUNTIF($A$2:A588,A588)&gt;1,"Duplicate","Unique")</f>
        <v>Duplicate</v>
      </c>
    </row>
    <row r="589" spans="1:7" x14ac:dyDescent="0.25">
      <c r="A589" s="1" t="str">
        <v>NE</v>
      </c>
      <c r="B589" s="1" t="str">
        <f t="shared" si="45"/>
        <v>NE</v>
      </c>
      <c r="C589" s="1" t="str">
        <f t="shared" si="46"/>
        <v>NE</v>
      </c>
      <c r="D589" s="1" t="str">
        <f t="shared" si="47"/>
        <v>NE</v>
      </c>
      <c r="E589" s="1" t="str">
        <f t="shared" si="48"/>
        <v>NE</v>
      </c>
      <c r="F589" s="1" t="str">
        <f t="shared" si="49"/>
        <v>Complete</v>
      </c>
      <c r="G589" s="1" t="str">
        <f>IF(COUNTIF($A$2:A589,A589)&gt;1,"Duplicate","Unique")</f>
        <v>Duplicate</v>
      </c>
    </row>
    <row r="590" spans="1:7" x14ac:dyDescent="0.25">
      <c r="A590" s="1" t="str">
        <v>UT</v>
      </c>
      <c r="B590" s="1" t="str">
        <f t="shared" si="45"/>
        <v>UT</v>
      </c>
      <c r="C590" s="1" t="str">
        <f t="shared" si="46"/>
        <v>UT</v>
      </c>
      <c r="D590" s="1" t="str">
        <f t="shared" si="47"/>
        <v>UT</v>
      </c>
      <c r="E590" s="1" t="str">
        <f t="shared" si="48"/>
        <v>UT</v>
      </c>
      <c r="F590" s="1" t="str">
        <f t="shared" si="49"/>
        <v>Complete</v>
      </c>
      <c r="G590" s="1" t="str">
        <f>IF(COUNTIF($A$2:A590,A590)&gt;1,"Duplicate","Unique")</f>
        <v>Duplicate</v>
      </c>
    </row>
    <row r="591" spans="1:7" x14ac:dyDescent="0.25">
      <c r="A591" s="1" t="str">
        <v>HI</v>
      </c>
      <c r="B591" s="1" t="str">
        <f t="shared" si="45"/>
        <v>HI</v>
      </c>
      <c r="C591" s="1" t="str">
        <f t="shared" si="46"/>
        <v>HI</v>
      </c>
      <c r="D591" s="1" t="str">
        <f t="shared" si="47"/>
        <v>HI</v>
      </c>
      <c r="E591" s="1" t="str">
        <f t="shared" si="48"/>
        <v>HI</v>
      </c>
      <c r="F591" s="1" t="str">
        <f t="shared" si="49"/>
        <v>Complete</v>
      </c>
      <c r="G591" s="1" t="str">
        <f>IF(COUNTIF($A$2:A591,A591)&gt;1,"Duplicate","Unique")</f>
        <v>Duplicate</v>
      </c>
    </row>
    <row r="592" spans="1:7" x14ac:dyDescent="0.25">
      <c r="A592" s="1" t="str">
        <v>MI</v>
      </c>
      <c r="B592" s="1" t="str">
        <f t="shared" si="45"/>
        <v>MI</v>
      </c>
      <c r="C592" s="1" t="str">
        <f t="shared" si="46"/>
        <v>MI</v>
      </c>
      <c r="D592" s="1" t="str">
        <f t="shared" si="47"/>
        <v>MI</v>
      </c>
      <c r="E592" s="1" t="str">
        <f t="shared" si="48"/>
        <v>MI</v>
      </c>
      <c r="F592" s="1" t="str">
        <f t="shared" si="49"/>
        <v>Complete</v>
      </c>
      <c r="G592" s="1" t="str">
        <f>IF(COUNTIF($A$2:A592,A592)&gt;1,"Duplicate","Unique")</f>
        <v>Duplicate</v>
      </c>
    </row>
    <row r="593" spans="1:7" x14ac:dyDescent="0.25">
      <c r="A593" s="1" t="str">
        <v>MO</v>
      </c>
      <c r="B593" s="1" t="str">
        <f t="shared" si="45"/>
        <v>MO</v>
      </c>
      <c r="C593" s="1" t="str">
        <f t="shared" si="46"/>
        <v>MO</v>
      </c>
      <c r="D593" s="1" t="str">
        <f t="shared" si="47"/>
        <v>MO</v>
      </c>
      <c r="E593" s="1" t="str">
        <f t="shared" si="48"/>
        <v>MO</v>
      </c>
      <c r="F593" s="1" t="str">
        <f t="shared" si="49"/>
        <v>Complete</v>
      </c>
      <c r="G593" s="1" t="str">
        <f>IF(COUNTIF($A$2:A593,A593)&gt;1,"Duplicate","Unique")</f>
        <v>Duplicate</v>
      </c>
    </row>
    <row r="594" spans="1:7" x14ac:dyDescent="0.25">
      <c r="A594" s="1" t="str">
        <v>AL</v>
      </c>
      <c r="B594" s="1" t="str">
        <f t="shared" si="45"/>
        <v>AL</v>
      </c>
      <c r="C594" s="1" t="str">
        <f t="shared" si="46"/>
        <v>AL</v>
      </c>
      <c r="D594" s="1" t="str">
        <f t="shared" si="47"/>
        <v>AL</v>
      </c>
      <c r="E594" s="1" t="str">
        <f t="shared" si="48"/>
        <v>AL</v>
      </c>
      <c r="F594" s="1" t="str">
        <f t="shared" si="49"/>
        <v>Complete</v>
      </c>
      <c r="G594" s="1" t="str">
        <f>IF(COUNTIF($A$2:A594,A594)&gt;1,"Duplicate","Unique")</f>
        <v>Duplicate</v>
      </c>
    </row>
    <row r="595" spans="1:7" x14ac:dyDescent="0.25">
      <c r="A595" s="1" t="str">
        <v>VT</v>
      </c>
      <c r="B595" s="1" t="str">
        <f t="shared" si="45"/>
        <v>VT</v>
      </c>
      <c r="C595" s="1" t="str">
        <f t="shared" si="46"/>
        <v>VT</v>
      </c>
      <c r="D595" s="1" t="str">
        <f t="shared" si="47"/>
        <v>VT</v>
      </c>
      <c r="E595" s="1" t="str">
        <f t="shared" si="48"/>
        <v>VT</v>
      </c>
      <c r="F595" s="1" t="str">
        <f t="shared" si="49"/>
        <v>Complete</v>
      </c>
      <c r="G595" s="1" t="str">
        <f>IF(COUNTIF($A$2:A595,A595)&gt;1,"Duplicate","Unique")</f>
        <v>Duplicate</v>
      </c>
    </row>
    <row r="596" spans="1:7" x14ac:dyDescent="0.25">
      <c r="A596" s="1" t="str">
        <v>VA</v>
      </c>
      <c r="B596" s="1" t="str">
        <f t="shared" si="45"/>
        <v>VA</v>
      </c>
      <c r="C596" s="1" t="str">
        <f t="shared" si="46"/>
        <v>VA</v>
      </c>
      <c r="D596" s="1" t="str">
        <f t="shared" si="47"/>
        <v>VA</v>
      </c>
      <c r="E596" s="1" t="str">
        <f t="shared" si="48"/>
        <v>VA</v>
      </c>
      <c r="F596" s="1" t="str">
        <f t="shared" si="49"/>
        <v>Complete</v>
      </c>
      <c r="G596" s="1" t="str">
        <f>IF(COUNTIF($A$2:A596,A596)&gt;1,"Duplicate","Unique")</f>
        <v>Duplicate</v>
      </c>
    </row>
    <row r="597" spans="1:7" x14ac:dyDescent="0.25">
      <c r="A597" s="1" t="str">
        <v>RI</v>
      </c>
      <c r="B597" s="1" t="str">
        <f t="shared" si="45"/>
        <v>RI</v>
      </c>
      <c r="C597" s="1" t="str">
        <f t="shared" si="46"/>
        <v>RI</v>
      </c>
      <c r="D597" s="1" t="str">
        <f t="shared" si="47"/>
        <v>RI</v>
      </c>
      <c r="E597" s="1" t="str">
        <f t="shared" si="48"/>
        <v>RI</v>
      </c>
      <c r="F597" s="1" t="str">
        <f t="shared" si="49"/>
        <v>Complete</v>
      </c>
      <c r="G597" s="1" t="str">
        <f>IF(COUNTIF($A$2:A597,A597)&gt;1,"Duplicate","Unique")</f>
        <v>Duplicate</v>
      </c>
    </row>
    <row r="598" spans="1:7" x14ac:dyDescent="0.25">
      <c r="A598" s="1" t="str">
        <v>MD</v>
      </c>
      <c r="B598" s="1" t="str">
        <f t="shared" si="45"/>
        <v>MD</v>
      </c>
      <c r="C598" s="1" t="str">
        <f t="shared" si="46"/>
        <v>MD</v>
      </c>
      <c r="D598" s="1" t="str">
        <f t="shared" si="47"/>
        <v>MD</v>
      </c>
      <c r="E598" s="1" t="str">
        <f t="shared" si="48"/>
        <v>MD</v>
      </c>
      <c r="F598" s="1" t="str">
        <f t="shared" si="49"/>
        <v>Complete</v>
      </c>
      <c r="G598" s="1" t="str">
        <f>IF(COUNTIF($A$2:A598,A598)&gt;1,"Duplicate","Unique")</f>
        <v>Duplicate</v>
      </c>
    </row>
    <row r="599" spans="1:7" x14ac:dyDescent="0.25">
      <c r="A599" s="1" t="str">
        <v>OH</v>
      </c>
      <c r="B599" s="1" t="str">
        <f t="shared" si="45"/>
        <v>OH</v>
      </c>
      <c r="C599" s="1" t="str">
        <f t="shared" si="46"/>
        <v>OH</v>
      </c>
      <c r="D599" s="1" t="str">
        <f t="shared" si="47"/>
        <v>OH</v>
      </c>
      <c r="E599" s="1" t="str">
        <f t="shared" si="48"/>
        <v>OH</v>
      </c>
      <c r="F599" s="1" t="str">
        <f t="shared" si="49"/>
        <v>Complete</v>
      </c>
      <c r="G599" s="1" t="str">
        <f>IF(COUNTIF($A$2:A599,A599)&gt;1,"Duplicate","Unique")</f>
        <v>Duplicate</v>
      </c>
    </row>
    <row r="600" spans="1:7" x14ac:dyDescent="0.25">
      <c r="A600" s="1" t="str">
        <v>CO</v>
      </c>
      <c r="B600" s="1" t="str">
        <f t="shared" si="45"/>
        <v>CO</v>
      </c>
      <c r="C600" s="1" t="str">
        <f t="shared" si="46"/>
        <v>CO</v>
      </c>
      <c r="D600" s="1" t="str">
        <f t="shared" si="47"/>
        <v>CO</v>
      </c>
      <c r="E600" s="1" t="str">
        <f t="shared" si="48"/>
        <v>CO</v>
      </c>
      <c r="F600" s="1" t="str">
        <f t="shared" si="49"/>
        <v>Complete</v>
      </c>
      <c r="G600" s="1" t="str">
        <f>IF(COUNTIF($A$2:A600,A600)&gt;1,"Duplicate","Unique")</f>
        <v>Duplicate</v>
      </c>
    </row>
    <row r="601" spans="1:7" x14ac:dyDescent="0.25">
      <c r="A601" s="1" t="str">
        <v>UT</v>
      </c>
      <c r="B601" s="1" t="str">
        <f t="shared" si="45"/>
        <v>UT</v>
      </c>
      <c r="C601" s="1" t="str">
        <f t="shared" si="46"/>
        <v>UT</v>
      </c>
      <c r="D601" s="1" t="str">
        <f t="shared" si="47"/>
        <v>UT</v>
      </c>
      <c r="E601" s="1" t="str">
        <f t="shared" si="48"/>
        <v>UT</v>
      </c>
      <c r="F601" s="1" t="str">
        <f t="shared" si="49"/>
        <v>Complete</v>
      </c>
      <c r="G601" s="1" t="str">
        <f>IF(COUNTIF($A$2:A601,A601)&gt;1,"Duplicate","Unique")</f>
        <v>Duplicate</v>
      </c>
    </row>
    <row r="602" spans="1:7" x14ac:dyDescent="0.25">
      <c r="A602" s="1" t="str">
        <v>CO</v>
      </c>
      <c r="B602" s="1" t="str">
        <f t="shared" si="45"/>
        <v>CO</v>
      </c>
      <c r="C602" s="1" t="str">
        <f t="shared" si="46"/>
        <v>CO</v>
      </c>
      <c r="D602" s="1" t="str">
        <f t="shared" si="47"/>
        <v>CO</v>
      </c>
      <c r="E602" s="1" t="str">
        <f t="shared" si="48"/>
        <v>CO</v>
      </c>
      <c r="F602" s="1" t="str">
        <f t="shared" si="49"/>
        <v>Complete</v>
      </c>
      <c r="G602" s="1" t="str">
        <f>IF(COUNTIF($A$2:A602,A602)&gt;1,"Duplicate","Unique")</f>
        <v>Duplicate</v>
      </c>
    </row>
    <row r="603" spans="1:7" x14ac:dyDescent="0.25">
      <c r="A603" s="1" t="str">
        <v>KY</v>
      </c>
      <c r="B603" s="1" t="str">
        <f t="shared" si="45"/>
        <v>KY</v>
      </c>
      <c r="C603" s="1" t="str">
        <f t="shared" si="46"/>
        <v>KY</v>
      </c>
      <c r="D603" s="1" t="str">
        <f t="shared" si="47"/>
        <v>KY</v>
      </c>
      <c r="E603" s="1" t="str">
        <f t="shared" si="48"/>
        <v>KY</v>
      </c>
      <c r="F603" s="1" t="str">
        <f t="shared" si="49"/>
        <v>Complete</v>
      </c>
      <c r="G603" s="1" t="str">
        <f>IF(COUNTIF($A$2:A603,A603)&gt;1,"Duplicate","Unique")</f>
        <v>Duplicate</v>
      </c>
    </row>
    <row r="604" spans="1:7" x14ac:dyDescent="0.25">
      <c r="A604" s="1" t="str">
        <v>DC</v>
      </c>
      <c r="B604" s="1" t="str">
        <f t="shared" si="45"/>
        <v>DC</v>
      </c>
      <c r="C604" s="1" t="str">
        <f t="shared" si="46"/>
        <v>DC</v>
      </c>
      <c r="D604" s="1" t="str">
        <f t="shared" si="47"/>
        <v>DC</v>
      </c>
      <c r="E604" s="1" t="str">
        <f t="shared" si="48"/>
        <v>DC</v>
      </c>
      <c r="F604" s="1" t="str">
        <f t="shared" si="49"/>
        <v>Complete</v>
      </c>
      <c r="G604" s="1" t="str">
        <f>IF(COUNTIF($A$2:A604,A604)&gt;1,"Duplicate","Unique")</f>
        <v>Duplicate</v>
      </c>
    </row>
    <row r="605" spans="1:7" x14ac:dyDescent="0.25">
      <c r="A605" s="1" t="str">
        <v>MA</v>
      </c>
      <c r="B605" s="1" t="str">
        <f t="shared" si="45"/>
        <v>MA</v>
      </c>
      <c r="C605" s="1" t="str">
        <f t="shared" si="46"/>
        <v>MA</v>
      </c>
      <c r="D605" s="1" t="str">
        <f t="shared" si="47"/>
        <v>MA</v>
      </c>
      <c r="E605" s="1" t="str">
        <f t="shared" si="48"/>
        <v>MA</v>
      </c>
      <c r="F605" s="1" t="str">
        <f t="shared" si="49"/>
        <v>Complete</v>
      </c>
      <c r="G605" s="1" t="str">
        <f>IF(COUNTIF($A$2:A605,A605)&gt;1,"Duplicate","Unique")</f>
        <v>Duplicate</v>
      </c>
    </row>
    <row r="606" spans="1:7" x14ac:dyDescent="0.25">
      <c r="A606" s="1" t="str">
        <v>AZ</v>
      </c>
      <c r="B606" s="1" t="str">
        <f t="shared" si="45"/>
        <v>AZ</v>
      </c>
      <c r="C606" s="1" t="str">
        <f t="shared" si="46"/>
        <v>AZ</v>
      </c>
      <c r="D606" s="1" t="str">
        <f t="shared" si="47"/>
        <v>AZ</v>
      </c>
      <c r="E606" s="1" t="str">
        <f t="shared" si="48"/>
        <v>AZ</v>
      </c>
      <c r="F606" s="1" t="str">
        <f t="shared" si="49"/>
        <v>Complete</v>
      </c>
      <c r="G606" s="1" t="str">
        <f>IF(COUNTIF($A$2:A606,A606)&gt;1,"Duplicate","Unique")</f>
        <v>Duplicate</v>
      </c>
    </row>
    <row r="607" spans="1:7" x14ac:dyDescent="0.25">
      <c r="A607" s="1" t="str">
        <v>IL</v>
      </c>
      <c r="B607" s="1" t="str">
        <f t="shared" si="45"/>
        <v>IL</v>
      </c>
      <c r="C607" s="1" t="str">
        <f t="shared" si="46"/>
        <v>IL</v>
      </c>
      <c r="D607" s="1" t="str">
        <f t="shared" si="47"/>
        <v>IL</v>
      </c>
      <c r="E607" s="1" t="str">
        <f t="shared" si="48"/>
        <v>IL</v>
      </c>
      <c r="F607" s="1" t="str">
        <f t="shared" si="49"/>
        <v>Complete</v>
      </c>
      <c r="G607" s="1" t="str">
        <f>IF(COUNTIF($A$2:A607,A607)&gt;1,"Duplicate","Unique")</f>
        <v>Duplicate</v>
      </c>
    </row>
    <row r="608" spans="1:7" x14ac:dyDescent="0.25">
      <c r="A608" s="1" t="str">
        <v>CO</v>
      </c>
      <c r="B608" s="1" t="str">
        <f t="shared" si="45"/>
        <v>CO</v>
      </c>
      <c r="C608" s="1" t="str">
        <f t="shared" si="46"/>
        <v>CO</v>
      </c>
      <c r="D608" s="1" t="str">
        <f t="shared" si="47"/>
        <v>CO</v>
      </c>
      <c r="E608" s="1" t="str">
        <f t="shared" si="48"/>
        <v>CO</v>
      </c>
      <c r="F608" s="1" t="str">
        <f t="shared" si="49"/>
        <v>Complete</v>
      </c>
      <c r="G608" s="1" t="str">
        <f>IF(COUNTIF($A$2:A608,A608)&gt;1,"Duplicate","Unique")</f>
        <v>Duplicate</v>
      </c>
    </row>
    <row r="609" spans="1:7" x14ac:dyDescent="0.25">
      <c r="A609" s="1" t="str">
        <v>OR</v>
      </c>
      <c r="B609" s="1" t="str">
        <f t="shared" si="45"/>
        <v>OR</v>
      </c>
      <c r="C609" s="1" t="str">
        <f t="shared" si="46"/>
        <v>OR</v>
      </c>
      <c r="D609" s="1" t="str">
        <f t="shared" si="47"/>
        <v>OR</v>
      </c>
      <c r="E609" s="1" t="str">
        <f t="shared" si="48"/>
        <v>OR</v>
      </c>
      <c r="F609" s="1" t="str">
        <f t="shared" si="49"/>
        <v>Complete</v>
      </c>
      <c r="G609" s="1" t="str">
        <f>IF(COUNTIF($A$2:A609,A609)&gt;1,"Duplicate","Unique")</f>
        <v>Duplicate</v>
      </c>
    </row>
    <row r="610" spans="1:7" x14ac:dyDescent="0.25">
      <c r="A610" s="1" t="str">
        <v>MS</v>
      </c>
      <c r="B610" s="1" t="str">
        <f t="shared" si="45"/>
        <v>MS</v>
      </c>
      <c r="C610" s="1" t="str">
        <f t="shared" si="46"/>
        <v>MS</v>
      </c>
      <c r="D610" s="1" t="str">
        <f t="shared" si="47"/>
        <v>MS</v>
      </c>
      <c r="E610" s="1" t="str">
        <f t="shared" si="48"/>
        <v>MS</v>
      </c>
      <c r="F610" s="1" t="str">
        <f t="shared" si="49"/>
        <v>Complete</v>
      </c>
      <c r="G610" s="1" t="str">
        <f>IF(COUNTIF($A$2:A610,A610)&gt;1,"Duplicate","Unique")</f>
        <v>Duplicate</v>
      </c>
    </row>
    <row r="611" spans="1:7" x14ac:dyDescent="0.25">
      <c r="A611" s="1" t="str">
        <v>SC</v>
      </c>
      <c r="B611" s="1" t="str">
        <f t="shared" si="45"/>
        <v>SC</v>
      </c>
      <c r="C611" s="1" t="str">
        <f t="shared" si="46"/>
        <v>SC</v>
      </c>
      <c r="D611" s="1" t="str">
        <f t="shared" si="47"/>
        <v>SC</v>
      </c>
      <c r="E611" s="1" t="str">
        <f t="shared" si="48"/>
        <v>SC</v>
      </c>
      <c r="F611" s="1" t="str">
        <f t="shared" si="49"/>
        <v>Complete</v>
      </c>
      <c r="G611" s="1" t="str">
        <f>IF(COUNTIF($A$2:A611,A611)&gt;1,"Duplicate","Unique")</f>
        <v>Duplicate</v>
      </c>
    </row>
    <row r="612" spans="1:7" x14ac:dyDescent="0.25">
      <c r="A612" s="1" t="str">
        <v>IN</v>
      </c>
      <c r="B612" s="1" t="str">
        <f t="shared" si="45"/>
        <v>IN</v>
      </c>
      <c r="C612" s="1" t="str">
        <f t="shared" si="46"/>
        <v>IN</v>
      </c>
      <c r="D612" s="1" t="str">
        <f t="shared" si="47"/>
        <v>IN</v>
      </c>
      <c r="E612" s="1" t="str">
        <f t="shared" si="48"/>
        <v>IN</v>
      </c>
      <c r="F612" s="1" t="str">
        <f t="shared" si="49"/>
        <v>Complete</v>
      </c>
      <c r="G612" s="1" t="str">
        <f>IF(COUNTIF($A$2:A612,A612)&gt;1,"Duplicate","Unique")</f>
        <v>Duplicate</v>
      </c>
    </row>
    <row r="613" spans="1:7" x14ac:dyDescent="0.25">
      <c r="A613" s="1" t="str">
        <v>ME</v>
      </c>
      <c r="B613" s="1" t="str">
        <f t="shared" si="45"/>
        <v>ME</v>
      </c>
      <c r="C613" s="1" t="str">
        <f t="shared" si="46"/>
        <v>ME</v>
      </c>
      <c r="D613" s="1" t="str">
        <f t="shared" si="47"/>
        <v>ME</v>
      </c>
      <c r="E613" s="1" t="str">
        <f t="shared" si="48"/>
        <v>ME</v>
      </c>
      <c r="F613" s="1" t="str">
        <f t="shared" si="49"/>
        <v>Complete</v>
      </c>
      <c r="G613" s="1" t="str">
        <f>IF(COUNTIF($A$2:A613,A613)&gt;1,"Duplicate","Unique")</f>
        <v>Duplicate</v>
      </c>
    </row>
    <row r="614" spans="1:7" x14ac:dyDescent="0.25">
      <c r="A614" s="1" t="str">
        <v>DE</v>
      </c>
      <c r="B614" s="1" t="str">
        <f t="shared" si="45"/>
        <v>DE</v>
      </c>
      <c r="C614" s="1" t="str">
        <f t="shared" si="46"/>
        <v>DE</v>
      </c>
      <c r="D614" s="1" t="str">
        <f t="shared" si="47"/>
        <v>DE</v>
      </c>
      <c r="E614" s="1" t="str">
        <f t="shared" si="48"/>
        <v>DE</v>
      </c>
      <c r="F614" s="1" t="str">
        <f t="shared" si="49"/>
        <v>Complete</v>
      </c>
      <c r="G614" s="1" t="str">
        <f>IF(COUNTIF($A$2:A614,A614)&gt;1,"Duplicate","Unique")</f>
        <v>Duplicate</v>
      </c>
    </row>
    <row r="615" spans="1:7" x14ac:dyDescent="0.25">
      <c r="A615" s="1" t="str">
        <v>OR</v>
      </c>
      <c r="B615" s="1" t="str">
        <f t="shared" si="45"/>
        <v>OR</v>
      </c>
      <c r="C615" s="1" t="str">
        <f t="shared" si="46"/>
        <v>OR</v>
      </c>
      <c r="D615" s="1" t="str">
        <f t="shared" si="47"/>
        <v>OR</v>
      </c>
      <c r="E615" s="1" t="str">
        <f t="shared" si="48"/>
        <v>OR</v>
      </c>
      <c r="F615" s="1" t="str">
        <f t="shared" si="49"/>
        <v>Complete</v>
      </c>
      <c r="G615" s="1" t="str">
        <f>IF(COUNTIF($A$2:A615,A615)&gt;1,"Duplicate","Unique")</f>
        <v>Duplicate</v>
      </c>
    </row>
    <row r="616" spans="1:7" x14ac:dyDescent="0.25">
      <c r="A616" s="1" t="str">
        <v>NJ</v>
      </c>
      <c r="B616" s="1" t="str">
        <f t="shared" si="45"/>
        <v>NJ</v>
      </c>
      <c r="C616" s="1" t="str">
        <f t="shared" si="46"/>
        <v>NJ</v>
      </c>
      <c r="D616" s="1" t="str">
        <f t="shared" si="47"/>
        <v>NJ</v>
      </c>
      <c r="E616" s="1" t="str">
        <f t="shared" si="48"/>
        <v>NJ</v>
      </c>
      <c r="F616" s="1" t="str">
        <f t="shared" si="49"/>
        <v>Complete</v>
      </c>
      <c r="G616" s="1" t="str">
        <f>IF(COUNTIF($A$2:A616,A616)&gt;1,"Duplicate","Unique")</f>
        <v>Duplicate</v>
      </c>
    </row>
    <row r="617" spans="1:7" x14ac:dyDescent="0.25">
      <c r="A617" s="1" t="str">
        <v>MT</v>
      </c>
      <c r="B617" s="1" t="str">
        <f t="shared" si="45"/>
        <v>MT</v>
      </c>
      <c r="C617" s="1" t="str">
        <f t="shared" si="46"/>
        <v>MT</v>
      </c>
      <c r="D617" s="1" t="str">
        <f t="shared" si="47"/>
        <v>MT</v>
      </c>
      <c r="E617" s="1" t="str">
        <f t="shared" si="48"/>
        <v>MT</v>
      </c>
      <c r="F617" s="1" t="str">
        <f t="shared" si="49"/>
        <v>Complete</v>
      </c>
      <c r="G617" s="1" t="str">
        <f>IF(COUNTIF($A$2:A617,A617)&gt;1,"Duplicate","Unique")</f>
        <v>Duplicate</v>
      </c>
    </row>
    <row r="618" spans="1:7" x14ac:dyDescent="0.25">
      <c r="A618" s="1" t="str">
        <v>WV</v>
      </c>
      <c r="B618" s="1" t="str">
        <f t="shared" si="45"/>
        <v>WV</v>
      </c>
      <c r="C618" s="1" t="str">
        <f t="shared" si="46"/>
        <v>WV</v>
      </c>
      <c r="D618" s="1" t="str">
        <f t="shared" si="47"/>
        <v>WV</v>
      </c>
      <c r="E618" s="1" t="str">
        <f t="shared" si="48"/>
        <v>WV</v>
      </c>
      <c r="F618" s="1" t="str">
        <f t="shared" si="49"/>
        <v>Complete</v>
      </c>
      <c r="G618" s="1" t="str">
        <f>IF(COUNTIF($A$2:A618,A618)&gt;1,"Duplicate","Unique")</f>
        <v>Duplicate</v>
      </c>
    </row>
    <row r="619" spans="1:7" x14ac:dyDescent="0.25">
      <c r="A619" s="1" t="str">
        <v>NJ</v>
      </c>
      <c r="B619" s="1" t="str">
        <f t="shared" si="45"/>
        <v>NJ</v>
      </c>
      <c r="C619" s="1" t="str">
        <f t="shared" si="46"/>
        <v>NJ</v>
      </c>
      <c r="D619" s="1" t="str">
        <f t="shared" si="47"/>
        <v>NJ</v>
      </c>
      <c r="E619" s="1" t="str">
        <f t="shared" si="48"/>
        <v>NJ</v>
      </c>
      <c r="F619" s="1" t="str">
        <f t="shared" si="49"/>
        <v>Complete</v>
      </c>
      <c r="G619" s="1" t="str">
        <f>IF(COUNTIF($A$2:A619,A619)&gt;1,"Duplicate","Unique")</f>
        <v>Duplicate</v>
      </c>
    </row>
    <row r="620" spans="1:7" x14ac:dyDescent="0.25">
      <c r="A620" s="1" t="str">
        <v>IN</v>
      </c>
      <c r="B620" s="1" t="str">
        <f t="shared" si="45"/>
        <v>IN</v>
      </c>
      <c r="C620" s="1" t="str">
        <f t="shared" si="46"/>
        <v>IN</v>
      </c>
      <c r="D620" s="1" t="str">
        <f t="shared" si="47"/>
        <v>IN</v>
      </c>
      <c r="E620" s="1" t="str">
        <f t="shared" si="48"/>
        <v>IN</v>
      </c>
      <c r="F620" s="1" t="str">
        <f t="shared" si="49"/>
        <v>Complete</v>
      </c>
      <c r="G620" s="1" t="str">
        <f>IF(COUNTIF($A$2:A620,A620)&gt;1,"Duplicate","Unique")</f>
        <v>Duplicate</v>
      </c>
    </row>
    <row r="621" spans="1:7" x14ac:dyDescent="0.25">
      <c r="A621" s="1" t="str">
        <v>NM</v>
      </c>
      <c r="B621" s="1" t="str">
        <f t="shared" si="45"/>
        <v>NM</v>
      </c>
      <c r="C621" s="1" t="str">
        <f t="shared" si="46"/>
        <v>NM</v>
      </c>
      <c r="D621" s="1" t="str">
        <f t="shared" si="47"/>
        <v>NM</v>
      </c>
      <c r="E621" s="1" t="str">
        <f t="shared" si="48"/>
        <v>NM</v>
      </c>
      <c r="F621" s="1" t="str">
        <f t="shared" si="49"/>
        <v>Complete</v>
      </c>
      <c r="G621" s="1" t="str">
        <f>IF(COUNTIF($A$2:A621,A621)&gt;1,"Duplicate","Unique")</f>
        <v>Duplicate</v>
      </c>
    </row>
    <row r="622" spans="1:7" x14ac:dyDescent="0.25">
      <c r="A622" s="1" t="str">
        <v>MT</v>
      </c>
      <c r="B622" s="1" t="str">
        <f t="shared" si="45"/>
        <v>MT</v>
      </c>
      <c r="C622" s="1" t="str">
        <f t="shared" si="46"/>
        <v>MT</v>
      </c>
      <c r="D622" s="1" t="str">
        <f t="shared" si="47"/>
        <v>MT</v>
      </c>
      <c r="E622" s="1" t="str">
        <f t="shared" si="48"/>
        <v>MT</v>
      </c>
      <c r="F622" s="1" t="str">
        <f t="shared" si="49"/>
        <v>Complete</v>
      </c>
      <c r="G622" s="1" t="str">
        <f>IF(COUNTIF($A$2:A622,A622)&gt;1,"Duplicate","Unique")</f>
        <v>Duplicate</v>
      </c>
    </row>
    <row r="623" spans="1:7" x14ac:dyDescent="0.25">
      <c r="A623" s="1" t="str">
        <v>NM</v>
      </c>
      <c r="B623" s="1" t="str">
        <f t="shared" si="45"/>
        <v>NM</v>
      </c>
      <c r="C623" s="1" t="str">
        <f t="shared" si="46"/>
        <v>NM</v>
      </c>
      <c r="D623" s="1" t="str">
        <f t="shared" si="47"/>
        <v>NM</v>
      </c>
      <c r="E623" s="1" t="str">
        <f t="shared" si="48"/>
        <v>NM</v>
      </c>
      <c r="F623" s="1" t="str">
        <f t="shared" si="49"/>
        <v>Complete</v>
      </c>
      <c r="G623" s="1" t="str">
        <f>IF(COUNTIF($A$2:A623,A623)&gt;1,"Duplicate","Unique")</f>
        <v>Duplicate</v>
      </c>
    </row>
    <row r="624" spans="1:7" x14ac:dyDescent="0.25">
      <c r="A624" s="1" t="str">
        <v>IL</v>
      </c>
      <c r="B624" s="1" t="str">
        <f t="shared" si="45"/>
        <v>IL</v>
      </c>
      <c r="C624" s="1" t="str">
        <f t="shared" si="46"/>
        <v>IL</v>
      </c>
      <c r="D624" s="1" t="str">
        <f t="shared" si="47"/>
        <v>IL</v>
      </c>
      <c r="E624" s="1" t="str">
        <f t="shared" si="48"/>
        <v>IL</v>
      </c>
      <c r="F624" s="1" t="str">
        <f t="shared" si="49"/>
        <v>Complete</v>
      </c>
      <c r="G624" s="1" t="str">
        <f>IF(COUNTIF($A$2:A624,A624)&gt;1,"Duplicate","Unique")</f>
        <v>Duplicate</v>
      </c>
    </row>
    <row r="625" spans="1:7" x14ac:dyDescent="0.25">
      <c r="A625" s="1" t="str">
        <v>IN</v>
      </c>
      <c r="B625" s="1" t="str">
        <f t="shared" si="45"/>
        <v>IN</v>
      </c>
      <c r="C625" s="1" t="str">
        <f t="shared" si="46"/>
        <v>IN</v>
      </c>
      <c r="D625" s="1" t="str">
        <f t="shared" si="47"/>
        <v>IN</v>
      </c>
      <c r="E625" s="1" t="str">
        <f t="shared" si="48"/>
        <v>IN</v>
      </c>
      <c r="F625" s="1" t="str">
        <f t="shared" si="49"/>
        <v>Complete</v>
      </c>
      <c r="G625" s="1" t="str">
        <f>IF(COUNTIF($A$2:A625,A625)&gt;1,"Duplicate","Unique")</f>
        <v>Duplicate</v>
      </c>
    </row>
    <row r="626" spans="1:7" x14ac:dyDescent="0.25">
      <c r="A626" s="1" t="str">
        <v>ND</v>
      </c>
      <c r="B626" s="1" t="str">
        <f t="shared" si="45"/>
        <v>ND</v>
      </c>
      <c r="C626" s="1" t="str">
        <f t="shared" si="46"/>
        <v>ND</v>
      </c>
      <c r="D626" s="1" t="str">
        <f t="shared" si="47"/>
        <v>ND</v>
      </c>
      <c r="E626" s="1" t="str">
        <f t="shared" si="48"/>
        <v>ND</v>
      </c>
      <c r="F626" s="1" t="str">
        <f t="shared" si="49"/>
        <v>Complete</v>
      </c>
      <c r="G626" s="1" t="str">
        <f>IF(COUNTIF($A$2:A626,A626)&gt;1,"Duplicate","Unique")</f>
        <v>Duplicate</v>
      </c>
    </row>
    <row r="627" spans="1:7" x14ac:dyDescent="0.25">
      <c r="A627" s="1" t="str">
        <v>NH</v>
      </c>
      <c r="B627" s="1" t="str">
        <f t="shared" si="45"/>
        <v>NH</v>
      </c>
      <c r="C627" s="1" t="str">
        <f t="shared" si="46"/>
        <v>NH</v>
      </c>
      <c r="D627" s="1" t="str">
        <f t="shared" si="47"/>
        <v>NH</v>
      </c>
      <c r="E627" s="1" t="str">
        <f t="shared" si="48"/>
        <v>NH</v>
      </c>
      <c r="F627" s="1" t="str">
        <f t="shared" si="49"/>
        <v>Complete</v>
      </c>
      <c r="G627" s="1" t="str">
        <f>IF(COUNTIF($A$2:A627,A627)&gt;1,"Duplicate","Unique")</f>
        <v>Duplicate</v>
      </c>
    </row>
    <row r="628" spans="1:7" x14ac:dyDescent="0.25">
      <c r="A628" s="1" t="str">
        <v>NM</v>
      </c>
      <c r="B628" s="1" t="str">
        <f t="shared" si="45"/>
        <v>NM</v>
      </c>
      <c r="C628" s="1" t="str">
        <f t="shared" si="46"/>
        <v>NM</v>
      </c>
      <c r="D628" s="1" t="str">
        <f t="shared" si="47"/>
        <v>NM</v>
      </c>
      <c r="E628" s="1" t="str">
        <f t="shared" si="48"/>
        <v>NM</v>
      </c>
      <c r="F628" s="1" t="str">
        <f t="shared" si="49"/>
        <v>Complete</v>
      </c>
      <c r="G628" s="1" t="str">
        <f>IF(COUNTIF($A$2:A628,A628)&gt;1,"Duplicate","Unique")</f>
        <v>Duplicate</v>
      </c>
    </row>
    <row r="629" spans="1:7" x14ac:dyDescent="0.25">
      <c r="A629" s="1" t="str">
        <v>LA</v>
      </c>
      <c r="B629" s="1" t="str">
        <f t="shared" si="45"/>
        <v>LA</v>
      </c>
      <c r="C629" s="1" t="str">
        <f t="shared" si="46"/>
        <v>LA</v>
      </c>
      <c r="D629" s="1" t="str">
        <f t="shared" si="47"/>
        <v>LA</v>
      </c>
      <c r="E629" s="1" t="str">
        <f t="shared" si="48"/>
        <v>LA</v>
      </c>
      <c r="F629" s="1" t="str">
        <f t="shared" si="49"/>
        <v>Complete</v>
      </c>
      <c r="G629" s="1" t="str">
        <f>IF(COUNTIF($A$2:A629,A629)&gt;1,"Duplicate","Unique")</f>
        <v>Duplicate</v>
      </c>
    </row>
    <row r="630" spans="1:7" x14ac:dyDescent="0.25">
      <c r="A630" s="1" t="str">
        <v>KY</v>
      </c>
      <c r="B630" s="1" t="str">
        <f t="shared" si="45"/>
        <v>KY</v>
      </c>
      <c r="C630" s="1" t="str">
        <f t="shared" si="46"/>
        <v>KY</v>
      </c>
      <c r="D630" s="1" t="str">
        <f t="shared" si="47"/>
        <v>KY</v>
      </c>
      <c r="E630" s="1" t="str">
        <f t="shared" si="48"/>
        <v>KY</v>
      </c>
      <c r="F630" s="1" t="str">
        <f t="shared" si="49"/>
        <v>Complete</v>
      </c>
      <c r="G630" s="1" t="str">
        <f>IF(COUNTIF($A$2:A630,A630)&gt;1,"Duplicate","Unique")</f>
        <v>Duplicate</v>
      </c>
    </row>
    <row r="631" spans="1:7" x14ac:dyDescent="0.25">
      <c r="A631" s="1" t="str">
        <v>WV</v>
      </c>
      <c r="B631" s="1" t="str">
        <f t="shared" si="45"/>
        <v>WV</v>
      </c>
      <c r="C631" s="1" t="str">
        <f t="shared" si="46"/>
        <v>WV</v>
      </c>
      <c r="D631" s="1" t="str">
        <f t="shared" si="47"/>
        <v>WV</v>
      </c>
      <c r="E631" s="1" t="str">
        <f t="shared" si="48"/>
        <v>WV</v>
      </c>
      <c r="F631" s="1" t="str">
        <f t="shared" si="49"/>
        <v>Complete</v>
      </c>
      <c r="G631" s="1" t="str">
        <f>IF(COUNTIF($A$2:A631,A631)&gt;1,"Duplicate","Unique")</f>
        <v>Duplicate</v>
      </c>
    </row>
    <row r="632" spans="1:7" x14ac:dyDescent="0.25">
      <c r="A632" s="1" t="str">
        <v>WV</v>
      </c>
      <c r="B632" s="1" t="str">
        <f t="shared" si="45"/>
        <v>WV</v>
      </c>
      <c r="C632" s="1" t="str">
        <f t="shared" si="46"/>
        <v>WV</v>
      </c>
      <c r="D632" s="1" t="str">
        <f t="shared" si="47"/>
        <v>WV</v>
      </c>
      <c r="E632" s="1" t="str">
        <f t="shared" si="48"/>
        <v>WV</v>
      </c>
      <c r="F632" s="1" t="str">
        <f t="shared" si="49"/>
        <v>Complete</v>
      </c>
      <c r="G632" s="1" t="str">
        <f>IF(COUNTIF($A$2:A632,A632)&gt;1,"Duplicate","Unique")</f>
        <v>Duplicate</v>
      </c>
    </row>
    <row r="633" spans="1:7" x14ac:dyDescent="0.25">
      <c r="A633" s="1" t="str">
        <v>IA</v>
      </c>
      <c r="B633" s="1" t="str">
        <f t="shared" si="45"/>
        <v>IA</v>
      </c>
      <c r="C633" s="1" t="str">
        <f t="shared" si="46"/>
        <v>IA</v>
      </c>
      <c r="D633" s="1" t="str">
        <f t="shared" si="47"/>
        <v>IA</v>
      </c>
      <c r="E633" s="1" t="str">
        <f t="shared" si="48"/>
        <v>IA</v>
      </c>
      <c r="F633" s="1" t="str">
        <f t="shared" si="49"/>
        <v>Complete</v>
      </c>
      <c r="G633" s="1" t="str">
        <f>IF(COUNTIF($A$2:A633,A633)&gt;1,"Duplicate","Unique")</f>
        <v>Duplicate</v>
      </c>
    </row>
    <row r="634" spans="1:7" x14ac:dyDescent="0.25">
      <c r="A634" s="1" t="str">
        <v>NE</v>
      </c>
      <c r="B634" s="1" t="str">
        <f t="shared" si="45"/>
        <v>NE</v>
      </c>
      <c r="C634" s="1" t="str">
        <f t="shared" si="46"/>
        <v>NE</v>
      </c>
      <c r="D634" s="1" t="str">
        <f t="shared" si="47"/>
        <v>NE</v>
      </c>
      <c r="E634" s="1" t="str">
        <f t="shared" si="48"/>
        <v>NE</v>
      </c>
      <c r="F634" s="1" t="str">
        <f t="shared" si="49"/>
        <v>Complete</v>
      </c>
      <c r="G634" s="1" t="str">
        <f>IF(COUNTIF($A$2:A634,A634)&gt;1,"Duplicate","Unique")</f>
        <v>Duplicate</v>
      </c>
    </row>
    <row r="635" spans="1:7" x14ac:dyDescent="0.25">
      <c r="A635" s="1" t="str">
        <v>WA</v>
      </c>
      <c r="B635" s="1" t="str">
        <f t="shared" si="45"/>
        <v>WA</v>
      </c>
      <c r="C635" s="1" t="str">
        <f t="shared" si="46"/>
        <v>WA</v>
      </c>
      <c r="D635" s="1" t="str">
        <f t="shared" si="47"/>
        <v>WA</v>
      </c>
      <c r="E635" s="1" t="str">
        <f t="shared" si="48"/>
        <v>WA</v>
      </c>
      <c r="F635" s="1" t="str">
        <f t="shared" si="49"/>
        <v>Complete</v>
      </c>
      <c r="G635" s="1" t="str">
        <f>IF(COUNTIF($A$2:A635,A635)&gt;1,"Duplicate","Unique")</f>
        <v>Duplicate</v>
      </c>
    </row>
    <row r="636" spans="1:7" x14ac:dyDescent="0.25">
      <c r="A636" s="1" t="str">
        <v>PA</v>
      </c>
      <c r="B636" s="1" t="str">
        <f t="shared" si="45"/>
        <v>PA</v>
      </c>
      <c r="C636" s="1" t="str">
        <f t="shared" si="46"/>
        <v>PA</v>
      </c>
      <c r="D636" s="1" t="str">
        <f t="shared" si="47"/>
        <v>PA</v>
      </c>
      <c r="E636" s="1" t="str">
        <f t="shared" si="48"/>
        <v>PA</v>
      </c>
      <c r="F636" s="1" t="str">
        <f t="shared" si="49"/>
        <v>Complete</v>
      </c>
      <c r="G636" s="1" t="str">
        <f>IF(COUNTIF($A$2:A636,A636)&gt;1,"Duplicate","Unique")</f>
        <v>Duplicate</v>
      </c>
    </row>
    <row r="637" spans="1:7" x14ac:dyDescent="0.25">
      <c r="A637" s="1" t="str">
        <v>ID</v>
      </c>
      <c r="B637" s="1" t="str">
        <f t="shared" si="45"/>
        <v>ID</v>
      </c>
      <c r="C637" s="1" t="str">
        <f t="shared" si="46"/>
        <v>ID</v>
      </c>
      <c r="D637" s="1" t="str">
        <f t="shared" si="47"/>
        <v>ID</v>
      </c>
      <c r="E637" s="1" t="str">
        <f t="shared" si="48"/>
        <v>ID</v>
      </c>
      <c r="F637" s="1" t="str">
        <f t="shared" si="49"/>
        <v>Complete</v>
      </c>
      <c r="G637" s="1" t="str">
        <f>IF(COUNTIF($A$2:A637,A637)&gt;1,"Duplicate","Unique")</f>
        <v>Duplicate</v>
      </c>
    </row>
    <row r="638" spans="1:7" x14ac:dyDescent="0.25">
      <c r="A638" s="1" t="str">
        <v>DC</v>
      </c>
      <c r="B638" s="1" t="str">
        <f t="shared" si="45"/>
        <v>DC</v>
      </c>
      <c r="C638" s="1" t="str">
        <f t="shared" si="46"/>
        <v>DC</v>
      </c>
      <c r="D638" s="1" t="str">
        <f t="shared" si="47"/>
        <v>DC</v>
      </c>
      <c r="E638" s="1" t="str">
        <f t="shared" si="48"/>
        <v>DC</v>
      </c>
      <c r="F638" s="1" t="str">
        <f t="shared" si="49"/>
        <v>Complete</v>
      </c>
      <c r="G638" s="1" t="str">
        <f>IF(COUNTIF($A$2:A638,A638)&gt;1,"Duplicate","Unique")</f>
        <v>Duplicate</v>
      </c>
    </row>
    <row r="639" spans="1:7" x14ac:dyDescent="0.25">
      <c r="A639" s="1" t="str">
        <v>KY</v>
      </c>
      <c r="B639" s="1" t="str">
        <f t="shared" si="45"/>
        <v>KY</v>
      </c>
      <c r="C639" s="1" t="str">
        <f t="shared" si="46"/>
        <v>KY</v>
      </c>
      <c r="D639" s="1" t="str">
        <f t="shared" si="47"/>
        <v>KY</v>
      </c>
      <c r="E639" s="1" t="str">
        <f t="shared" si="48"/>
        <v>KY</v>
      </c>
      <c r="F639" s="1" t="str">
        <f t="shared" si="49"/>
        <v>Complete</v>
      </c>
      <c r="G639" s="1" t="str">
        <f>IF(COUNTIF($A$2:A639,A639)&gt;1,"Duplicate","Unique")</f>
        <v>Duplicate</v>
      </c>
    </row>
    <row r="640" spans="1:7" x14ac:dyDescent="0.25">
      <c r="A640" s="1" t="str">
        <v>SC</v>
      </c>
      <c r="B640" s="1" t="str">
        <f t="shared" si="45"/>
        <v>SC</v>
      </c>
      <c r="C640" s="1" t="str">
        <f t="shared" si="46"/>
        <v>SC</v>
      </c>
      <c r="D640" s="1" t="str">
        <f t="shared" si="47"/>
        <v>SC</v>
      </c>
      <c r="E640" s="1" t="str">
        <f t="shared" si="48"/>
        <v>SC</v>
      </c>
      <c r="F640" s="1" t="str">
        <f t="shared" si="49"/>
        <v>Complete</v>
      </c>
      <c r="G640" s="1" t="str">
        <f>IF(COUNTIF($A$2:A640,A640)&gt;1,"Duplicate","Unique")</f>
        <v>Duplicate</v>
      </c>
    </row>
    <row r="641" spans="1:7" x14ac:dyDescent="0.25">
      <c r="A641" s="1" t="str">
        <v>NC</v>
      </c>
      <c r="B641" s="1" t="str">
        <f t="shared" si="45"/>
        <v>NC</v>
      </c>
      <c r="C641" s="1" t="str">
        <f t="shared" si="46"/>
        <v>NC</v>
      </c>
      <c r="D641" s="1" t="str">
        <f t="shared" si="47"/>
        <v>NC</v>
      </c>
      <c r="E641" s="1" t="str">
        <f t="shared" si="48"/>
        <v>NC</v>
      </c>
      <c r="F641" s="1" t="str">
        <f t="shared" si="49"/>
        <v>Complete</v>
      </c>
      <c r="G641" s="1" t="str">
        <f>IF(COUNTIF($A$2:A641,A641)&gt;1,"Duplicate","Unique")</f>
        <v>Duplicate</v>
      </c>
    </row>
    <row r="642" spans="1:7" x14ac:dyDescent="0.25">
      <c r="A642" s="1" t="str">
        <v>NY</v>
      </c>
      <c r="B642" s="1" t="str">
        <f t="shared" si="45"/>
        <v>NY</v>
      </c>
      <c r="C642" s="1" t="str">
        <f t="shared" si="46"/>
        <v>NY</v>
      </c>
      <c r="D642" s="1" t="str">
        <f t="shared" si="47"/>
        <v>NY</v>
      </c>
      <c r="E642" s="1" t="str">
        <f t="shared" si="48"/>
        <v>NY</v>
      </c>
      <c r="F642" s="1" t="str">
        <f t="shared" si="49"/>
        <v>Complete</v>
      </c>
      <c r="G642" s="1" t="str">
        <f>IF(COUNTIF($A$2:A642,A642)&gt;1,"Duplicate","Unique")</f>
        <v>Duplicate</v>
      </c>
    </row>
    <row r="643" spans="1:7" x14ac:dyDescent="0.25">
      <c r="A643" s="1" t="str">
        <v>OR</v>
      </c>
      <c r="B643" s="1" t="str">
        <f t="shared" ref="B643:B668" si="50">TRIM(A643)</f>
        <v>OR</v>
      </c>
      <c r="C643" s="1" t="str">
        <f t="shared" ref="C643:C668" si="51">CLEAN(A643)</f>
        <v>OR</v>
      </c>
      <c r="D643" s="1" t="str">
        <f t="shared" ref="D643:D668" si="52">TRIM(CLEAN(A643))</f>
        <v>OR</v>
      </c>
      <c r="E643" s="1" t="str">
        <f t="shared" ref="E643:E668" si="53">SUBSTITUTE(D643," ","")</f>
        <v>OR</v>
      </c>
      <c r="F643" s="1" t="str">
        <f t="shared" ref="F643:F668" si="54">IF(ISBLANK(A643),"Missing","Complete")</f>
        <v>Complete</v>
      </c>
      <c r="G643" s="1" t="str">
        <f>IF(COUNTIF($A$2:A643,A643)&gt;1,"Duplicate","Unique")</f>
        <v>Duplicate</v>
      </c>
    </row>
    <row r="644" spans="1:7" x14ac:dyDescent="0.25">
      <c r="A644" s="1" t="str">
        <v>IL</v>
      </c>
      <c r="B644" s="1" t="str">
        <f t="shared" si="50"/>
        <v>IL</v>
      </c>
      <c r="C644" s="1" t="str">
        <f t="shared" si="51"/>
        <v>IL</v>
      </c>
      <c r="D644" s="1" t="str">
        <f t="shared" si="52"/>
        <v>IL</v>
      </c>
      <c r="E644" s="1" t="str">
        <f t="shared" si="53"/>
        <v>IL</v>
      </c>
      <c r="F644" s="1" t="str">
        <f t="shared" si="54"/>
        <v>Complete</v>
      </c>
      <c r="G644" s="1" t="str">
        <f>IF(COUNTIF($A$2:A644,A644)&gt;1,"Duplicate","Unique")</f>
        <v>Duplicate</v>
      </c>
    </row>
    <row r="645" spans="1:7" x14ac:dyDescent="0.25">
      <c r="A645" s="1" t="str">
        <v>MA</v>
      </c>
      <c r="B645" s="1" t="str">
        <f t="shared" si="50"/>
        <v>MA</v>
      </c>
      <c r="C645" s="1" t="str">
        <f t="shared" si="51"/>
        <v>MA</v>
      </c>
      <c r="D645" s="1" t="str">
        <f t="shared" si="52"/>
        <v>MA</v>
      </c>
      <c r="E645" s="1" t="str">
        <f t="shared" si="53"/>
        <v>MA</v>
      </c>
      <c r="F645" s="1" t="str">
        <f t="shared" si="54"/>
        <v>Complete</v>
      </c>
      <c r="G645" s="1" t="str">
        <f>IF(COUNTIF($A$2:A645,A645)&gt;1,"Duplicate","Unique")</f>
        <v>Duplicate</v>
      </c>
    </row>
    <row r="646" spans="1:7" x14ac:dyDescent="0.25">
      <c r="A646" s="1" t="str">
        <v>CT</v>
      </c>
      <c r="B646" s="1" t="str">
        <f t="shared" si="50"/>
        <v>CT</v>
      </c>
      <c r="C646" s="1" t="str">
        <f t="shared" si="51"/>
        <v>CT</v>
      </c>
      <c r="D646" s="1" t="str">
        <f t="shared" si="52"/>
        <v>CT</v>
      </c>
      <c r="E646" s="1" t="str">
        <f t="shared" si="53"/>
        <v>CT</v>
      </c>
      <c r="F646" s="1" t="str">
        <f t="shared" si="54"/>
        <v>Complete</v>
      </c>
      <c r="G646" s="1" t="str">
        <f>IF(COUNTIF($A$2:A646,A646)&gt;1,"Duplicate","Unique")</f>
        <v>Duplicate</v>
      </c>
    </row>
    <row r="647" spans="1:7" x14ac:dyDescent="0.25">
      <c r="A647" s="1" t="str">
        <v>WI</v>
      </c>
      <c r="B647" s="1" t="str">
        <f t="shared" si="50"/>
        <v>WI</v>
      </c>
      <c r="C647" s="1" t="str">
        <f t="shared" si="51"/>
        <v>WI</v>
      </c>
      <c r="D647" s="1" t="str">
        <f t="shared" si="52"/>
        <v>WI</v>
      </c>
      <c r="E647" s="1" t="str">
        <f t="shared" si="53"/>
        <v>WI</v>
      </c>
      <c r="F647" s="1" t="str">
        <f t="shared" si="54"/>
        <v>Complete</v>
      </c>
      <c r="G647" s="1" t="str">
        <f>IF(COUNTIF($A$2:A647,A647)&gt;1,"Duplicate","Unique")</f>
        <v>Duplicate</v>
      </c>
    </row>
    <row r="648" spans="1:7" x14ac:dyDescent="0.25">
      <c r="A648" s="1" t="str">
        <v>OK</v>
      </c>
      <c r="B648" s="1" t="str">
        <f t="shared" si="50"/>
        <v>OK</v>
      </c>
      <c r="C648" s="1" t="str">
        <f t="shared" si="51"/>
        <v>OK</v>
      </c>
      <c r="D648" s="1" t="str">
        <f t="shared" si="52"/>
        <v>OK</v>
      </c>
      <c r="E648" s="1" t="str">
        <f t="shared" si="53"/>
        <v>OK</v>
      </c>
      <c r="F648" s="1" t="str">
        <f t="shared" si="54"/>
        <v>Complete</v>
      </c>
      <c r="G648" s="1" t="str">
        <f>IF(COUNTIF($A$2:A648,A648)&gt;1,"Duplicate","Unique")</f>
        <v>Duplicate</v>
      </c>
    </row>
    <row r="649" spans="1:7" x14ac:dyDescent="0.25">
      <c r="A649" s="1" t="str">
        <v>AZ</v>
      </c>
      <c r="B649" s="1" t="str">
        <f t="shared" si="50"/>
        <v>AZ</v>
      </c>
      <c r="C649" s="1" t="str">
        <f t="shared" si="51"/>
        <v>AZ</v>
      </c>
      <c r="D649" s="1" t="str">
        <f t="shared" si="52"/>
        <v>AZ</v>
      </c>
      <c r="E649" s="1" t="str">
        <f t="shared" si="53"/>
        <v>AZ</v>
      </c>
      <c r="F649" s="1" t="str">
        <f t="shared" si="54"/>
        <v>Complete</v>
      </c>
      <c r="G649" s="1" t="str">
        <f>IF(COUNTIF($A$2:A649,A649)&gt;1,"Duplicate","Unique")</f>
        <v>Duplicate</v>
      </c>
    </row>
    <row r="650" spans="1:7" x14ac:dyDescent="0.25">
      <c r="A650" s="1" t="str">
        <v>KS</v>
      </c>
      <c r="B650" s="1" t="str">
        <f t="shared" si="50"/>
        <v>KS</v>
      </c>
      <c r="C650" s="1" t="str">
        <f t="shared" si="51"/>
        <v>KS</v>
      </c>
      <c r="D650" s="1" t="str">
        <f t="shared" si="52"/>
        <v>KS</v>
      </c>
      <c r="E650" s="1" t="str">
        <f t="shared" si="53"/>
        <v>KS</v>
      </c>
      <c r="F650" s="1" t="str">
        <f t="shared" si="54"/>
        <v>Complete</v>
      </c>
      <c r="G650" s="1" t="str">
        <f>IF(COUNTIF($A$2:A650,A650)&gt;1,"Duplicate","Unique")</f>
        <v>Duplicate</v>
      </c>
    </row>
    <row r="651" spans="1:7" x14ac:dyDescent="0.25">
      <c r="A651" s="1" t="str">
        <v>KS</v>
      </c>
      <c r="B651" s="1" t="str">
        <f t="shared" si="50"/>
        <v>KS</v>
      </c>
      <c r="C651" s="1" t="str">
        <f t="shared" si="51"/>
        <v>KS</v>
      </c>
      <c r="D651" s="1" t="str">
        <f t="shared" si="52"/>
        <v>KS</v>
      </c>
      <c r="E651" s="1" t="str">
        <f t="shared" si="53"/>
        <v>KS</v>
      </c>
      <c r="F651" s="1" t="str">
        <f t="shared" si="54"/>
        <v>Complete</v>
      </c>
      <c r="G651" s="1" t="str">
        <f>IF(COUNTIF($A$2:A651,A651)&gt;1,"Duplicate","Unique")</f>
        <v>Duplicate</v>
      </c>
    </row>
    <row r="652" spans="1:7" x14ac:dyDescent="0.25">
      <c r="A652" s="1" t="str">
        <v>WY</v>
      </c>
      <c r="B652" s="1" t="str">
        <f t="shared" si="50"/>
        <v>WY</v>
      </c>
      <c r="C652" s="1" t="str">
        <f t="shared" si="51"/>
        <v>WY</v>
      </c>
      <c r="D652" s="1" t="str">
        <f t="shared" si="52"/>
        <v>WY</v>
      </c>
      <c r="E652" s="1" t="str">
        <f t="shared" si="53"/>
        <v>WY</v>
      </c>
      <c r="F652" s="1" t="str">
        <f t="shared" si="54"/>
        <v>Complete</v>
      </c>
      <c r="G652" s="1" t="str">
        <f>IF(COUNTIF($A$2:A652,A652)&gt;1,"Duplicate","Unique")</f>
        <v>Duplicate</v>
      </c>
    </row>
    <row r="653" spans="1:7" x14ac:dyDescent="0.25">
      <c r="A653" s="1" t="str">
        <v>OK</v>
      </c>
      <c r="B653" s="1" t="str">
        <f t="shared" si="50"/>
        <v>OK</v>
      </c>
      <c r="C653" s="1" t="str">
        <f t="shared" si="51"/>
        <v>OK</v>
      </c>
      <c r="D653" s="1" t="str">
        <f t="shared" si="52"/>
        <v>OK</v>
      </c>
      <c r="E653" s="1" t="str">
        <f t="shared" si="53"/>
        <v>OK</v>
      </c>
      <c r="F653" s="1" t="str">
        <f t="shared" si="54"/>
        <v>Complete</v>
      </c>
      <c r="G653" s="1" t="str">
        <f>IF(COUNTIF($A$2:A653,A653)&gt;1,"Duplicate","Unique")</f>
        <v>Duplicate</v>
      </c>
    </row>
    <row r="654" spans="1:7" x14ac:dyDescent="0.25">
      <c r="A654" s="1" t="str">
        <v>WA</v>
      </c>
      <c r="B654" s="1" t="str">
        <f t="shared" si="50"/>
        <v>WA</v>
      </c>
      <c r="C654" s="1" t="str">
        <f t="shared" si="51"/>
        <v>WA</v>
      </c>
      <c r="D654" s="1" t="str">
        <f t="shared" si="52"/>
        <v>WA</v>
      </c>
      <c r="E654" s="1" t="str">
        <f t="shared" si="53"/>
        <v>WA</v>
      </c>
      <c r="F654" s="1" t="str">
        <f t="shared" si="54"/>
        <v>Complete</v>
      </c>
      <c r="G654" s="1" t="str">
        <f>IF(COUNTIF($A$2:A654,A654)&gt;1,"Duplicate","Unique")</f>
        <v>Duplicate</v>
      </c>
    </row>
    <row r="655" spans="1:7" x14ac:dyDescent="0.25">
      <c r="A655" s="1" t="str">
        <v>MD</v>
      </c>
      <c r="B655" s="1" t="str">
        <f t="shared" si="50"/>
        <v>MD</v>
      </c>
      <c r="C655" s="1" t="str">
        <f t="shared" si="51"/>
        <v>MD</v>
      </c>
      <c r="D655" s="1" t="str">
        <f t="shared" si="52"/>
        <v>MD</v>
      </c>
      <c r="E655" s="1" t="str">
        <f t="shared" si="53"/>
        <v>MD</v>
      </c>
      <c r="F655" s="1" t="str">
        <f t="shared" si="54"/>
        <v>Complete</v>
      </c>
      <c r="G655" s="1" t="str">
        <f>IF(COUNTIF($A$2:A655,A655)&gt;1,"Duplicate","Unique")</f>
        <v>Duplicate</v>
      </c>
    </row>
    <row r="656" spans="1:7" x14ac:dyDescent="0.25">
      <c r="A656" s="1" t="str">
        <v>NY</v>
      </c>
      <c r="B656" s="1" t="str">
        <f t="shared" si="50"/>
        <v>NY</v>
      </c>
      <c r="C656" s="1" t="str">
        <f t="shared" si="51"/>
        <v>NY</v>
      </c>
      <c r="D656" s="1" t="str">
        <f t="shared" si="52"/>
        <v>NY</v>
      </c>
      <c r="E656" s="1" t="str">
        <f t="shared" si="53"/>
        <v>NY</v>
      </c>
      <c r="F656" s="1" t="str">
        <f t="shared" si="54"/>
        <v>Complete</v>
      </c>
      <c r="G656" s="1" t="str">
        <f>IF(COUNTIF($A$2:A656,A656)&gt;1,"Duplicate","Unique")</f>
        <v>Duplicate</v>
      </c>
    </row>
    <row r="657" spans="1:7" x14ac:dyDescent="0.25">
      <c r="A657" s="1" t="str">
        <v>WI</v>
      </c>
      <c r="B657" s="1" t="str">
        <f t="shared" si="50"/>
        <v>WI</v>
      </c>
      <c r="C657" s="1" t="str">
        <f t="shared" si="51"/>
        <v>WI</v>
      </c>
      <c r="D657" s="1" t="str">
        <f t="shared" si="52"/>
        <v>WI</v>
      </c>
      <c r="E657" s="1" t="str">
        <f t="shared" si="53"/>
        <v>WI</v>
      </c>
      <c r="F657" s="1" t="str">
        <f t="shared" si="54"/>
        <v>Complete</v>
      </c>
      <c r="G657" s="1" t="str">
        <f>IF(COUNTIF($A$2:A657,A657)&gt;1,"Duplicate","Unique")</f>
        <v>Duplicate</v>
      </c>
    </row>
    <row r="658" spans="1:7" x14ac:dyDescent="0.25">
      <c r="A658" s="1" t="str">
        <v>AK</v>
      </c>
      <c r="B658" s="1" t="str">
        <f t="shared" si="50"/>
        <v>AK</v>
      </c>
      <c r="C658" s="1" t="str">
        <f t="shared" si="51"/>
        <v>AK</v>
      </c>
      <c r="D658" s="1" t="str">
        <f t="shared" si="52"/>
        <v>AK</v>
      </c>
      <c r="E658" s="1" t="str">
        <f t="shared" si="53"/>
        <v>AK</v>
      </c>
      <c r="F658" s="1" t="str">
        <f t="shared" si="54"/>
        <v>Complete</v>
      </c>
      <c r="G658" s="1" t="str">
        <f>IF(COUNTIF($A$2:A658,A658)&gt;1,"Duplicate","Unique")</f>
        <v>Duplicate</v>
      </c>
    </row>
    <row r="659" spans="1:7" x14ac:dyDescent="0.25">
      <c r="A659" s="1" t="str">
        <v>AZ</v>
      </c>
      <c r="B659" s="1" t="str">
        <f t="shared" si="50"/>
        <v>AZ</v>
      </c>
      <c r="C659" s="1" t="str">
        <f t="shared" si="51"/>
        <v>AZ</v>
      </c>
      <c r="D659" s="1" t="str">
        <f t="shared" si="52"/>
        <v>AZ</v>
      </c>
      <c r="E659" s="1" t="str">
        <f t="shared" si="53"/>
        <v>AZ</v>
      </c>
      <c r="F659" s="1" t="str">
        <f t="shared" si="54"/>
        <v>Complete</v>
      </c>
      <c r="G659" s="1" t="str">
        <f>IF(COUNTIF($A$2:A659,A659)&gt;1,"Duplicate","Unique")</f>
        <v>Duplicate</v>
      </c>
    </row>
    <row r="660" spans="1:7" x14ac:dyDescent="0.25">
      <c r="A660" s="1" t="str">
        <v>KS</v>
      </c>
      <c r="B660" s="1" t="str">
        <f t="shared" si="50"/>
        <v>KS</v>
      </c>
      <c r="C660" s="1" t="str">
        <f t="shared" si="51"/>
        <v>KS</v>
      </c>
      <c r="D660" s="1" t="str">
        <f t="shared" si="52"/>
        <v>KS</v>
      </c>
      <c r="E660" s="1" t="str">
        <f t="shared" si="53"/>
        <v>KS</v>
      </c>
      <c r="F660" s="1" t="str">
        <f t="shared" si="54"/>
        <v>Complete</v>
      </c>
      <c r="G660" s="1" t="str">
        <f>IF(COUNTIF($A$2:A660,A660)&gt;1,"Duplicate","Unique")</f>
        <v>Duplicate</v>
      </c>
    </row>
    <row r="661" spans="1:7" x14ac:dyDescent="0.25">
      <c r="A661" s="1" t="str">
        <v>CA</v>
      </c>
      <c r="B661" s="1" t="str">
        <f t="shared" si="50"/>
        <v>CA</v>
      </c>
      <c r="C661" s="1" t="str">
        <f t="shared" si="51"/>
        <v>CA</v>
      </c>
      <c r="D661" s="1" t="str">
        <f t="shared" si="52"/>
        <v>CA</v>
      </c>
      <c r="E661" s="1" t="str">
        <f t="shared" si="53"/>
        <v>CA</v>
      </c>
      <c r="F661" s="1" t="str">
        <f t="shared" si="54"/>
        <v>Complete</v>
      </c>
      <c r="G661" s="1" t="str">
        <f>IF(COUNTIF($A$2:A661,A661)&gt;1,"Duplicate","Unique")</f>
        <v>Duplicate</v>
      </c>
    </row>
    <row r="662" spans="1:7" x14ac:dyDescent="0.25">
      <c r="A662" s="1" t="str">
        <v>IN</v>
      </c>
      <c r="B662" s="1" t="str">
        <f t="shared" si="50"/>
        <v>IN</v>
      </c>
      <c r="C662" s="1" t="str">
        <f t="shared" si="51"/>
        <v>IN</v>
      </c>
      <c r="D662" s="1" t="str">
        <f t="shared" si="52"/>
        <v>IN</v>
      </c>
      <c r="E662" s="1" t="str">
        <f t="shared" si="53"/>
        <v>IN</v>
      </c>
      <c r="F662" s="1" t="str">
        <f t="shared" si="54"/>
        <v>Complete</v>
      </c>
      <c r="G662" s="1" t="str">
        <f>IF(COUNTIF($A$2:A662,A662)&gt;1,"Duplicate","Unique")</f>
        <v>Duplicate</v>
      </c>
    </row>
    <row r="663" spans="1:7" x14ac:dyDescent="0.25">
      <c r="A663" s="1" t="str">
        <v>CA</v>
      </c>
      <c r="B663" s="1" t="str">
        <f t="shared" si="50"/>
        <v>CA</v>
      </c>
      <c r="C663" s="1" t="str">
        <f t="shared" si="51"/>
        <v>CA</v>
      </c>
      <c r="D663" s="1" t="str">
        <f t="shared" si="52"/>
        <v>CA</v>
      </c>
      <c r="E663" s="1" t="str">
        <f t="shared" si="53"/>
        <v>CA</v>
      </c>
      <c r="F663" s="1" t="str">
        <f t="shared" si="54"/>
        <v>Complete</v>
      </c>
      <c r="G663" s="1" t="str">
        <f>IF(COUNTIF($A$2:A663,A663)&gt;1,"Duplicate","Unique")</f>
        <v>Duplicate</v>
      </c>
    </row>
    <row r="664" spans="1:7" x14ac:dyDescent="0.25">
      <c r="A664" s="1" t="str">
        <v>WI</v>
      </c>
      <c r="B664" s="1" t="str">
        <f t="shared" si="50"/>
        <v>WI</v>
      </c>
      <c r="C664" s="1" t="str">
        <f t="shared" si="51"/>
        <v>WI</v>
      </c>
      <c r="D664" s="1" t="str">
        <f t="shared" si="52"/>
        <v>WI</v>
      </c>
      <c r="E664" s="1" t="str">
        <f t="shared" si="53"/>
        <v>WI</v>
      </c>
      <c r="F664" s="1" t="str">
        <f t="shared" si="54"/>
        <v>Complete</v>
      </c>
      <c r="G664" s="1" t="str">
        <f>IF(COUNTIF($A$2:A664,A664)&gt;1,"Duplicate","Unique")</f>
        <v>Duplicate</v>
      </c>
    </row>
    <row r="665" spans="1:7" x14ac:dyDescent="0.25">
      <c r="A665" s="1" t="str">
        <v>AL</v>
      </c>
      <c r="B665" s="1" t="str">
        <f t="shared" si="50"/>
        <v>AL</v>
      </c>
      <c r="C665" s="1" t="str">
        <f t="shared" si="51"/>
        <v>AL</v>
      </c>
      <c r="D665" s="1" t="str">
        <f t="shared" si="52"/>
        <v>AL</v>
      </c>
      <c r="E665" s="1" t="str">
        <f t="shared" si="53"/>
        <v>AL</v>
      </c>
      <c r="F665" s="1" t="str">
        <f t="shared" si="54"/>
        <v>Complete</v>
      </c>
      <c r="G665" s="1" t="str">
        <f>IF(COUNTIF($A$2:A665,A665)&gt;1,"Duplicate","Unique")</f>
        <v>Duplicate</v>
      </c>
    </row>
    <row r="666" spans="1:7" x14ac:dyDescent="0.25">
      <c r="A666" s="1" t="str">
        <v>VT</v>
      </c>
      <c r="B666" s="1" t="str">
        <f t="shared" si="50"/>
        <v>VT</v>
      </c>
      <c r="C666" s="1" t="str">
        <f t="shared" si="51"/>
        <v>VT</v>
      </c>
      <c r="D666" s="1" t="str">
        <f t="shared" si="52"/>
        <v>VT</v>
      </c>
      <c r="E666" s="1" t="str">
        <f t="shared" si="53"/>
        <v>VT</v>
      </c>
      <c r="F666" s="1" t="str">
        <f t="shared" si="54"/>
        <v>Complete</v>
      </c>
      <c r="G666" s="1" t="str">
        <f>IF(COUNTIF($A$2:A666,A666)&gt;1,"Duplicate","Unique")</f>
        <v>Duplicate</v>
      </c>
    </row>
    <row r="667" spans="1:7" x14ac:dyDescent="0.25">
      <c r="A667" s="1" t="str">
        <v>WV</v>
      </c>
      <c r="B667" s="1" t="str">
        <f t="shared" si="50"/>
        <v>WV</v>
      </c>
      <c r="C667" s="1" t="str">
        <f t="shared" si="51"/>
        <v>WV</v>
      </c>
      <c r="D667" s="1" t="str">
        <f t="shared" si="52"/>
        <v>WV</v>
      </c>
      <c r="E667" s="1" t="str">
        <f t="shared" si="53"/>
        <v>WV</v>
      </c>
      <c r="F667" s="1" t="str">
        <f t="shared" si="54"/>
        <v>Complete</v>
      </c>
      <c r="G667" s="1" t="str">
        <f>IF(COUNTIF($A$2:A667,A667)&gt;1,"Duplicate","Unique")</f>
        <v>Duplicate</v>
      </c>
    </row>
    <row r="668" spans="1:7" x14ac:dyDescent="0.25">
      <c r="A668" s="1" t="str">
        <v>CT</v>
      </c>
      <c r="B668" s="1" t="str">
        <f t="shared" si="50"/>
        <v>CT</v>
      </c>
      <c r="C668" s="1" t="str">
        <f t="shared" si="51"/>
        <v>CT</v>
      </c>
      <c r="D668" s="1" t="str">
        <f t="shared" si="52"/>
        <v>CT</v>
      </c>
      <c r="E668" s="1" t="str">
        <f t="shared" si="53"/>
        <v>CT</v>
      </c>
      <c r="F668" s="1" t="str">
        <f t="shared" si="54"/>
        <v>Complete</v>
      </c>
      <c r="G668" s="1" t="str">
        <f>IF(COUNTIF($A$2:A668,A668)&gt;1,"Duplicate","Unique")</f>
        <v>Duplicate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C862-CF18-408F-9DC8-1F884536587F}">
  <dimension ref="A1:I48"/>
  <sheetViews>
    <sheetView workbookViewId="0">
      <selection activeCell="I4" sqref="I4"/>
    </sheetView>
  </sheetViews>
  <sheetFormatPr defaultRowHeight="15" x14ac:dyDescent="0.25"/>
  <cols>
    <col min="1" max="1" width="22.5703125" bestFit="1" customWidth="1"/>
    <col min="2" max="2" width="15.7109375" customWidth="1"/>
    <col min="3" max="3" width="14.28515625" customWidth="1"/>
    <col min="4" max="4" width="21.140625" bestFit="1" customWidth="1"/>
    <col min="5" max="5" width="13" customWidth="1"/>
    <col min="6" max="6" width="14.140625" customWidth="1"/>
    <col min="7" max="7" width="15.85546875" customWidth="1"/>
    <col min="8" max="8" width="13.85546875" customWidth="1"/>
    <col min="9" max="9" width="13.28515625" customWidth="1"/>
  </cols>
  <sheetData>
    <row r="1" spans="1:9" x14ac:dyDescent="0.25">
      <c r="A1" s="3" t="s">
        <v>108</v>
      </c>
      <c r="B1" s="3"/>
    </row>
    <row r="3" spans="1:9" x14ac:dyDescent="0.25">
      <c r="A3" s="6" t="s">
        <v>109</v>
      </c>
      <c r="B3" s="7" t="s">
        <v>110</v>
      </c>
      <c r="C3" s="7" t="s">
        <v>111</v>
      </c>
      <c r="D3" s="7" t="s">
        <v>112</v>
      </c>
      <c r="E3" s="7" t="s">
        <v>113</v>
      </c>
      <c r="F3" s="7" t="s">
        <v>114</v>
      </c>
      <c r="G3" s="7" t="s">
        <v>115</v>
      </c>
      <c r="H3" s="7" t="s">
        <v>116</v>
      </c>
      <c r="I3" s="8" t="s">
        <v>117</v>
      </c>
    </row>
    <row r="4" spans="1:9" x14ac:dyDescent="0.25">
      <c r="A4" s="4" t="s">
        <v>118</v>
      </c>
      <c r="B4" s="1">
        <f>AVERAGE(Raw_Data!F2:F668)</f>
        <v>8.4077961019490246</v>
      </c>
      <c r="C4" s="1">
        <f>AVERAGE(Raw_Data!G2:G668)</f>
        <v>180.94812593703156</v>
      </c>
      <c r="D4" s="1">
        <f>AVERAGE(Raw_Data!H2:H668)</f>
        <v>100.93703148425787</v>
      </c>
      <c r="E4" s="1">
        <f>AVERAGE(Raw_Data!I2:I668)</f>
        <v>30.761769115442267</v>
      </c>
      <c r="F4" s="1">
        <f>AVERAGE(Raw_Data!J2:J668)</f>
        <v>203.35532233883055</v>
      </c>
      <c r="G4" s="1">
        <f>AVERAGE(Raw_Data!K2:K668)</f>
        <v>100.4767616191904</v>
      </c>
      <c r="H4" s="1">
        <f>AVERAGE(Raw_Data!L2:L668)</f>
        <v>17.285262368815594</v>
      </c>
      <c r="I4" s="1">
        <f>AVERAGE(Raw_Data!M2:M668)</f>
        <v>199.68530734632685</v>
      </c>
    </row>
    <row r="5" spans="1:9" x14ac:dyDescent="0.25">
      <c r="A5" s="4" t="s">
        <v>119</v>
      </c>
      <c r="B5" s="1">
        <f>MEDIAN(Raw_Data!B2:B668)</f>
        <v>102</v>
      </c>
      <c r="C5" s="1">
        <f>MEDIAN(Raw_Data!C2:C668)</f>
        <v>415</v>
      </c>
      <c r="D5" s="1">
        <f>MEDIAN(Raw_Data!H2:H668)</f>
        <v>101</v>
      </c>
      <c r="E5" s="1">
        <f>MEDIAN(Raw_Data!I2:I668)</f>
        <v>30.31</v>
      </c>
      <c r="F5" s="1">
        <f>MEDIAN(Raw_Data!J2:J668)</f>
        <v>203.7</v>
      </c>
      <c r="G5" s="1">
        <f>MEDIAN(Raw_Data!K2:K668)</f>
        <v>101</v>
      </c>
      <c r="H5" s="1">
        <f>MEDIAN(Raw_Data!L2:L668)</f>
        <v>17.309999999999999</v>
      </c>
      <c r="I5" s="1">
        <f>MEDIAN(Raw_Data!M2:M668)</f>
        <v>201.6</v>
      </c>
    </row>
    <row r="6" spans="1:9" x14ac:dyDescent="0.25">
      <c r="A6" s="4" t="s">
        <v>121</v>
      </c>
      <c r="B6" s="1">
        <f>_xlfn.MODE.SNGL(Raw_Data!B2:B668)</f>
        <v>95</v>
      </c>
      <c r="C6" s="1">
        <f>_xlfn.MODE.SNGL(Raw_Data!G2:G668)</f>
        <v>189.8</v>
      </c>
      <c r="D6" s="1">
        <f>_xlfn.MODE.SNGL(Raw_Data!H2:H668)</f>
        <v>102</v>
      </c>
      <c r="E6" s="1">
        <f>_xlfn.MODE.SNGL(Raw_Data!I2:I668)</f>
        <v>32.270000000000003</v>
      </c>
      <c r="F6" s="1">
        <f>_xlfn.MODE.SNGL(Raw_Data!J2:J668)</f>
        <v>183.6</v>
      </c>
      <c r="G6" s="1">
        <f>_xlfn.MODE.SNGL(Raw_Data!K2:K668)</f>
        <v>101</v>
      </c>
      <c r="H6" s="1">
        <f>_xlfn.MODE.SNGL(Raw_Data!L2:L668)</f>
        <v>18.329999999999998</v>
      </c>
      <c r="I6" s="1">
        <f>_xlfn.MODE.SNGL(Raw_Data!M2:M668)</f>
        <v>188.2</v>
      </c>
    </row>
    <row r="7" spans="1:9" x14ac:dyDescent="0.25">
      <c r="A7" s="4" t="s">
        <v>122</v>
      </c>
      <c r="B7" s="1">
        <f>_xlfn.VAR.S(Raw_Data!F2:F668)</f>
        <v>195.84546465505986</v>
      </c>
      <c r="C7" s="1">
        <f>_xlfn.VAR.S(Raw_Data!G2:G668)</f>
        <v>3081.207755491585</v>
      </c>
      <c r="D7" s="1">
        <f>_xlfn.VAR.S(Raw_Data!H2:H668)</f>
        <v>416.02906204555353</v>
      </c>
      <c r="E7" s="1">
        <f>_xlfn.VAR.S(Raw_Data!I2:I668)</f>
        <v>89.046842511178184</v>
      </c>
      <c r="F7" s="1">
        <f>_xlfn.VAR.S(Raw_Data!J2:J668)</f>
        <v>2472.0056585671141</v>
      </c>
      <c r="G7" s="1">
        <f>_xlfn.VAR.S(Raw_Data!K2:K668)</f>
        <v>359.03662132897466</v>
      </c>
      <c r="H7" s="1">
        <f>_xlfn.VAR.S(Raw_Data!L2:L668)</f>
        <v>17.860429473101043</v>
      </c>
      <c r="I7" s="1">
        <f>_xlfn.VAR.S(Raw_Data!M2:M668)</f>
        <v>2476.0507147327153</v>
      </c>
    </row>
    <row r="8" spans="1:9" x14ac:dyDescent="0.25">
      <c r="A8" s="4" t="s">
        <v>123</v>
      </c>
      <c r="B8" s="1">
        <f>_xlfn.STDEV.S(Raw_Data!G2:G668)</f>
        <v>55.508627757237747</v>
      </c>
      <c r="C8" s="1">
        <f>_xlfn.STDEV.S(Raw_Data!H2:H668)</f>
        <v>20.396790483935298</v>
      </c>
      <c r="D8" s="1">
        <f>_xlfn.STDEV.S(Raw_Data!I2:I668)</f>
        <v>9.4364634536026362</v>
      </c>
      <c r="E8" s="1">
        <f>_xlfn.STDEV.S(Raw_Data!J2:J668)</f>
        <v>49.719268483829424</v>
      </c>
      <c r="F8" s="1">
        <f>_xlfn.STDEV.S(Raw_Data!K2:K668)</f>
        <v>18.948261696761914</v>
      </c>
      <c r="G8" s="1">
        <f>_xlfn.STDEV.S(Raw_Data!L2:L668)</f>
        <v>4.2261601333954495</v>
      </c>
      <c r="H8" s="1">
        <f>_xlfn.STDEV.S(Raw_Data!M2:M668)</f>
        <v>49.759930815192213</v>
      </c>
      <c r="I8" s="1">
        <f>_xlfn.STDEV.S(Raw_Data!N2:N668)</f>
        <v>20.172504565253863</v>
      </c>
    </row>
    <row r="9" spans="1:9" x14ac:dyDescent="0.25">
      <c r="A9" s="4" t="s">
        <v>124</v>
      </c>
      <c r="B9" s="1">
        <f>MIN(Raw_Data!B2:B668)</f>
        <v>1</v>
      </c>
      <c r="C9" s="1">
        <f>MIN(Raw_Data!G2:G668)</f>
        <v>25.9</v>
      </c>
      <c r="D9" s="1">
        <f>MIN(Raw_Data!H2:H668)</f>
        <v>30</v>
      </c>
      <c r="E9" s="1">
        <f>MIN(Raw_Data!I2:I668)</f>
        <v>4.4000000000000004</v>
      </c>
      <c r="F9" s="1">
        <f>MIN(Raw_Data!J2:J668)</f>
        <v>48.1</v>
      </c>
      <c r="G9" s="1">
        <f>MIN(Raw_Data!K2:K668)</f>
        <v>37</v>
      </c>
      <c r="H9" s="1">
        <f>MIN(Raw_Data!L2:L668)</f>
        <v>4.09</v>
      </c>
      <c r="I9" s="1">
        <f>MIN(Raw_Data!M2:M668)</f>
        <v>23.2</v>
      </c>
    </row>
    <row r="10" spans="1:9" x14ac:dyDescent="0.25">
      <c r="A10" s="9" t="s">
        <v>125</v>
      </c>
      <c r="B10" s="10">
        <f>MAX(Raw_Data!F2:F668)</f>
        <v>51</v>
      </c>
      <c r="C10" s="10">
        <f>MAX(Raw_Data!G2:G668)</f>
        <v>334.3</v>
      </c>
      <c r="D10" s="10">
        <f>MAX(Raw_Data!H2:H668)</f>
        <v>165</v>
      </c>
      <c r="E10" s="10">
        <f>MAX(Raw_Data!I2:I668)</f>
        <v>56.83</v>
      </c>
      <c r="F10" s="10">
        <f>MAX(Raw_Data!J2:J668)</f>
        <v>361.8</v>
      </c>
      <c r="G10" s="10">
        <f>MAX(Raw_Data!K2:K668)</f>
        <v>168</v>
      </c>
      <c r="H10" s="10">
        <f>MAX(Raw_Data!L2:L668)</f>
        <v>30.75</v>
      </c>
      <c r="I10" s="10">
        <f>MAX(Raw_Data!M2:M668)</f>
        <v>367.7</v>
      </c>
    </row>
    <row r="13" spans="1:9" x14ac:dyDescent="0.25">
      <c r="A13" s="13" t="s">
        <v>126</v>
      </c>
    </row>
    <row r="15" spans="1:9" x14ac:dyDescent="0.25">
      <c r="A15" s="1" t="s">
        <v>127</v>
      </c>
      <c r="B15" s="1">
        <f>COUNTA(Raw_Data!A2:A668)</f>
        <v>667</v>
      </c>
    </row>
    <row r="16" spans="1:9" x14ac:dyDescent="0.25">
      <c r="A16" s="1" t="s">
        <v>128</v>
      </c>
      <c r="B16" s="1">
        <f>COUNTIF(Raw_Data!T2:T668,TRUE)</f>
        <v>95</v>
      </c>
    </row>
    <row r="17" spans="1:4" x14ac:dyDescent="0.25">
      <c r="A17" s="1" t="s">
        <v>129</v>
      </c>
      <c r="B17" s="1">
        <f>COUNTIF(Raw_Data!T2:T668,FALSE)</f>
        <v>572</v>
      </c>
    </row>
    <row r="18" spans="1:4" x14ac:dyDescent="0.25">
      <c r="A18" s="1" t="s">
        <v>130</v>
      </c>
      <c r="B18" s="15">
        <f>B16/B15</f>
        <v>0.14242878560719641</v>
      </c>
    </row>
    <row r="21" spans="1:4" x14ac:dyDescent="0.25">
      <c r="A21" s="13" t="s">
        <v>131</v>
      </c>
    </row>
    <row r="23" spans="1:4" x14ac:dyDescent="0.25">
      <c r="A23" s="1" t="s">
        <v>132</v>
      </c>
      <c r="B23" s="1" t="s">
        <v>133</v>
      </c>
      <c r="C23" s="1" t="s">
        <v>134</v>
      </c>
      <c r="D23" s="1" t="s">
        <v>135</v>
      </c>
    </row>
    <row r="24" spans="1:4" x14ac:dyDescent="0.25">
      <c r="A24" s="1" t="s">
        <v>27</v>
      </c>
      <c r="B24" s="1">
        <f>COUNTIF(Raw_Data!D2:D668,A24)</f>
        <v>53</v>
      </c>
      <c r="C24" s="1">
        <f>COUNTIFS(Raw_Data!D2:D668,A24,Raw_Data!T2:T668,TRUE)</f>
        <v>19</v>
      </c>
      <c r="D24" s="14">
        <f>C24/B24</f>
        <v>0.35849056603773582</v>
      </c>
    </row>
    <row r="25" spans="1:4" x14ac:dyDescent="0.25">
      <c r="A25" s="1" t="s">
        <v>21</v>
      </c>
      <c r="B25" s="1">
        <f>COUNTIF(Raw_Data!D3:D669,A25)</f>
        <v>613</v>
      </c>
      <c r="C25" s="1">
        <f>COUNTIFS(Raw_Data!D3:D669,A25,Raw_Data!T3:T669,TRUE)</f>
        <v>76</v>
      </c>
      <c r="D25" s="14">
        <f>C25/B25</f>
        <v>0.12398042414355628</v>
      </c>
    </row>
    <row r="28" spans="1:4" x14ac:dyDescent="0.25">
      <c r="A28" s="13" t="s">
        <v>136</v>
      </c>
    </row>
    <row r="30" spans="1:4" x14ac:dyDescent="0.25">
      <c r="A30" s="22" t="s">
        <v>137</v>
      </c>
      <c r="B30" s="22" t="s">
        <v>138</v>
      </c>
      <c r="C30" s="22" t="s">
        <v>134</v>
      </c>
      <c r="D30" s="22" t="s">
        <v>130</v>
      </c>
    </row>
    <row r="31" spans="1:4" x14ac:dyDescent="0.25">
      <c r="A31" s="1">
        <v>0</v>
      </c>
      <c r="B31" s="1">
        <f>COUNTIF(Raw_Data!S2:S6668,A31)</f>
        <v>142</v>
      </c>
      <c r="C31" s="1">
        <f>COUNTIFS(Raw_Data!S2:S668,A31,Raw_Data!T2:T668,TRUE)</f>
        <v>13</v>
      </c>
      <c r="D31" s="1">
        <f>IFERROR(C31/B31,0)</f>
        <v>9.154929577464789E-2</v>
      </c>
    </row>
    <row r="32" spans="1:4" x14ac:dyDescent="0.25">
      <c r="A32" s="1">
        <v>1</v>
      </c>
      <c r="B32" s="1">
        <f>COUNTIF(Raw_Data!S3:S6669,A32)</f>
        <v>235</v>
      </c>
      <c r="C32" s="1">
        <f>COUNTIFS(Raw_Data!S3:S669,A32,Raw_Data!T3:T669,TRUE)</f>
        <v>23</v>
      </c>
      <c r="D32" s="1">
        <f>IFERROR(C32/B32,0)</f>
        <v>9.7872340425531917E-2</v>
      </c>
    </row>
    <row r="33" spans="1:5" x14ac:dyDescent="0.25">
      <c r="A33" s="1">
        <v>2</v>
      </c>
      <c r="B33" s="1">
        <f>COUNTIF(Raw_Data!S4:S6670,A33)</f>
        <v>151</v>
      </c>
      <c r="C33" s="1">
        <f>COUNTIFS(Raw_Data!S4:S670,A33,Raw_Data!T4:T670,TRUE)</f>
        <v>25</v>
      </c>
      <c r="D33" s="1">
        <f t="shared" ref="D32:D39" si="0">IFERROR(C33/B33,0)</f>
        <v>0.16556291390728478</v>
      </c>
    </row>
    <row r="34" spans="1:5" x14ac:dyDescent="0.25">
      <c r="A34" s="1">
        <v>3</v>
      </c>
      <c r="B34" s="1">
        <f>COUNTIF(Raw_Data!S5:S6671,A34)</f>
        <v>81</v>
      </c>
      <c r="C34" s="1">
        <f>COUNTIFS(Raw_Data!S5:S671,A34,Raw_Data!T5:T671,TRUE)</f>
        <v>7</v>
      </c>
      <c r="D34" s="1">
        <f t="shared" si="0"/>
        <v>8.6419753086419748E-2</v>
      </c>
    </row>
    <row r="35" spans="1:5" x14ac:dyDescent="0.25">
      <c r="A35" s="1">
        <v>4</v>
      </c>
      <c r="B35" s="1">
        <f>COUNTIF(Raw_Data!S6:S6672,A35)</f>
        <v>31</v>
      </c>
      <c r="C35" s="1">
        <f>COUNTIFS(Raw_Data!S6:S672,A35,Raw_Data!T6:T672,TRUE)</f>
        <v>10</v>
      </c>
      <c r="D35" s="1">
        <f t="shared" si="0"/>
        <v>0.32258064516129031</v>
      </c>
    </row>
    <row r="36" spans="1:5" x14ac:dyDescent="0.25">
      <c r="A36" s="1">
        <v>5</v>
      </c>
      <c r="B36" s="1">
        <f>COUNTIF(Raw_Data!S7:S6673,A36)</f>
        <v>17</v>
      </c>
      <c r="C36" s="1">
        <f>COUNTIFS(Raw_Data!S7:S673,A36,Raw_Data!T7:T673,TRUE)</f>
        <v>11</v>
      </c>
      <c r="D36" s="1">
        <f t="shared" si="0"/>
        <v>0.6470588235294118</v>
      </c>
    </row>
    <row r="37" spans="1:5" x14ac:dyDescent="0.25">
      <c r="A37" s="1">
        <v>6</v>
      </c>
      <c r="B37" s="1">
        <f>COUNTIF(Raw_Data!S8:S6674,A37)</f>
        <v>5</v>
      </c>
      <c r="C37" s="1">
        <f>COUNTIFS(Raw_Data!S8:S674,A37,Raw_Data!T8:T674,TRUE)</f>
        <v>4</v>
      </c>
      <c r="D37" s="1">
        <f t="shared" si="0"/>
        <v>0.8</v>
      </c>
    </row>
    <row r="38" spans="1:5" x14ac:dyDescent="0.25">
      <c r="A38" s="1">
        <v>7</v>
      </c>
      <c r="B38" s="1">
        <f>COUNTIF(Raw_Data!S9:S6675,A38)</f>
        <v>1</v>
      </c>
      <c r="C38" s="1">
        <f>COUNTIFS(Raw_Data!S9:S675,A38,Raw_Data!T9:T675,TRUE)</f>
        <v>0</v>
      </c>
      <c r="D38" s="1">
        <f>IFERROR(C38/B38,0)</f>
        <v>0</v>
      </c>
    </row>
    <row r="39" spans="1:5" x14ac:dyDescent="0.25">
      <c r="A39" s="1">
        <v>8</v>
      </c>
      <c r="B39" s="1">
        <f>COUNTIF(Raw_Data!S10:S6676,A39)</f>
        <v>1</v>
      </c>
      <c r="C39" s="1">
        <f>COUNTIFS(Raw_Data!S10:S676,A39,Raw_Data!T10:T676,TRUE)</f>
        <v>0</v>
      </c>
      <c r="D39" s="1">
        <f t="shared" si="0"/>
        <v>0</v>
      </c>
    </row>
    <row r="42" spans="1:5" x14ac:dyDescent="0.25">
      <c r="A42" s="13" t="s">
        <v>139</v>
      </c>
      <c r="D42" s="13" t="s">
        <v>146</v>
      </c>
    </row>
    <row r="44" spans="1:5" x14ac:dyDescent="0.25">
      <c r="A44" s="22" t="s">
        <v>140</v>
      </c>
      <c r="B44" s="22" t="s">
        <v>141</v>
      </c>
      <c r="D44" s="1" t="s">
        <v>147</v>
      </c>
      <c r="E44" s="1">
        <f>SLOPE(Raw_Data!I2:I668,Raw_Data!G2:G668)</f>
        <v>0.16999993330421986</v>
      </c>
    </row>
    <row r="45" spans="1:5" x14ac:dyDescent="0.25">
      <c r="A45" s="1" t="s">
        <v>142</v>
      </c>
      <c r="B45" s="1">
        <f>CORREL(Raw_Data!G2:G668,Raw_Data!I2:I668)</f>
        <v>0.99999995368356709</v>
      </c>
      <c r="D45" s="1" t="s">
        <v>148</v>
      </c>
      <c r="E45" s="1">
        <f>INTERCEPT(Raw_Data!I2:I668,Raw_Data!G2:G668)</f>
        <v>5.9977462332483356E-4</v>
      </c>
    </row>
    <row r="46" spans="1:5" x14ac:dyDescent="0.25">
      <c r="A46" s="1" t="s">
        <v>143</v>
      </c>
      <c r="B46" s="1">
        <f>CORREL(Raw_Data!J2:J668,Raw_Data!L2:L668)</f>
        <v>0.99999975461211055</v>
      </c>
      <c r="D46" s="1" t="s">
        <v>149</v>
      </c>
      <c r="E46" s="1">
        <f>RSQ(Raw_Data!I2:I668,Raw_Data!G2:G668)</f>
        <v>0.99999990736713673</v>
      </c>
    </row>
    <row r="47" spans="1:5" x14ac:dyDescent="0.25">
      <c r="A47" s="1" t="s">
        <v>144</v>
      </c>
      <c r="B47" s="1">
        <f>CORREL(Raw_Data!M2:M668,Raw_Data!O2:O668)</f>
        <v>0.99999917555294981</v>
      </c>
      <c r="D47" s="1" t="s">
        <v>150</v>
      </c>
      <c r="E47" s="1">
        <f>_xlfn.FORECAST.LINEAR(200,Raw_Data!I2:I668,Raw_Data!G2:G668)</f>
        <v>34.000586435467298</v>
      </c>
    </row>
    <row r="48" spans="1:5" x14ac:dyDescent="0.25">
      <c r="A48" s="1" t="s">
        <v>145</v>
      </c>
      <c r="B48" s="1">
        <f>CORREL(Raw_Data!P2:P668,Raw_Data!R2:R668)</f>
        <v>0.99999309768653111</v>
      </c>
    </row>
  </sheetData>
  <pageMargins left="0.7" right="0.7" top="0.75" bottom="0.75" header="0.3" footer="0.3"/>
  <ignoredErrors>
    <ignoredError sqref="C32:C39 B32:B39" formulaRange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47CE-A1F2-424B-AEE1-AE232BB572CE}">
  <dimension ref="A1:J573"/>
  <sheetViews>
    <sheetView topLeftCell="B31" workbookViewId="0">
      <selection activeCell="F2" sqref="F2"/>
    </sheetView>
  </sheetViews>
  <sheetFormatPr defaultRowHeight="15" x14ac:dyDescent="0.25"/>
  <sheetData>
    <row r="1" spans="1:10" x14ac:dyDescent="0.25">
      <c r="A1" t="s">
        <v>151</v>
      </c>
      <c r="C1" t="s">
        <v>152</v>
      </c>
      <c r="E1" t="s">
        <v>153</v>
      </c>
      <c r="G1" t="s">
        <v>154</v>
      </c>
    </row>
    <row r="2" spans="1:10" x14ac:dyDescent="0.25">
      <c r="A2" cm="1">
        <f t="array" ref="A2:A96">_xlfn._xlws.FILTER(Raw_Data!G2:G668,Raw_Data!T2:T668=TRUE)</f>
        <v>129.1</v>
      </c>
      <c r="C2" cm="1">
        <f t="array" ref="C2:C573">_xlfn._xlws.FILTER(Raw_Data!G2:G668,Raw_Data!T2:T668=FALSE)</f>
        <v>184.5</v>
      </c>
      <c r="E2">
        <f>_xlfn.T.TEST(_xlfn.ANCHORARRAY(A2),_xlfn.ANCHORARRAY(C2),2,2)</f>
        <v>2.1022106736439459E-10</v>
      </c>
      <c r="G2" s="1" t="s">
        <v>155</v>
      </c>
      <c r="H2" s="1"/>
      <c r="I2" s="1" t="s">
        <v>157</v>
      </c>
      <c r="J2" s="1" t="s">
        <v>158</v>
      </c>
    </row>
    <row r="3" spans="1:10" x14ac:dyDescent="0.25">
      <c r="A3">
        <v>332.9</v>
      </c>
      <c r="C3">
        <v>110.4</v>
      </c>
      <c r="G3" s="1" t="s">
        <v>134</v>
      </c>
      <c r="H3" s="1"/>
      <c r="I3" s="1">
        <f>COUNTIFS(Raw_Data!D2:D668,I2,Raw_Data!T2:T668,TRUE)</f>
        <v>19</v>
      </c>
      <c r="J3" s="1">
        <f>COUNTIFS(Raw_Data!D2:D668,I2,Raw_Data!T2:T668,FALSE)</f>
        <v>34</v>
      </c>
    </row>
    <row r="4" spans="1:10" x14ac:dyDescent="0.25">
      <c r="A4">
        <v>159.1</v>
      </c>
      <c r="C4">
        <v>119.3</v>
      </c>
    </row>
    <row r="5" spans="1:10" x14ac:dyDescent="0.25">
      <c r="A5">
        <v>203.4</v>
      </c>
      <c r="C5">
        <v>146.30000000000001</v>
      </c>
    </row>
    <row r="6" spans="1:10" x14ac:dyDescent="0.25">
      <c r="A6">
        <v>251.8</v>
      </c>
      <c r="C6">
        <v>211.3</v>
      </c>
    </row>
    <row r="7" spans="1:10" x14ac:dyDescent="0.25">
      <c r="A7">
        <v>326.5</v>
      </c>
      <c r="C7">
        <v>186.1</v>
      </c>
    </row>
    <row r="8" spans="1:10" x14ac:dyDescent="0.25">
      <c r="A8">
        <v>134.4</v>
      </c>
      <c r="C8">
        <v>148.80000000000001</v>
      </c>
    </row>
    <row r="9" spans="1:10" x14ac:dyDescent="0.25">
      <c r="A9">
        <v>62.6</v>
      </c>
      <c r="C9">
        <v>193.7</v>
      </c>
    </row>
    <row r="10" spans="1:10" x14ac:dyDescent="0.25">
      <c r="A10">
        <v>189.8</v>
      </c>
      <c r="C10">
        <v>235.8</v>
      </c>
    </row>
    <row r="11" spans="1:10" x14ac:dyDescent="0.25">
      <c r="A11">
        <v>303.89999999999998</v>
      </c>
      <c r="C11">
        <v>214.1</v>
      </c>
    </row>
    <row r="12" spans="1:10" x14ac:dyDescent="0.25">
      <c r="A12">
        <v>172.7</v>
      </c>
      <c r="C12">
        <v>179.3</v>
      </c>
    </row>
    <row r="13" spans="1:10" x14ac:dyDescent="0.25">
      <c r="A13">
        <v>266.60000000000002</v>
      </c>
      <c r="C13">
        <v>160.1</v>
      </c>
    </row>
    <row r="14" spans="1:10" x14ac:dyDescent="0.25">
      <c r="A14">
        <v>170.4</v>
      </c>
      <c r="C14">
        <v>178.3</v>
      </c>
    </row>
    <row r="15" spans="1:10" x14ac:dyDescent="0.25">
      <c r="A15">
        <v>296.39999999999998</v>
      </c>
      <c r="C15">
        <v>135</v>
      </c>
    </row>
    <row r="16" spans="1:10" x14ac:dyDescent="0.25">
      <c r="A16">
        <v>236.2</v>
      </c>
      <c r="C16">
        <v>281.39999999999998</v>
      </c>
    </row>
    <row r="17" spans="1:3" x14ac:dyDescent="0.25">
      <c r="A17">
        <v>234.4</v>
      </c>
      <c r="C17">
        <v>148.6</v>
      </c>
    </row>
    <row r="18" spans="1:3" x14ac:dyDescent="0.25">
      <c r="A18">
        <v>191.9</v>
      </c>
      <c r="C18">
        <v>58.9</v>
      </c>
    </row>
    <row r="19" spans="1:3" x14ac:dyDescent="0.25">
      <c r="A19">
        <v>211.3</v>
      </c>
      <c r="C19">
        <v>239.8</v>
      </c>
    </row>
    <row r="20" spans="1:3" x14ac:dyDescent="0.25">
      <c r="A20">
        <v>154</v>
      </c>
      <c r="C20">
        <v>166.3</v>
      </c>
    </row>
    <row r="21" spans="1:3" x14ac:dyDescent="0.25">
      <c r="A21">
        <v>279.8</v>
      </c>
      <c r="C21">
        <v>146.69999999999999</v>
      </c>
    </row>
    <row r="22" spans="1:3" x14ac:dyDescent="0.25">
      <c r="A22">
        <v>136.80000000000001</v>
      </c>
      <c r="C22">
        <v>181.5</v>
      </c>
    </row>
    <row r="23" spans="1:3" x14ac:dyDescent="0.25">
      <c r="A23">
        <v>228.1</v>
      </c>
      <c r="C23">
        <v>102.8</v>
      </c>
    </row>
    <row r="24" spans="1:3" x14ac:dyDescent="0.25">
      <c r="A24">
        <v>89.7</v>
      </c>
      <c r="C24">
        <v>187.9</v>
      </c>
    </row>
    <row r="25" spans="1:3" x14ac:dyDescent="0.25">
      <c r="A25">
        <v>220.7</v>
      </c>
      <c r="C25">
        <v>183.6</v>
      </c>
    </row>
    <row r="26" spans="1:3" x14ac:dyDescent="0.25">
      <c r="A26">
        <v>157.6</v>
      </c>
      <c r="C26">
        <v>230.9</v>
      </c>
    </row>
    <row r="27" spans="1:3" x14ac:dyDescent="0.25">
      <c r="A27">
        <v>264.7</v>
      </c>
      <c r="C27">
        <v>182.1</v>
      </c>
    </row>
    <row r="28" spans="1:3" x14ac:dyDescent="0.25">
      <c r="A28">
        <v>249.9</v>
      </c>
      <c r="C28">
        <v>119.3</v>
      </c>
    </row>
    <row r="29" spans="1:3" x14ac:dyDescent="0.25">
      <c r="A29">
        <v>87.2</v>
      </c>
      <c r="C29">
        <v>116.8</v>
      </c>
    </row>
    <row r="30" spans="1:3" x14ac:dyDescent="0.25">
      <c r="A30">
        <v>126.9</v>
      </c>
      <c r="C30">
        <v>202.1</v>
      </c>
    </row>
    <row r="31" spans="1:3" x14ac:dyDescent="0.25">
      <c r="A31">
        <v>148.5</v>
      </c>
      <c r="C31">
        <v>271.60000000000002</v>
      </c>
    </row>
    <row r="32" spans="1:3" x14ac:dyDescent="0.25">
      <c r="A32">
        <v>322.5</v>
      </c>
      <c r="C32">
        <v>243.8</v>
      </c>
    </row>
    <row r="33" spans="1:3" x14ac:dyDescent="0.25">
      <c r="A33">
        <v>199.6</v>
      </c>
      <c r="C33">
        <v>241.1</v>
      </c>
    </row>
    <row r="34" spans="1:3" x14ac:dyDescent="0.25">
      <c r="A34">
        <v>152</v>
      </c>
      <c r="C34">
        <v>136.1</v>
      </c>
    </row>
    <row r="35" spans="1:3" x14ac:dyDescent="0.25">
      <c r="A35">
        <v>334.3</v>
      </c>
      <c r="C35">
        <v>213.4</v>
      </c>
    </row>
    <row r="36" spans="1:3" x14ac:dyDescent="0.25">
      <c r="A36">
        <v>154.19999999999999</v>
      </c>
      <c r="C36">
        <v>196.6</v>
      </c>
    </row>
    <row r="37" spans="1:3" x14ac:dyDescent="0.25">
      <c r="A37">
        <v>322.3</v>
      </c>
      <c r="C37">
        <v>83.6</v>
      </c>
    </row>
    <row r="38" spans="1:3" x14ac:dyDescent="0.25">
      <c r="A38">
        <v>154.4</v>
      </c>
      <c r="C38">
        <v>181.8</v>
      </c>
    </row>
    <row r="39" spans="1:3" x14ac:dyDescent="0.25">
      <c r="A39">
        <v>160</v>
      </c>
      <c r="C39">
        <v>154</v>
      </c>
    </row>
    <row r="40" spans="1:3" x14ac:dyDescent="0.25">
      <c r="A40">
        <v>229.7</v>
      </c>
      <c r="C40">
        <v>119</v>
      </c>
    </row>
    <row r="41" spans="1:3" x14ac:dyDescent="0.25">
      <c r="A41">
        <v>266.3</v>
      </c>
      <c r="C41">
        <v>165.9</v>
      </c>
    </row>
    <row r="42" spans="1:3" x14ac:dyDescent="0.25">
      <c r="A42">
        <v>96.8</v>
      </c>
      <c r="C42">
        <v>168.3</v>
      </c>
    </row>
    <row r="43" spans="1:3" x14ac:dyDescent="0.25">
      <c r="A43">
        <v>284.39999999999998</v>
      </c>
      <c r="C43">
        <v>262.39999999999998</v>
      </c>
    </row>
    <row r="44" spans="1:3" x14ac:dyDescent="0.25">
      <c r="A44">
        <v>143.19999999999999</v>
      </c>
      <c r="C44">
        <v>94.4</v>
      </c>
    </row>
    <row r="45" spans="1:3" x14ac:dyDescent="0.25">
      <c r="A45">
        <v>82.3</v>
      </c>
      <c r="C45">
        <v>221.4</v>
      </c>
    </row>
    <row r="46" spans="1:3" x14ac:dyDescent="0.25">
      <c r="A46">
        <v>273.89999999999998</v>
      </c>
      <c r="C46">
        <v>172.3</v>
      </c>
    </row>
    <row r="47" spans="1:3" x14ac:dyDescent="0.25">
      <c r="A47">
        <v>154</v>
      </c>
      <c r="C47">
        <v>198.4</v>
      </c>
    </row>
    <row r="48" spans="1:3" x14ac:dyDescent="0.25">
      <c r="A48">
        <v>131.4</v>
      </c>
      <c r="C48">
        <v>147.5</v>
      </c>
    </row>
    <row r="49" spans="1:3" x14ac:dyDescent="0.25">
      <c r="A49">
        <v>269</v>
      </c>
      <c r="C49">
        <v>230.6</v>
      </c>
    </row>
    <row r="50" spans="1:3" x14ac:dyDescent="0.25">
      <c r="A50">
        <v>293.7</v>
      </c>
      <c r="C50">
        <v>181.5</v>
      </c>
    </row>
    <row r="51" spans="1:3" x14ac:dyDescent="0.25">
      <c r="A51">
        <v>129.69999999999999</v>
      </c>
      <c r="C51">
        <v>68.7</v>
      </c>
    </row>
    <row r="52" spans="1:3" x14ac:dyDescent="0.25">
      <c r="A52">
        <v>268.7</v>
      </c>
      <c r="C52">
        <v>233.8</v>
      </c>
    </row>
    <row r="53" spans="1:3" x14ac:dyDescent="0.25">
      <c r="A53">
        <v>276.10000000000002</v>
      </c>
      <c r="C53">
        <v>244.6</v>
      </c>
    </row>
    <row r="54" spans="1:3" x14ac:dyDescent="0.25">
      <c r="A54">
        <v>179.7</v>
      </c>
      <c r="C54">
        <v>124.4</v>
      </c>
    </row>
    <row r="55" spans="1:3" x14ac:dyDescent="0.25">
      <c r="A55">
        <v>81.900000000000006</v>
      </c>
      <c r="C55">
        <v>230</v>
      </c>
    </row>
    <row r="56" spans="1:3" x14ac:dyDescent="0.25">
      <c r="A56">
        <v>153</v>
      </c>
      <c r="C56">
        <v>201.8</v>
      </c>
    </row>
    <row r="57" spans="1:3" x14ac:dyDescent="0.25">
      <c r="A57">
        <v>70.8</v>
      </c>
      <c r="C57">
        <v>214</v>
      </c>
    </row>
    <row r="58" spans="1:3" x14ac:dyDescent="0.25">
      <c r="A58">
        <v>281.3</v>
      </c>
      <c r="C58">
        <v>210.5</v>
      </c>
    </row>
    <row r="59" spans="1:3" x14ac:dyDescent="0.25">
      <c r="A59">
        <v>238</v>
      </c>
      <c r="C59">
        <v>105.6</v>
      </c>
    </row>
    <row r="60" spans="1:3" x14ac:dyDescent="0.25">
      <c r="A60">
        <v>157.80000000000001</v>
      </c>
      <c r="C60">
        <v>138.6</v>
      </c>
    </row>
    <row r="61" spans="1:3" x14ac:dyDescent="0.25">
      <c r="A61">
        <v>269.2</v>
      </c>
      <c r="C61">
        <v>145.80000000000001</v>
      </c>
    </row>
    <row r="62" spans="1:3" x14ac:dyDescent="0.25">
      <c r="A62">
        <v>249.8</v>
      </c>
      <c r="C62">
        <v>97.2</v>
      </c>
    </row>
    <row r="63" spans="1:3" x14ac:dyDescent="0.25">
      <c r="A63">
        <v>232.1</v>
      </c>
      <c r="C63">
        <v>259.8</v>
      </c>
    </row>
    <row r="64" spans="1:3" x14ac:dyDescent="0.25">
      <c r="A64">
        <v>267.10000000000002</v>
      </c>
      <c r="C64">
        <v>239.9</v>
      </c>
    </row>
    <row r="65" spans="1:3" x14ac:dyDescent="0.25">
      <c r="A65">
        <v>313.2</v>
      </c>
      <c r="C65">
        <v>221.6</v>
      </c>
    </row>
    <row r="66" spans="1:3" x14ac:dyDescent="0.25">
      <c r="A66">
        <v>195.5</v>
      </c>
      <c r="C66">
        <v>192.9</v>
      </c>
    </row>
    <row r="67" spans="1:3" x14ac:dyDescent="0.25">
      <c r="A67">
        <v>273.2</v>
      </c>
      <c r="C67">
        <v>173.2</v>
      </c>
    </row>
    <row r="68" spans="1:3" x14ac:dyDescent="0.25">
      <c r="A68">
        <v>159.5</v>
      </c>
      <c r="C68">
        <v>153.5</v>
      </c>
    </row>
    <row r="69" spans="1:3" x14ac:dyDescent="0.25">
      <c r="A69">
        <v>239.7</v>
      </c>
      <c r="C69">
        <v>59.5</v>
      </c>
    </row>
    <row r="70" spans="1:3" x14ac:dyDescent="0.25">
      <c r="A70">
        <v>239.9</v>
      </c>
      <c r="C70">
        <v>264.3</v>
      </c>
    </row>
    <row r="71" spans="1:3" x14ac:dyDescent="0.25">
      <c r="A71">
        <v>197.8</v>
      </c>
      <c r="C71">
        <v>127.9</v>
      </c>
    </row>
    <row r="72" spans="1:3" x14ac:dyDescent="0.25">
      <c r="A72">
        <v>146.80000000000001</v>
      </c>
      <c r="C72">
        <v>149</v>
      </c>
    </row>
    <row r="73" spans="1:3" x14ac:dyDescent="0.25">
      <c r="A73">
        <v>167.8</v>
      </c>
      <c r="C73">
        <v>198.9</v>
      </c>
    </row>
    <row r="74" spans="1:3" x14ac:dyDescent="0.25">
      <c r="A74">
        <v>113</v>
      </c>
      <c r="C74">
        <v>98.2</v>
      </c>
    </row>
    <row r="75" spans="1:3" x14ac:dyDescent="0.25">
      <c r="A75">
        <v>211.2</v>
      </c>
      <c r="C75">
        <v>147.9</v>
      </c>
    </row>
    <row r="76" spans="1:3" x14ac:dyDescent="0.25">
      <c r="A76">
        <v>247.2</v>
      </c>
      <c r="C76">
        <v>106.4</v>
      </c>
    </row>
    <row r="77" spans="1:3" x14ac:dyDescent="0.25">
      <c r="A77">
        <v>231.2</v>
      </c>
      <c r="C77">
        <v>70.900000000000006</v>
      </c>
    </row>
    <row r="78" spans="1:3" x14ac:dyDescent="0.25">
      <c r="A78">
        <v>240.7</v>
      </c>
      <c r="C78">
        <v>214.6</v>
      </c>
    </row>
    <row r="79" spans="1:3" x14ac:dyDescent="0.25">
      <c r="A79">
        <v>255.1</v>
      </c>
      <c r="C79">
        <v>151.1</v>
      </c>
    </row>
    <row r="80" spans="1:3" x14ac:dyDescent="0.25">
      <c r="A80">
        <v>279.10000000000002</v>
      </c>
      <c r="C80">
        <v>233.8</v>
      </c>
    </row>
    <row r="81" spans="1:3" x14ac:dyDescent="0.25">
      <c r="A81">
        <v>247.2</v>
      </c>
      <c r="C81">
        <v>208.9</v>
      </c>
    </row>
    <row r="82" spans="1:3" x14ac:dyDescent="0.25">
      <c r="A82">
        <v>239.1</v>
      </c>
      <c r="C82">
        <v>119.6</v>
      </c>
    </row>
    <row r="83" spans="1:3" x14ac:dyDescent="0.25">
      <c r="A83">
        <v>263.7</v>
      </c>
      <c r="C83">
        <v>114.3</v>
      </c>
    </row>
    <row r="84" spans="1:3" x14ac:dyDescent="0.25">
      <c r="A84">
        <v>324.7</v>
      </c>
      <c r="C84">
        <v>214.7</v>
      </c>
    </row>
    <row r="85" spans="1:3" x14ac:dyDescent="0.25">
      <c r="A85">
        <v>266</v>
      </c>
      <c r="C85">
        <v>231.3</v>
      </c>
    </row>
    <row r="86" spans="1:3" x14ac:dyDescent="0.25">
      <c r="A86">
        <v>296</v>
      </c>
      <c r="C86">
        <v>40.9</v>
      </c>
    </row>
    <row r="87" spans="1:3" x14ac:dyDescent="0.25">
      <c r="A87">
        <v>276.89999999999998</v>
      </c>
      <c r="C87">
        <v>310.39999999999998</v>
      </c>
    </row>
    <row r="88" spans="1:3" x14ac:dyDescent="0.25">
      <c r="A88">
        <v>287.39999999999998</v>
      </c>
      <c r="C88">
        <v>216.6</v>
      </c>
    </row>
    <row r="89" spans="1:3" x14ac:dyDescent="0.25">
      <c r="A89">
        <v>128.6</v>
      </c>
      <c r="C89">
        <v>209.9</v>
      </c>
    </row>
    <row r="90" spans="1:3" x14ac:dyDescent="0.25">
      <c r="A90">
        <v>115.1</v>
      </c>
      <c r="C90">
        <v>234.5</v>
      </c>
    </row>
    <row r="91" spans="1:3" x14ac:dyDescent="0.25">
      <c r="A91">
        <v>227.9</v>
      </c>
      <c r="C91">
        <v>103.1</v>
      </c>
    </row>
    <row r="92" spans="1:3" x14ac:dyDescent="0.25">
      <c r="A92">
        <v>271.8</v>
      </c>
      <c r="C92">
        <v>224.5</v>
      </c>
    </row>
    <row r="93" spans="1:3" x14ac:dyDescent="0.25">
      <c r="A93">
        <v>113.3</v>
      </c>
      <c r="C93">
        <v>160.6</v>
      </c>
    </row>
    <row r="94" spans="1:3" x14ac:dyDescent="0.25">
      <c r="A94">
        <v>289.10000000000002</v>
      </c>
      <c r="C94">
        <v>121.5</v>
      </c>
    </row>
    <row r="95" spans="1:3" x14ac:dyDescent="0.25">
      <c r="A95">
        <v>295</v>
      </c>
      <c r="C95">
        <v>80.2</v>
      </c>
    </row>
    <row r="96" spans="1:3" x14ac:dyDescent="0.25">
      <c r="A96">
        <v>280</v>
      </c>
      <c r="C96">
        <v>125.7</v>
      </c>
    </row>
    <row r="97" spans="3:3" x14ac:dyDescent="0.25">
      <c r="C97">
        <v>160.4</v>
      </c>
    </row>
    <row r="98" spans="3:3" x14ac:dyDescent="0.25">
      <c r="C98">
        <v>169.9</v>
      </c>
    </row>
    <row r="99" spans="3:3" x14ac:dyDescent="0.25">
      <c r="C99">
        <v>142.30000000000001</v>
      </c>
    </row>
    <row r="100" spans="3:3" x14ac:dyDescent="0.25">
      <c r="C100">
        <v>146.19999999999999</v>
      </c>
    </row>
    <row r="101" spans="3:3" x14ac:dyDescent="0.25">
      <c r="C101">
        <v>231.8</v>
      </c>
    </row>
    <row r="102" spans="3:3" x14ac:dyDescent="0.25">
      <c r="C102">
        <v>128.19999999999999</v>
      </c>
    </row>
    <row r="103" spans="3:3" x14ac:dyDescent="0.25">
      <c r="C103">
        <v>130.19999999999999</v>
      </c>
    </row>
    <row r="104" spans="3:3" x14ac:dyDescent="0.25">
      <c r="C104">
        <v>209.6</v>
      </c>
    </row>
    <row r="105" spans="3:3" x14ac:dyDescent="0.25">
      <c r="C105">
        <v>215.7</v>
      </c>
    </row>
    <row r="106" spans="3:3" x14ac:dyDescent="0.25">
      <c r="C106">
        <v>150.69999999999999</v>
      </c>
    </row>
    <row r="107" spans="3:3" x14ac:dyDescent="0.25">
      <c r="C107">
        <v>161.5</v>
      </c>
    </row>
    <row r="108" spans="3:3" x14ac:dyDescent="0.25">
      <c r="C108">
        <v>235.6</v>
      </c>
    </row>
    <row r="109" spans="3:3" x14ac:dyDescent="0.25">
      <c r="C109">
        <v>206.9</v>
      </c>
    </row>
    <row r="110" spans="3:3" x14ac:dyDescent="0.25">
      <c r="C110">
        <v>175.6</v>
      </c>
    </row>
    <row r="111" spans="3:3" x14ac:dyDescent="0.25">
      <c r="C111">
        <v>282.3</v>
      </c>
    </row>
    <row r="112" spans="3:3" x14ac:dyDescent="0.25">
      <c r="C112">
        <v>193.8</v>
      </c>
    </row>
    <row r="113" spans="3:3" x14ac:dyDescent="0.25">
      <c r="C113">
        <v>266.7</v>
      </c>
    </row>
    <row r="114" spans="3:3" x14ac:dyDescent="0.25">
      <c r="C114">
        <v>118.1</v>
      </c>
    </row>
    <row r="115" spans="3:3" x14ac:dyDescent="0.25">
      <c r="C115">
        <v>176.8</v>
      </c>
    </row>
    <row r="116" spans="3:3" x14ac:dyDescent="0.25">
      <c r="C116">
        <v>241.9</v>
      </c>
    </row>
    <row r="117" spans="3:3" x14ac:dyDescent="0.25">
      <c r="C117">
        <v>189.5</v>
      </c>
    </row>
    <row r="118" spans="3:3" x14ac:dyDescent="0.25">
      <c r="C118">
        <v>123.1</v>
      </c>
    </row>
    <row r="119" spans="3:3" x14ac:dyDescent="0.25">
      <c r="C119">
        <v>159.1</v>
      </c>
    </row>
    <row r="120" spans="3:3" x14ac:dyDescent="0.25">
      <c r="C120">
        <v>100.1</v>
      </c>
    </row>
    <row r="121" spans="3:3" x14ac:dyDescent="0.25">
      <c r="C121">
        <v>223.2</v>
      </c>
    </row>
    <row r="122" spans="3:3" x14ac:dyDescent="0.25">
      <c r="C122">
        <v>315.60000000000002</v>
      </c>
    </row>
    <row r="123" spans="3:3" x14ac:dyDescent="0.25">
      <c r="C123">
        <v>189.8</v>
      </c>
    </row>
    <row r="124" spans="3:3" x14ac:dyDescent="0.25">
      <c r="C124">
        <v>155.4</v>
      </c>
    </row>
    <row r="125" spans="3:3" x14ac:dyDescent="0.25">
      <c r="C125">
        <v>154.19999999999999</v>
      </c>
    </row>
    <row r="126" spans="3:3" x14ac:dyDescent="0.25">
      <c r="C126">
        <v>178.8</v>
      </c>
    </row>
    <row r="127" spans="3:3" x14ac:dyDescent="0.25">
      <c r="C127">
        <v>149.30000000000001</v>
      </c>
    </row>
    <row r="128" spans="3:3" x14ac:dyDescent="0.25">
      <c r="C128">
        <v>94.7</v>
      </c>
    </row>
    <row r="129" spans="3:3" x14ac:dyDescent="0.25">
      <c r="C129">
        <v>222.8</v>
      </c>
    </row>
    <row r="130" spans="3:3" x14ac:dyDescent="0.25">
      <c r="C130">
        <v>224.8</v>
      </c>
    </row>
    <row r="131" spans="3:3" x14ac:dyDescent="0.25">
      <c r="C131">
        <v>261.2</v>
      </c>
    </row>
    <row r="132" spans="3:3" x14ac:dyDescent="0.25">
      <c r="C132">
        <v>196.5</v>
      </c>
    </row>
    <row r="133" spans="3:3" x14ac:dyDescent="0.25">
      <c r="C133">
        <v>167.3</v>
      </c>
    </row>
    <row r="134" spans="3:3" x14ac:dyDescent="0.25">
      <c r="C134">
        <v>109.6</v>
      </c>
    </row>
    <row r="135" spans="3:3" x14ac:dyDescent="0.25">
      <c r="C135">
        <v>276.60000000000002</v>
      </c>
    </row>
    <row r="136" spans="3:3" x14ac:dyDescent="0.25">
      <c r="C136">
        <v>186.8</v>
      </c>
    </row>
    <row r="137" spans="3:3" x14ac:dyDescent="0.25">
      <c r="C137">
        <v>169.4</v>
      </c>
    </row>
    <row r="138" spans="3:3" x14ac:dyDescent="0.25">
      <c r="C138">
        <v>219.1</v>
      </c>
    </row>
    <row r="139" spans="3:3" x14ac:dyDescent="0.25">
      <c r="C139">
        <v>241.7</v>
      </c>
    </row>
    <row r="140" spans="3:3" x14ac:dyDescent="0.25">
      <c r="C140">
        <v>281.10000000000002</v>
      </c>
    </row>
    <row r="141" spans="3:3" x14ac:dyDescent="0.25">
      <c r="C141">
        <v>281.10000000000002</v>
      </c>
    </row>
    <row r="142" spans="3:3" x14ac:dyDescent="0.25">
      <c r="C142">
        <v>137.80000000000001</v>
      </c>
    </row>
    <row r="143" spans="3:3" x14ac:dyDescent="0.25">
      <c r="C143">
        <v>194</v>
      </c>
    </row>
    <row r="144" spans="3:3" x14ac:dyDescent="0.25">
      <c r="C144">
        <v>130.9</v>
      </c>
    </row>
    <row r="145" spans="3:3" x14ac:dyDescent="0.25">
      <c r="C145">
        <v>185.3</v>
      </c>
    </row>
    <row r="146" spans="3:3" x14ac:dyDescent="0.25">
      <c r="C146">
        <v>119.1</v>
      </c>
    </row>
    <row r="147" spans="3:3" x14ac:dyDescent="0.25">
      <c r="C147">
        <v>216.2</v>
      </c>
    </row>
    <row r="148" spans="3:3" x14ac:dyDescent="0.25">
      <c r="C148">
        <v>283.89999999999998</v>
      </c>
    </row>
    <row r="149" spans="3:3" x14ac:dyDescent="0.25">
      <c r="C149">
        <v>125.9</v>
      </c>
    </row>
    <row r="150" spans="3:3" x14ac:dyDescent="0.25">
      <c r="C150">
        <v>212.7</v>
      </c>
    </row>
    <row r="151" spans="3:3" x14ac:dyDescent="0.25">
      <c r="C151">
        <v>183.6</v>
      </c>
    </row>
    <row r="152" spans="3:3" x14ac:dyDescent="0.25">
      <c r="C152">
        <v>163.6</v>
      </c>
    </row>
    <row r="153" spans="3:3" x14ac:dyDescent="0.25">
      <c r="C153">
        <v>180.9</v>
      </c>
    </row>
    <row r="154" spans="3:3" x14ac:dyDescent="0.25">
      <c r="C154">
        <v>270.8</v>
      </c>
    </row>
    <row r="155" spans="3:3" x14ac:dyDescent="0.25">
      <c r="C155">
        <v>178.4</v>
      </c>
    </row>
    <row r="156" spans="3:3" x14ac:dyDescent="0.25">
      <c r="C156">
        <v>244.8</v>
      </c>
    </row>
    <row r="157" spans="3:3" x14ac:dyDescent="0.25">
      <c r="C157">
        <v>209.9</v>
      </c>
    </row>
    <row r="158" spans="3:3" x14ac:dyDescent="0.25">
      <c r="C158">
        <v>213</v>
      </c>
    </row>
    <row r="159" spans="3:3" x14ac:dyDescent="0.25">
      <c r="C159">
        <v>144.80000000000001</v>
      </c>
    </row>
    <row r="160" spans="3:3" x14ac:dyDescent="0.25">
      <c r="C160">
        <v>135.4</v>
      </c>
    </row>
    <row r="161" spans="3:3" x14ac:dyDescent="0.25">
      <c r="C161">
        <v>67.7</v>
      </c>
    </row>
    <row r="162" spans="3:3" x14ac:dyDescent="0.25">
      <c r="C162">
        <v>224.4</v>
      </c>
    </row>
    <row r="163" spans="3:3" x14ac:dyDescent="0.25">
      <c r="C163">
        <v>153.5</v>
      </c>
    </row>
    <row r="164" spans="3:3" x14ac:dyDescent="0.25">
      <c r="C164">
        <v>174.4</v>
      </c>
    </row>
    <row r="165" spans="3:3" x14ac:dyDescent="0.25">
      <c r="C165">
        <v>153.80000000000001</v>
      </c>
    </row>
    <row r="166" spans="3:3" x14ac:dyDescent="0.25">
      <c r="C166">
        <v>175.7</v>
      </c>
    </row>
    <row r="167" spans="3:3" x14ac:dyDescent="0.25">
      <c r="C167">
        <v>155.9</v>
      </c>
    </row>
    <row r="168" spans="3:3" x14ac:dyDescent="0.25">
      <c r="C168">
        <v>154.4</v>
      </c>
    </row>
    <row r="169" spans="3:3" x14ac:dyDescent="0.25">
      <c r="C169">
        <v>209.7</v>
      </c>
    </row>
    <row r="170" spans="3:3" x14ac:dyDescent="0.25">
      <c r="C170">
        <v>212.1</v>
      </c>
    </row>
    <row r="171" spans="3:3" x14ac:dyDescent="0.25">
      <c r="C171">
        <v>160.9</v>
      </c>
    </row>
    <row r="172" spans="3:3" x14ac:dyDescent="0.25">
      <c r="C172">
        <v>188.9</v>
      </c>
    </row>
    <row r="173" spans="3:3" x14ac:dyDescent="0.25">
      <c r="C173">
        <v>192.6</v>
      </c>
    </row>
    <row r="174" spans="3:3" x14ac:dyDescent="0.25">
      <c r="C174">
        <v>217.3</v>
      </c>
    </row>
    <row r="175" spans="3:3" x14ac:dyDescent="0.25">
      <c r="C175">
        <v>169.3</v>
      </c>
    </row>
    <row r="176" spans="3:3" x14ac:dyDescent="0.25">
      <c r="C176">
        <v>216.7</v>
      </c>
    </row>
    <row r="177" spans="3:3" x14ac:dyDescent="0.25">
      <c r="C177">
        <v>246.4</v>
      </c>
    </row>
    <row r="178" spans="3:3" x14ac:dyDescent="0.25">
      <c r="C178">
        <v>156.19999999999999</v>
      </c>
    </row>
    <row r="179" spans="3:3" x14ac:dyDescent="0.25">
      <c r="C179">
        <v>146.4</v>
      </c>
    </row>
    <row r="180" spans="3:3" x14ac:dyDescent="0.25">
      <c r="C180">
        <v>167.8</v>
      </c>
    </row>
    <row r="181" spans="3:3" x14ac:dyDescent="0.25">
      <c r="C181">
        <v>252.9</v>
      </c>
    </row>
    <row r="182" spans="3:3" x14ac:dyDescent="0.25">
      <c r="C182">
        <v>201.8</v>
      </c>
    </row>
    <row r="183" spans="3:3" x14ac:dyDescent="0.25">
      <c r="C183">
        <v>94.4</v>
      </c>
    </row>
    <row r="184" spans="3:3" x14ac:dyDescent="0.25">
      <c r="C184">
        <v>190.4</v>
      </c>
    </row>
    <row r="185" spans="3:3" x14ac:dyDescent="0.25">
      <c r="C185">
        <v>243.2</v>
      </c>
    </row>
    <row r="186" spans="3:3" x14ac:dyDescent="0.25">
      <c r="C186">
        <v>176.4</v>
      </c>
    </row>
    <row r="187" spans="3:3" x14ac:dyDescent="0.25">
      <c r="C187">
        <v>178.1</v>
      </c>
    </row>
    <row r="188" spans="3:3" x14ac:dyDescent="0.25">
      <c r="C188">
        <v>201.4</v>
      </c>
    </row>
    <row r="189" spans="3:3" x14ac:dyDescent="0.25">
      <c r="C189">
        <v>174.5</v>
      </c>
    </row>
    <row r="190" spans="3:3" x14ac:dyDescent="0.25">
      <c r="C190">
        <v>205.3</v>
      </c>
    </row>
    <row r="191" spans="3:3" x14ac:dyDescent="0.25">
      <c r="C191">
        <v>143.19999999999999</v>
      </c>
    </row>
    <row r="192" spans="3:3" x14ac:dyDescent="0.25">
      <c r="C192">
        <v>25.9</v>
      </c>
    </row>
    <row r="193" spans="3:3" x14ac:dyDescent="0.25">
      <c r="C193">
        <v>215.6</v>
      </c>
    </row>
    <row r="194" spans="3:3" x14ac:dyDescent="0.25">
      <c r="C194">
        <v>208.8</v>
      </c>
    </row>
    <row r="195" spans="3:3" x14ac:dyDescent="0.25">
      <c r="C195">
        <v>245.2</v>
      </c>
    </row>
    <row r="196" spans="3:3" x14ac:dyDescent="0.25">
      <c r="C196">
        <v>98.4</v>
      </c>
    </row>
    <row r="197" spans="3:3" x14ac:dyDescent="0.25">
      <c r="C197">
        <v>217.8</v>
      </c>
    </row>
    <row r="198" spans="3:3" x14ac:dyDescent="0.25">
      <c r="C198">
        <v>179.9</v>
      </c>
    </row>
    <row r="199" spans="3:3" x14ac:dyDescent="0.25">
      <c r="C199">
        <v>140.4</v>
      </c>
    </row>
    <row r="200" spans="3:3" x14ac:dyDescent="0.25">
      <c r="C200">
        <v>189</v>
      </c>
    </row>
    <row r="201" spans="3:3" x14ac:dyDescent="0.25">
      <c r="C201">
        <v>155.9</v>
      </c>
    </row>
    <row r="202" spans="3:3" x14ac:dyDescent="0.25">
      <c r="C202">
        <v>199.2</v>
      </c>
    </row>
    <row r="203" spans="3:3" x14ac:dyDescent="0.25">
      <c r="C203">
        <v>157.1</v>
      </c>
    </row>
    <row r="204" spans="3:3" x14ac:dyDescent="0.25">
      <c r="C204">
        <v>166.4</v>
      </c>
    </row>
    <row r="205" spans="3:3" x14ac:dyDescent="0.25">
      <c r="C205">
        <v>184.1</v>
      </c>
    </row>
    <row r="206" spans="3:3" x14ac:dyDescent="0.25">
      <c r="C206">
        <v>35.1</v>
      </c>
    </row>
    <row r="207" spans="3:3" x14ac:dyDescent="0.25">
      <c r="C207">
        <v>179.4</v>
      </c>
    </row>
    <row r="208" spans="3:3" x14ac:dyDescent="0.25">
      <c r="C208">
        <v>216.7</v>
      </c>
    </row>
    <row r="209" spans="3:3" x14ac:dyDescent="0.25">
      <c r="C209">
        <v>151.6</v>
      </c>
    </row>
    <row r="210" spans="3:3" x14ac:dyDescent="0.25">
      <c r="C210">
        <v>173.6</v>
      </c>
    </row>
    <row r="211" spans="3:3" x14ac:dyDescent="0.25">
      <c r="C211">
        <v>106.6</v>
      </c>
    </row>
    <row r="212" spans="3:3" x14ac:dyDescent="0.25">
      <c r="C212">
        <v>103.3</v>
      </c>
    </row>
    <row r="213" spans="3:3" x14ac:dyDescent="0.25">
      <c r="C213">
        <v>125.6</v>
      </c>
    </row>
    <row r="214" spans="3:3" x14ac:dyDescent="0.25">
      <c r="C214">
        <v>199.3</v>
      </c>
    </row>
    <row r="215" spans="3:3" x14ac:dyDescent="0.25">
      <c r="C215">
        <v>222.2</v>
      </c>
    </row>
    <row r="216" spans="3:3" x14ac:dyDescent="0.25">
      <c r="C216">
        <v>157.4</v>
      </c>
    </row>
    <row r="217" spans="3:3" x14ac:dyDescent="0.25">
      <c r="C217">
        <v>83.5</v>
      </c>
    </row>
    <row r="218" spans="3:3" x14ac:dyDescent="0.25">
      <c r="C218">
        <v>134</v>
      </c>
    </row>
    <row r="219" spans="3:3" x14ac:dyDescent="0.25">
      <c r="C219">
        <v>176.6</v>
      </c>
    </row>
    <row r="220" spans="3:3" x14ac:dyDescent="0.25">
      <c r="C220">
        <v>174.8</v>
      </c>
    </row>
    <row r="221" spans="3:3" x14ac:dyDescent="0.25">
      <c r="C221">
        <v>221.3</v>
      </c>
    </row>
    <row r="222" spans="3:3" x14ac:dyDescent="0.25">
      <c r="C222">
        <v>141.1</v>
      </c>
    </row>
    <row r="223" spans="3:3" x14ac:dyDescent="0.25">
      <c r="C223">
        <v>166.4</v>
      </c>
    </row>
    <row r="224" spans="3:3" x14ac:dyDescent="0.25">
      <c r="C224">
        <v>215.9</v>
      </c>
    </row>
    <row r="225" spans="3:3" x14ac:dyDescent="0.25">
      <c r="C225">
        <v>181.6</v>
      </c>
    </row>
    <row r="226" spans="3:3" x14ac:dyDescent="0.25">
      <c r="C226">
        <v>106.4</v>
      </c>
    </row>
    <row r="227" spans="3:3" x14ac:dyDescent="0.25">
      <c r="C227">
        <v>128.19999999999999</v>
      </c>
    </row>
    <row r="228" spans="3:3" x14ac:dyDescent="0.25">
      <c r="C228">
        <v>178.7</v>
      </c>
    </row>
    <row r="229" spans="3:3" x14ac:dyDescent="0.25">
      <c r="C229">
        <v>150.9</v>
      </c>
    </row>
    <row r="230" spans="3:3" x14ac:dyDescent="0.25">
      <c r="C230">
        <v>168</v>
      </c>
    </row>
    <row r="231" spans="3:3" x14ac:dyDescent="0.25">
      <c r="C231">
        <v>182.8</v>
      </c>
    </row>
    <row r="232" spans="3:3" x14ac:dyDescent="0.25">
      <c r="C232">
        <v>193.7</v>
      </c>
    </row>
    <row r="233" spans="3:3" x14ac:dyDescent="0.25">
      <c r="C233">
        <v>197.2</v>
      </c>
    </row>
    <row r="234" spans="3:3" x14ac:dyDescent="0.25">
      <c r="C234">
        <v>76.099999999999994</v>
      </c>
    </row>
    <row r="235" spans="3:3" x14ac:dyDescent="0.25">
      <c r="C235">
        <v>182.3</v>
      </c>
    </row>
    <row r="236" spans="3:3" x14ac:dyDescent="0.25">
      <c r="C236">
        <v>189.3</v>
      </c>
    </row>
    <row r="237" spans="3:3" x14ac:dyDescent="0.25">
      <c r="C237">
        <v>160.1</v>
      </c>
    </row>
    <row r="238" spans="3:3" x14ac:dyDescent="0.25">
      <c r="C238">
        <v>220.7</v>
      </c>
    </row>
    <row r="239" spans="3:3" x14ac:dyDescent="0.25">
      <c r="C239">
        <v>211.8</v>
      </c>
    </row>
    <row r="240" spans="3:3" x14ac:dyDescent="0.25">
      <c r="C240">
        <v>220.7</v>
      </c>
    </row>
    <row r="241" spans="3:3" x14ac:dyDescent="0.25">
      <c r="C241">
        <v>87.6</v>
      </c>
    </row>
    <row r="242" spans="3:3" x14ac:dyDescent="0.25">
      <c r="C242">
        <v>141.1</v>
      </c>
    </row>
    <row r="243" spans="3:3" x14ac:dyDescent="0.25">
      <c r="C243">
        <v>200.9</v>
      </c>
    </row>
    <row r="244" spans="3:3" x14ac:dyDescent="0.25">
      <c r="C244">
        <v>172</v>
      </c>
    </row>
    <row r="245" spans="3:3" x14ac:dyDescent="0.25">
      <c r="C245">
        <v>221.4</v>
      </c>
    </row>
    <row r="246" spans="3:3" x14ac:dyDescent="0.25">
      <c r="C246">
        <v>243.7</v>
      </c>
    </row>
    <row r="247" spans="3:3" x14ac:dyDescent="0.25">
      <c r="C247">
        <v>210.5</v>
      </c>
    </row>
    <row r="248" spans="3:3" x14ac:dyDescent="0.25">
      <c r="C248">
        <v>169.7</v>
      </c>
    </row>
    <row r="249" spans="3:3" x14ac:dyDescent="0.25">
      <c r="C249">
        <v>227.2</v>
      </c>
    </row>
    <row r="250" spans="3:3" x14ac:dyDescent="0.25">
      <c r="C250">
        <v>223.9</v>
      </c>
    </row>
    <row r="251" spans="3:3" x14ac:dyDescent="0.25">
      <c r="C251">
        <v>169.4</v>
      </c>
    </row>
    <row r="252" spans="3:3" x14ac:dyDescent="0.25">
      <c r="C252">
        <v>118.1</v>
      </c>
    </row>
    <row r="253" spans="3:3" x14ac:dyDescent="0.25">
      <c r="C253">
        <v>202.4</v>
      </c>
    </row>
    <row r="254" spans="3:3" x14ac:dyDescent="0.25">
      <c r="C254">
        <v>155.69999999999999</v>
      </c>
    </row>
    <row r="255" spans="3:3" x14ac:dyDescent="0.25">
      <c r="C255">
        <v>246.4</v>
      </c>
    </row>
    <row r="256" spans="3:3" x14ac:dyDescent="0.25">
      <c r="C256">
        <v>189.8</v>
      </c>
    </row>
    <row r="257" spans="3:3" x14ac:dyDescent="0.25">
      <c r="C257">
        <v>167.8</v>
      </c>
    </row>
    <row r="258" spans="3:3" x14ac:dyDescent="0.25">
      <c r="C258">
        <v>165.6</v>
      </c>
    </row>
    <row r="259" spans="3:3" x14ac:dyDescent="0.25">
      <c r="C259">
        <v>165.7</v>
      </c>
    </row>
    <row r="260" spans="3:3" x14ac:dyDescent="0.25">
      <c r="C260">
        <v>176.1</v>
      </c>
    </row>
    <row r="261" spans="3:3" x14ac:dyDescent="0.25">
      <c r="C261">
        <v>119.7</v>
      </c>
    </row>
    <row r="262" spans="3:3" x14ac:dyDescent="0.25">
      <c r="C262">
        <v>99.9</v>
      </c>
    </row>
    <row r="263" spans="3:3" x14ac:dyDescent="0.25">
      <c r="C263">
        <v>239.8</v>
      </c>
    </row>
    <row r="264" spans="3:3" x14ac:dyDescent="0.25">
      <c r="C264">
        <v>164.5</v>
      </c>
    </row>
    <row r="265" spans="3:3" x14ac:dyDescent="0.25">
      <c r="C265">
        <v>220.9</v>
      </c>
    </row>
    <row r="266" spans="3:3" x14ac:dyDescent="0.25">
      <c r="C266">
        <v>128.80000000000001</v>
      </c>
    </row>
    <row r="267" spans="3:3" x14ac:dyDescent="0.25">
      <c r="C267">
        <v>193.8</v>
      </c>
    </row>
    <row r="268" spans="3:3" x14ac:dyDescent="0.25">
      <c r="C268">
        <v>168.6</v>
      </c>
    </row>
    <row r="269" spans="3:3" x14ac:dyDescent="0.25">
      <c r="C269">
        <v>115.9</v>
      </c>
    </row>
    <row r="270" spans="3:3" x14ac:dyDescent="0.25">
      <c r="C270">
        <v>272.39999999999998</v>
      </c>
    </row>
    <row r="271" spans="3:3" x14ac:dyDescent="0.25">
      <c r="C271">
        <v>210</v>
      </c>
    </row>
    <row r="272" spans="3:3" x14ac:dyDescent="0.25">
      <c r="C272">
        <v>223</v>
      </c>
    </row>
    <row r="273" spans="3:3" x14ac:dyDescent="0.25">
      <c r="C273">
        <v>139.69999999999999</v>
      </c>
    </row>
    <row r="274" spans="3:3" x14ac:dyDescent="0.25">
      <c r="C274">
        <v>136.80000000000001</v>
      </c>
    </row>
    <row r="275" spans="3:3" x14ac:dyDescent="0.25">
      <c r="C275">
        <v>154.80000000000001</v>
      </c>
    </row>
    <row r="276" spans="3:3" x14ac:dyDescent="0.25">
      <c r="C276">
        <v>192.8</v>
      </c>
    </row>
    <row r="277" spans="3:3" x14ac:dyDescent="0.25">
      <c r="C277">
        <v>103.4</v>
      </c>
    </row>
    <row r="278" spans="3:3" x14ac:dyDescent="0.25">
      <c r="C278">
        <v>147.5</v>
      </c>
    </row>
    <row r="279" spans="3:3" x14ac:dyDescent="0.25">
      <c r="C279">
        <v>178.4</v>
      </c>
    </row>
    <row r="280" spans="3:3" x14ac:dyDescent="0.25">
      <c r="C280">
        <v>148.4</v>
      </c>
    </row>
    <row r="281" spans="3:3" x14ac:dyDescent="0.25">
      <c r="C281">
        <v>148.6</v>
      </c>
    </row>
    <row r="282" spans="3:3" x14ac:dyDescent="0.25">
      <c r="C282">
        <v>97.5</v>
      </c>
    </row>
    <row r="283" spans="3:3" x14ac:dyDescent="0.25">
      <c r="C283">
        <v>185.6</v>
      </c>
    </row>
    <row r="284" spans="3:3" x14ac:dyDescent="0.25">
      <c r="C284">
        <v>137.6</v>
      </c>
    </row>
    <row r="285" spans="3:3" x14ac:dyDescent="0.25">
      <c r="C285">
        <v>125.3</v>
      </c>
    </row>
    <row r="286" spans="3:3" x14ac:dyDescent="0.25">
      <c r="C286">
        <v>178.8</v>
      </c>
    </row>
    <row r="287" spans="3:3" x14ac:dyDescent="0.25">
      <c r="C287">
        <v>214.9</v>
      </c>
    </row>
    <row r="288" spans="3:3" x14ac:dyDescent="0.25">
      <c r="C288">
        <v>163</v>
      </c>
    </row>
    <row r="289" spans="3:3" x14ac:dyDescent="0.25">
      <c r="C289">
        <v>115.5</v>
      </c>
    </row>
    <row r="290" spans="3:3" x14ac:dyDescent="0.25">
      <c r="C290">
        <v>137.1</v>
      </c>
    </row>
    <row r="291" spans="3:3" x14ac:dyDescent="0.25">
      <c r="C291">
        <v>132.69999999999999</v>
      </c>
    </row>
    <row r="292" spans="3:3" x14ac:dyDescent="0.25">
      <c r="C292">
        <v>183.2</v>
      </c>
    </row>
    <row r="293" spans="3:3" x14ac:dyDescent="0.25">
      <c r="C293">
        <v>170.5</v>
      </c>
    </row>
    <row r="294" spans="3:3" x14ac:dyDescent="0.25">
      <c r="C294">
        <v>54.8</v>
      </c>
    </row>
    <row r="295" spans="3:3" x14ac:dyDescent="0.25">
      <c r="C295">
        <v>184.8</v>
      </c>
    </row>
    <row r="296" spans="3:3" x14ac:dyDescent="0.25">
      <c r="C296">
        <v>283.10000000000002</v>
      </c>
    </row>
    <row r="297" spans="3:3" x14ac:dyDescent="0.25">
      <c r="C297">
        <v>68.400000000000006</v>
      </c>
    </row>
    <row r="298" spans="3:3" x14ac:dyDescent="0.25">
      <c r="C298">
        <v>162</v>
      </c>
    </row>
    <row r="299" spans="3:3" x14ac:dyDescent="0.25">
      <c r="C299">
        <v>148.19999999999999</v>
      </c>
    </row>
    <row r="300" spans="3:3" x14ac:dyDescent="0.25">
      <c r="C300">
        <v>174.7</v>
      </c>
    </row>
    <row r="301" spans="3:3" x14ac:dyDescent="0.25">
      <c r="C301">
        <v>194.5</v>
      </c>
    </row>
    <row r="302" spans="3:3" x14ac:dyDescent="0.25">
      <c r="C302">
        <v>150</v>
      </c>
    </row>
    <row r="303" spans="3:3" x14ac:dyDescent="0.25">
      <c r="C303">
        <v>231.9</v>
      </c>
    </row>
    <row r="304" spans="3:3" x14ac:dyDescent="0.25">
      <c r="C304">
        <v>198.7</v>
      </c>
    </row>
    <row r="305" spans="3:3" x14ac:dyDescent="0.25">
      <c r="C305">
        <v>175.8</v>
      </c>
    </row>
    <row r="306" spans="3:3" x14ac:dyDescent="0.25">
      <c r="C306">
        <v>169.5</v>
      </c>
    </row>
    <row r="307" spans="3:3" x14ac:dyDescent="0.25">
      <c r="C307">
        <v>225.2</v>
      </c>
    </row>
    <row r="308" spans="3:3" x14ac:dyDescent="0.25">
      <c r="C308">
        <v>95.9</v>
      </c>
    </row>
    <row r="309" spans="3:3" x14ac:dyDescent="0.25">
      <c r="C309">
        <v>170.6</v>
      </c>
    </row>
    <row r="310" spans="3:3" x14ac:dyDescent="0.25">
      <c r="C310">
        <v>191.4</v>
      </c>
    </row>
    <row r="311" spans="3:3" x14ac:dyDescent="0.25">
      <c r="C311">
        <v>75.3</v>
      </c>
    </row>
    <row r="312" spans="3:3" x14ac:dyDescent="0.25">
      <c r="C312">
        <v>128.80000000000001</v>
      </c>
    </row>
    <row r="313" spans="3:3" x14ac:dyDescent="0.25">
      <c r="C313">
        <v>141.69999999999999</v>
      </c>
    </row>
    <row r="314" spans="3:3" x14ac:dyDescent="0.25">
      <c r="C314">
        <v>255.3</v>
      </c>
    </row>
    <row r="315" spans="3:3" x14ac:dyDescent="0.25">
      <c r="C315">
        <v>239.4</v>
      </c>
    </row>
    <row r="316" spans="3:3" x14ac:dyDescent="0.25">
      <c r="C316">
        <v>158</v>
      </c>
    </row>
    <row r="317" spans="3:3" x14ac:dyDescent="0.25">
      <c r="C317">
        <v>182.3</v>
      </c>
    </row>
    <row r="318" spans="3:3" x14ac:dyDescent="0.25">
      <c r="C318">
        <v>91.5</v>
      </c>
    </row>
    <row r="319" spans="3:3" x14ac:dyDescent="0.25">
      <c r="C319">
        <v>172.4</v>
      </c>
    </row>
    <row r="320" spans="3:3" x14ac:dyDescent="0.25">
      <c r="C320">
        <v>174.5</v>
      </c>
    </row>
    <row r="321" spans="3:3" x14ac:dyDescent="0.25">
      <c r="C321">
        <v>157.30000000000001</v>
      </c>
    </row>
    <row r="322" spans="3:3" x14ac:dyDescent="0.25">
      <c r="C322">
        <v>192</v>
      </c>
    </row>
    <row r="323" spans="3:3" x14ac:dyDescent="0.25">
      <c r="C323">
        <v>160.69999999999999</v>
      </c>
    </row>
    <row r="324" spans="3:3" x14ac:dyDescent="0.25">
      <c r="C324">
        <v>227.4</v>
      </c>
    </row>
    <row r="325" spans="3:3" x14ac:dyDescent="0.25">
      <c r="C325">
        <v>191.6</v>
      </c>
    </row>
    <row r="326" spans="3:3" x14ac:dyDescent="0.25">
      <c r="C326">
        <v>225</v>
      </c>
    </row>
    <row r="327" spans="3:3" x14ac:dyDescent="0.25">
      <c r="C327">
        <v>196.1</v>
      </c>
    </row>
    <row r="328" spans="3:3" x14ac:dyDescent="0.25">
      <c r="C328">
        <v>231.3</v>
      </c>
    </row>
    <row r="329" spans="3:3" x14ac:dyDescent="0.25">
      <c r="C329">
        <v>209.2</v>
      </c>
    </row>
    <row r="330" spans="3:3" x14ac:dyDescent="0.25">
      <c r="C330">
        <v>221.3</v>
      </c>
    </row>
    <row r="331" spans="3:3" x14ac:dyDescent="0.25">
      <c r="C331">
        <v>139.6</v>
      </c>
    </row>
    <row r="332" spans="3:3" x14ac:dyDescent="0.25">
      <c r="C332">
        <v>183.9</v>
      </c>
    </row>
    <row r="333" spans="3:3" x14ac:dyDescent="0.25">
      <c r="C333">
        <v>203.3</v>
      </c>
    </row>
    <row r="334" spans="3:3" x14ac:dyDescent="0.25">
      <c r="C334">
        <v>185.4</v>
      </c>
    </row>
    <row r="335" spans="3:3" x14ac:dyDescent="0.25">
      <c r="C335">
        <v>240.8</v>
      </c>
    </row>
    <row r="336" spans="3:3" x14ac:dyDescent="0.25">
      <c r="C336">
        <v>248.6</v>
      </c>
    </row>
    <row r="337" spans="3:3" x14ac:dyDescent="0.25">
      <c r="C337">
        <v>157.1</v>
      </c>
    </row>
    <row r="338" spans="3:3" x14ac:dyDescent="0.25">
      <c r="C338">
        <v>218.8</v>
      </c>
    </row>
    <row r="339" spans="3:3" x14ac:dyDescent="0.25">
      <c r="C339">
        <v>197.9</v>
      </c>
    </row>
    <row r="340" spans="3:3" x14ac:dyDescent="0.25">
      <c r="C340">
        <v>166.5</v>
      </c>
    </row>
    <row r="341" spans="3:3" x14ac:dyDescent="0.25">
      <c r="C341">
        <v>225.4</v>
      </c>
    </row>
    <row r="342" spans="3:3" x14ac:dyDescent="0.25">
      <c r="C342">
        <v>210.3</v>
      </c>
    </row>
    <row r="343" spans="3:3" x14ac:dyDescent="0.25">
      <c r="C343">
        <v>231.7</v>
      </c>
    </row>
    <row r="344" spans="3:3" x14ac:dyDescent="0.25">
      <c r="C344">
        <v>189.5</v>
      </c>
    </row>
    <row r="345" spans="3:3" x14ac:dyDescent="0.25">
      <c r="C345">
        <v>131.80000000000001</v>
      </c>
    </row>
    <row r="346" spans="3:3" x14ac:dyDescent="0.25">
      <c r="C346">
        <v>250.6</v>
      </c>
    </row>
    <row r="347" spans="3:3" x14ac:dyDescent="0.25">
      <c r="C347">
        <v>129.30000000000001</v>
      </c>
    </row>
    <row r="348" spans="3:3" x14ac:dyDescent="0.25">
      <c r="C348">
        <v>211.1</v>
      </c>
    </row>
    <row r="349" spans="3:3" x14ac:dyDescent="0.25">
      <c r="C349">
        <v>169.4</v>
      </c>
    </row>
    <row r="350" spans="3:3" x14ac:dyDescent="0.25">
      <c r="C350">
        <v>177.1</v>
      </c>
    </row>
    <row r="351" spans="3:3" x14ac:dyDescent="0.25">
      <c r="C351">
        <v>174.6</v>
      </c>
    </row>
    <row r="352" spans="3:3" x14ac:dyDescent="0.25">
      <c r="C352">
        <v>150.30000000000001</v>
      </c>
    </row>
    <row r="353" spans="3:3" x14ac:dyDescent="0.25">
      <c r="C353">
        <v>118</v>
      </c>
    </row>
    <row r="354" spans="3:3" x14ac:dyDescent="0.25">
      <c r="C354">
        <v>144.5</v>
      </c>
    </row>
    <row r="355" spans="3:3" x14ac:dyDescent="0.25">
      <c r="C355">
        <v>183.8</v>
      </c>
    </row>
    <row r="356" spans="3:3" x14ac:dyDescent="0.25">
      <c r="C356">
        <v>191.7</v>
      </c>
    </row>
    <row r="357" spans="3:3" x14ac:dyDescent="0.25">
      <c r="C357">
        <v>153.6</v>
      </c>
    </row>
    <row r="358" spans="3:3" x14ac:dyDescent="0.25">
      <c r="C358">
        <v>171.2</v>
      </c>
    </row>
    <row r="359" spans="3:3" x14ac:dyDescent="0.25">
      <c r="C359">
        <v>240.1</v>
      </c>
    </row>
    <row r="360" spans="3:3" x14ac:dyDescent="0.25">
      <c r="C360">
        <v>83.8</v>
      </c>
    </row>
    <row r="361" spans="3:3" x14ac:dyDescent="0.25">
      <c r="C361">
        <v>269.60000000000002</v>
      </c>
    </row>
    <row r="362" spans="3:3" x14ac:dyDescent="0.25">
      <c r="C362">
        <v>136.19999999999999</v>
      </c>
    </row>
    <row r="363" spans="3:3" x14ac:dyDescent="0.25">
      <c r="C363">
        <v>219.6</v>
      </c>
    </row>
    <row r="364" spans="3:3" x14ac:dyDescent="0.25">
      <c r="C364">
        <v>236.2</v>
      </c>
    </row>
    <row r="365" spans="3:3" x14ac:dyDescent="0.25">
      <c r="C365">
        <v>260.89999999999998</v>
      </c>
    </row>
    <row r="366" spans="3:3" x14ac:dyDescent="0.25">
      <c r="C366">
        <v>268.8</v>
      </c>
    </row>
    <row r="367" spans="3:3" x14ac:dyDescent="0.25">
      <c r="C367">
        <v>140.1</v>
      </c>
    </row>
    <row r="368" spans="3:3" x14ac:dyDescent="0.25">
      <c r="C368">
        <v>193.7</v>
      </c>
    </row>
    <row r="369" spans="3:3" x14ac:dyDescent="0.25">
      <c r="C369">
        <v>224.7</v>
      </c>
    </row>
    <row r="370" spans="3:3" x14ac:dyDescent="0.25">
      <c r="C370">
        <v>190.9</v>
      </c>
    </row>
    <row r="371" spans="3:3" x14ac:dyDescent="0.25">
      <c r="C371">
        <v>90.6</v>
      </c>
    </row>
    <row r="372" spans="3:3" x14ac:dyDescent="0.25">
      <c r="C372">
        <v>152.9</v>
      </c>
    </row>
    <row r="373" spans="3:3" x14ac:dyDescent="0.25">
      <c r="C373">
        <v>241.2</v>
      </c>
    </row>
    <row r="374" spans="3:3" x14ac:dyDescent="0.25">
      <c r="C374">
        <v>200.3</v>
      </c>
    </row>
    <row r="375" spans="3:3" x14ac:dyDescent="0.25">
      <c r="C375">
        <v>97.2</v>
      </c>
    </row>
    <row r="376" spans="3:3" x14ac:dyDescent="0.25">
      <c r="C376">
        <v>224.3</v>
      </c>
    </row>
    <row r="377" spans="3:3" x14ac:dyDescent="0.25">
      <c r="C377">
        <v>215.5</v>
      </c>
    </row>
    <row r="378" spans="3:3" x14ac:dyDescent="0.25">
      <c r="C378">
        <v>239.1</v>
      </c>
    </row>
    <row r="379" spans="3:3" x14ac:dyDescent="0.25">
      <c r="C379">
        <v>62.9</v>
      </c>
    </row>
    <row r="380" spans="3:3" x14ac:dyDescent="0.25">
      <c r="C380">
        <v>210.9</v>
      </c>
    </row>
    <row r="381" spans="3:3" x14ac:dyDescent="0.25">
      <c r="C381">
        <v>132</v>
      </c>
    </row>
    <row r="382" spans="3:3" x14ac:dyDescent="0.25">
      <c r="C382">
        <v>245.5</v>
      </c>
    </row>
    <row r="383" spans="3:3" x14ac:dyDescent="0.25">
      <c r="C383">
        <v>134.1</v>
      </c>
    </row>
    <row r="384" spans="3:3" x14ac:dyDescent="0.25">
      <c r="C384">
        <v>144.5</v>
      </c>
    </row>
    <row r="385" spans="3:3" x14ac:dyDescent="0.25">
      <c r="C385">
        <v>150</v>
      </c>
    </row>
    <row r="386" spans="3:3" x14ac:dyDescent="0.25">
      <c r="C386">
        <v>270.7</v>
      </c>
    </row>
    <row r="387" spans="3:3" x14ac:dyDescent="0.25">
      <c r="C387">
        <v>256</v>
      </c>
    </row>
    <row r="388" spans="3:3" x14ac:dyDescent="0.25">
      <c r="C388">
        <v>154.6</v>
      </c>
    </row>
    <row r="389" spans="3:3" x14ac:dyDescent="0.25">
      <c r="C389">
        <v>165.4</v>
      </c>
    </row>
    <row r="390" spans="3:3" x14ac:dyDescent="0.25">
      <c r="C390">
        <v>168.3</v>
      </c>
    </row>
    <row r="391" spans="3:3" x14ac:dyDescent="0.25">
      <c r="C391">
        <v>191.4</v>
      </c>
    </row>
    <row r="392" spans="3:3" x14ac:dyDescent="0.25">
      <c r="C392">
        <v>158.69999999999999</v>
      </c>
    </row>
    <row r="393" spans="3:3" x14ac:dyDescent="0.25">
      <c r="C393">
        <v>264.39999999999998</v>
      </c>
    </row>
    <row r="394" spans="3:3" x14ac:dyDescent="0.25">
      <c r="C394">
        <v>145.6</v>
      </c>
    </row>
    <row r="395" spans="3:3" x14ac:dyDescent="0.25">
      <c r="C395">
        <v>247.5</v>
      </c>
    </row>
    <row r="396" spans="3:3" x14ac:dyDescent="0.25">
      <c r="C396">
        <v>109.9</v>
      </c>
    </row>
    <row r="397" spans="3:3" x14ac:dyDescent="0.25">
      <c r="C397">
        <v>115.4</v>
      </c>
    </row>
    <row r="398" spans="3:3" x14ac:dyDescent="0.25">
      <c r="C398">
        <v>197.2</v>
      </c>
    </row>
    <row r="399" spans="3:3" x14ac:dyDescent="0.25">
      <c r="C399">
        <v>193.1</v>
      </c>
    </row>
    <row r="400" spans="3:3" x14ac:dyDescent="0.25">
      <c r="C400">
        <v>263.10000000000002</v>
      </c>
    </row>
    <row r="401" spans="3:3" x14ac:dyDescent="0.25">
      <c r="C401">
        <v>197</v>
      </c>
    </row>
    <row r="402" spans="3:3" x14ac:dyDescent="0.25">
      <c r="C402">
        <v>201.5</v>
      </c>
    </row>
    <row r="403" spans="3:3" x14ac:dyDescent="0.25">
      <c r="C403">
        <v>173.4</v>
      </c>
    </row>
    <row r="404" spans="3:3" x14ac:dyDescent="0.25">
      <c r="C404">
        <v>101.4</v>
      </c>
    </row>
    <row r="405" spans="3:3" x14ac:dyDescent="0.25">
      <c r="C405">
        <v>232.5</v>
      </c>
    </row>
    <row r="406" spans="3:3" x14ac:dyDescent="0.25">
      <c r="C406">
        <v>174.5</v>
      </c>
    </row>
    <row r="407" spans="3:3" x14ac:dyDescent="0.25">
      <c r="C407">
        <v>181.4</v>
      </c>
    </row>
    <row r="408" spans="3:3" x14ac:dyDescent="0.25">
      <c r="C408">
        <v>180.7</v>
      </c>
    </row>
    <row r="409" spans="3:3" x14ac:dyDescent="0.25">
      <c r="C409">
        <v>227.8</v>
      </c>
    </row>
    <row r="410" spans="3:3" x14ac:dyDescent="0.25">
      <c r="C410">
        <v>160.30000000000001</v>
      </c>
    </row>
    <row r="411" spans="3:3" x14ac:dyDescent="0.25">
      <c r="C411">
        <v>175.2</v>
      </c>
    </row>
    <row r="412" spans="3:3" x14ac:dyDescent="0.25">
      <c r="C412">
        <v>116.9</v>
      </c>
    </row>
    <row r="413" spans="3:3" x14ac:dyDescent="0.25">
      <c r="C413">
        <v>152.19999999999999</v>
      </c>
    </row>
    <row r="414" spans="3:3" x14ac:dyDescent="0.25">
      <c r="C414">
        <v>262.89999999999998</v>
      </c>
    </row>
    <row r="415" spans="3:3" x14ac:dyDescent="0.25">
      <c r="C415">
        <v>141.80000000000001</v>
      </c>
    </row>
    <row r="416" spans="3:3" x14ac:dyDescent="0.25">
      <c r="C416">
        <v>167.5</v>
      </c>
    </row>
    <row r="417" spans="3:3" x14ac:dyDescent="0.25">
      <c r="C417">
        <v>147.19999999999999</v>
      </c>
    </row>
    <row r="418" spans="3:3" x14ac:dyDescent="0.25">
      <c r="C418">
        <v>145.1</v>
      </c>
    </row>
    <row r="419" spans="3:3" x14ac:dyDescent="0.25">
      <c r="C419">
        <v>135.19999999999999</v>
      </c>
    </row>
    <row r="420" spans="3:3" x14ac:dyDescent="0.25">
      <c r="C420">
        <v>124.7</v>
      </c>
    </row>
    <row r="421" spans="3:3" x14ac:dyDescent="0.25">
      <c r="C421">
        <v>174</v>
      </c>
    </row>
    <row r="422" spans="3:3" x14ac:dyDescent="0.25">
      <c r="C422">
        <v>265.2</v>
      </c>
    </row>
    <row r="423" spans="3:3" x14ac:dyDescent="0.25">
      <c r="C423">
        <v>143.30000000000001</v>
      </c>
    </row>
    <row r="424" spans="3:3" x14ac:dyDescent="0.25">
      <c r="C424">
        <v>157.9</v>
      </c>
    </row>
    <row r="425" spans="3:3" x14ac:dyDescent="0.25">
      <c r="C425">
        <v>182.2</v>
      </c>
    </row>
    <row r="426" spans="3:3" x14ac:dyDescent="0.25">
      <c r="C426">
        <v>141.4</v>
      </c>
    </row>
    <row r="427" spans="3:3" x14ac:dyDescent="0.25">
      <c r="C427">
        <v>108.3</v>
      </c>
    </row>
    <row r="428" spans="3:3" x14ac:dyDescent="0.25">
      <c r="C428">
        <v>166.9</v>
      </c>
    </row>
    <row r="429" spans="3:3" x14ac:dyDescent="0.25">
      <c r="C429">
        <v>71.2</v>
      </c>
    </row>
    <row r="430" spans="3:3" x14ac:dyDescent="0.25">
      <c r="C430">
        <v>164.1</v>
      </c>
    </row>
    <row r="431" spans="3:3" x14ac:dyDescent="0.25">
      <c r="C431">
        <v>154.4</v>
      </c>
    </row>
    <row r="432" spans="3:3" x14ac:dyDescent="0.25">
      <c r="C432">
        <v>202.9</v>
      </c>
    </row>
    <row r="433" spans="3:3" x14ac:dyDescent="0.25">
      <c r="C433">
        <v>177.2</v>
      </c>
    </row>
    <row r="434" spans="3:3" x14ac:dyDescent="0.25">
      <c r="C434">
        <v>133.1</v>
      </c>
    </row>
    <row r="435" spans="3:3" x14ac:dyDescent="0.25">
      <c r="C435">
        <v>243.4</v>
      </c>
    </row>
    <row r="436" spans="3:3" x14ac:dyDescent="0.25">
      <c r="C436">
        <v>168.3</v>
      </c>
    </row>
    <row r="437" spans="3:3" x14ac:dyDescent="0.25">
      <c r="C437">
        <v>111.6</v>
      </c>
    </row>
    <row r="438" spans="3:3" x14ac:dyDescent="0.25">
      <c r="C438">
        <v>206.2</v>
      </c>
    </row>
    <row r="439" spans="3:3" x14ac:dyDescent="0.25">
      <c r="C439">
        <v>156.69999999999999</v>
      </c>
    </row>
    <row r="440" spans="3:3" x14ac:dyDescent="0.25">
      <c r="C440">
        <v>221</v>
      </c>
    </row>
    <row r="441" spans="3:3" x14ac:dyDescent="0.25">
      <c r="C441">
        <v>165.7</v>
      </c>
    </row>
    <row r="442" spans="3:3" x14ac:dyDescent="0.25">
      <c r="C442">
        <v>154.80000000000001</v>
      </c>
    </row>
    <row r="443" spans="3:3" x14ac:dyDescent="0.25">
      <c r="C443">
        <v>125.4</v>
      </c>
    </row>
    <row r="444" spans="3:3" x14ac:dyDescent="0.25">
      <c r="C444">
        <v>124.8</v>
      </c>
    </row>
    <row r="445" spans="3:3" x14ac:dyDescent="0.25">
      <c r="C445">
        <v>179.2</v>
      </c>
    </row>
    <row r="446" spans="3:3" x14ac:dyDescent="0.25">
      <c r="C446">
        <v>245.9</v>
      </c>
    </row>
    <row r="447" spans="3:3" x14ac:dyDescent="0.25">
      <c r="C447">
        <v>205.9</v>
      </c>
    </row>
    <row r="448" spans="3:3" x14ac:dyDescent="0.25">
      <c r="C448">
        <v>186.8</v>
      </c>
    </row>
    <row r="449" spans="3:3" x14ac:dyDescent="0.25">
      <c r="C449">
        <v>192.1</v>
      </c>
    </row>
    <row r="450" spans="3:3" x14ac:dyDescent="0.25">
      <c r="C450">
        <v>183.6</v>
      </c>
    </row>
    <row r="451" spans="3:3" x14ac:dyDescent="0.25">
      <c r="C451">
        <v>155.19999999999999</v>
      </c>
    </row>
    <row r="452" spans="3:3" x14ac:dyDescent="0.25">
      <c r="C452">
        <v>203.4</v>
      </c>
    </row>
    <row r="453" spans="3:3" x14ac:dyDescent="0.25">
      <c r="C453">
        <v>189.8</v>
      </c>
    </row>
    <row r="454" spans="3:3" x14ac:dyDescent="0.25">
      <c r="C454">
        <v>198.5</v>
      </c>
    </row>
    <row r="455" spans="3:3" x14ac:dyDescent="0.25">
      <c r="C455">
        <v>158.69999999999999</v>
      </c>
    </row>
    <row r="456" spans="3:3" x14ac:dyDescent="0.25">
      <c r="C456">
        <v>137.80000000000001</v>
      </c>
    </row>
    <row r="457" spans="3:3" x14ac:dyDescent="0.25">
      <c r="C457">
        <v>139.30000000000001</v>
      </c>
    </row>
    <row r="458" spans="3:3" x14ac:dyDescent="0.25">
      <c r="C458">
        <v>177.4</v>
      </c>
    </row>
    <row r="459" spans="3:3" x14ac:dyDescent="0.25">
      <c r="C459">
        <v>115.6</v>
      </c>
    </row>
    <row r="460" spans="3:3" x14ac:dyDescent="0.25">
      <c r="C460">
        <v>51.5</v>
      </c>
    </row>
    <row r="461" spans="3:3" x14ac:dyDescent="0.25">
      <c r="C461">
        <v>131.69999999999999</v>
      </c>
    </row>
    <row r="462" spans="3:3" x14ac:dyDescent="0.25">
      <c r="C462">
        <v>106.5</v>
      </c>
    </row>
    <row r="463" spans="3:3" x14ac:dyDescent="0.25">
      <c r="C463">
        <v>158.80000000000001</v>
      </c>
    </row>
    <row r="464" spans="3:3" x14ac:dyDescent="0.25">
      <c r="C464">
        <v>175.8</v>
      </c>
    </row>
    <row r="465" spans="3:3" x14ac:dyDescent="0.25">
      <c r="C465">
        <v>193.3</v>
      </c>
    </row>
    <row r="466" spans="3:3" x14ac:dyDescent="0.25">
      <c r="C466">
        <v>137.80000000000001</v>
      </c>
    </row>
    <row r="467" spans="3:3" x14ac:dyDescent="0.25">
      <c r="C467">
        <v>252</v>
      </c>
    </row>
    <row r="468" spans="3:3" x14ac:dyDescent="0.25">
      <c r="C468">
        <v>163.1</v>
      </c>
    </row>
    <row r="469" spans="3:3" x14ac:dyDescent="0.25">
      <c r="C469">
        <v>203.3</v>
      </c>
    </row>
    <row r="470" spans="3:3" x14ac:dyDescent="0.25">
      <c r="C470">
        <v>175.4</v>
      </c>
    </row>
    <row r="471" spans="3:3" x14ac:dyDescent="0.25">
      <c r="C471">
        <v>78.7</v>
      </c>
    </row>
    <row r="472" spans="3:3" x14ac:dyDescent="0.25">
      <c r="C472">
        <v>225.9</v>
      </c>
    </row>
    <row r="473" spans="3:3" x14ac:dyDescent="0.25">
      <c r="C473">
        <v>216.8</v>
      </c>
    </row>
    <row r="474" spans="3:3" x14ac:dyDescent="0.25">
      <c r="C474">
        <v>58</v>
      </c>
    </row>
    <row r="475" spans="3:3" x14ac:dyDescent="0.25">
      <c r="C475">
        <v>173.2</v>
      </c>
    </row>
    <row r="476" spans="3:3" x14ac:dyDescent="0.25">
      <c r="C476">
        <v>236.8</v>
      </c>
    </row>
    <row r="477" spans="3:3" x14ac:dyDescent="0.25">
      <c r="C477">
        <v>237.3</v>
      </c>
    </row>
    <row r="478" spans="3:3" x14ac:dyDescent="0.25">
      <c r="C478">
        <v>158.6</v>
      </c>
    </row>
    <row r="479" spans="3:3" x14ac:dyDescent="0.25">
      <c r="C479">
        <v>157.30000000000001</v>
      </c>
    </row>
    <row r="480" spans="3:3" x14ac:dyDescent="0.25">
      <c r="C480">
        <v>144.4</v>
      </c>
    </row>
    <row r="481" spans="3:3" x14ac:dyDescent="0.25">
      <c r="C481">
        <v>77.599999999999994</v>
      </c>
    </row>
    <row r="482" spans="3:3" x14ac:dyDescent="0.25">
      <c r="C482">
        <v>80.3</v>
      </c>
    </row>
    <row r="483" spans="3:3" x14ac:dyDescent="0.25">
      <c r="C483">
        <v>190.3</v>
      </c>
    </row>
    <row r="484" spans="3:3" x14ac:dyDescent="0.25">
      <c r="C484">
        <v>209.4</v>
      </c>
    </row>
    <row r="485" spans="3:3" x14ac:dyDescent="0.25">
      <c r="C485">
        <v>208.8</v>
      </c>
    </row>
    <row r="486" spans="3:3" x14ac:dyDescent="0.25">
      <c r="C486">
        <v>113.6</v>
      </c>
    </row>
    <row r="487" spans="3:3" x14ac:dyDescent="0.25">
      <c r="C487">
        <v>202.6</v>
      </c>
    </row>
    <row r="488" spans="3:3" x14ac:dyDescent="0.25">
      <c r="C488">
        <v>135.19999999999999</v>
      </c>
    </row>
    <row r="489" spans="3:3" x14ac:dyDescent="0.25">
      <c r="C489">
        <v>97.5</v>
      </c>
    </row>
    <row r="490" spans="3:3" x14ac:dyDescent="0.25">
      <c r="C490">
        <v>166.5</v>
      </c>
    </row>
    <row r="491" spans="3:3" x14ac:dyDescent="0.25">
      <c r="C491">
        <v>102.1</v>
      </c>
    </row>
    <row r="492" spans="3:3" x14ac:dyDescent="0.25">
      <c r="C492">
        <v>146.5</v>
      </c>
    </row>
    <row r="493" spans="3:3" x14ac:dyDescent="0.25">
      <c r="C493">
        <v>250.8</v>
      </c>
    </row>
    <row r="494" spans="3:3" x14ac:dyDescent="0.25">
      <c r="C494">
        <v>163.4</v>
      </c>
    </row>
    <row r="495" spans="3:3" x14ac:dyDescent="0.25">
      <c r="C495">
        <v>161</v>
      </c>
    </row>
    <row r="496" spans="3:3" x14ac:dyDescent="0.25">
      <c r="C496">
        <v>81.599999999999994</v>
      </c>
    </row>
    <row r="497" spans="3:3" x14ac:dyDescent="0.25">
      <c r="C497">
        <v>183.8</v>
      </c>
    </row>
    <row r="498" spans="3:3" x14ac:dyDescent="0.25">
      <c r="C498">
        <v>180.2</v>
      </c>
    </row>
    <row r="499" spans="3:3" x14ac:dyDescent="0.25">
      <c r="C499">
        <v>147.80000000000001</v>
      </c>
    </row>
    <row r="500" spans="3:3" x14ac:dyDescent="0.25">
      <c r="C500">
        <v>110.9</v>
      </c>
    </row>
    <row r="501" spans="3:3" x14ac:dyDescent="0.25">
      <c r="C501">
        <v>58.2</v>
      </c>
    </row>
    <row r="502" spans="3:3" x14ac:dyDescent="0.25">
      <c r="C502">
        <v>212.7</v>
      </c>
    </row>
    <row r="503" spans="3:3" x14ac:dyDescent="0.25">
      <c r="C503">
        <v>214</v>
      </c>
    </row>
    <row r="504" spans="3:3" x14ac:dyDescent="0.25">
      <c r="C504">
        <v>156.4</v>
      </c>
    </row>
    <row r="505" spans="3:3" x14ac:dyDescent="0.25">
      <c r="C505">
        <v>128.1</v>
      </c>
    </row>
    <row r="506" spans="3:3" x14ac:dyDescent="0.25">
      <c r="C506">
        <v>44.9</v>
      </c>
    </row>
    <row r="507" spans="3:3" x14ac:dyDescent="0.25">
      <c r="C507">
        <v>171.1</v>
      </c>
    </row>
    <row r="508" spans="3:3" x14ac:dyDescent="0.25">
      <c r="C508">
        <v>205.2</v>
      </c>
    </row>
    <row r="509" spans="3:3" x14ac:dyDescent="0.25">
      <c r="C509">
        <v>232.8</v>
      </c>
    </row>
    <row r="510" spans="3:3" x14ac:dyDescent="0.25">
      <c r="C510">
        <v>153.5</v>
      </c>
    </row>
    <row r="511" spans="3:3" x14ac:dyDescent="0.25">
      <c r="C511">
        <v>203</v>
      </c>
    </row>
    <row r="512" spans="3:3" x14ac:dyDescent="0.25">
      <c r="C512">
        <v>85.9</v>
      </c>
    </row>
    <row r="513" spans="3:3" x14ac:dyDescent="0.25">
      <c r="C513">
        <v>146.69999999999999</v>
      </c>
    </row>
    <row r="514" spans="3:3" x14ac:dyDescent="0.25">
      <c r="C514">
        <v>152.80000000000001</v>
      </c>
    </row>
    <row r="515" spans="3:3" x14ac:dyDescent="0.25">
      <c r="C515">
        <v>216.8</v>
      </c>
    </row>
    <row r="516" spans="3:3" x14ac:dyDescent="0.25">
      <c r="C516">
        <v>172.8</v>
      </c>
    </row>
    <row r="517" spans="3:3" x14ac:dyDescent="0.25">
      <c r="C517">
        <v>263.39999999999998</v>
      </c>
    </row>
    <row r="518" spans="3:3" x14ac:dyDescent="0.25">
      <c r="C518">
        <v>199.6</v>
      </c>
    </row>
    <row r="519" spans="3:3" x14ac:dyDescent="0.25">
      <c r="C519">
        <v>203.9</v>
      </c>
    </row>
    <row r="520" spans="3:3" x14ac:dyDescent="0.25">
      <c r="C520">
        <v>78.3</v>
      </c>
    </row>
    <row r="521" spans="3:3" x14ac:dyDescent="0.25">
      <c r="C521">
        <v>125.2</v>
      </c>
    </row>
    <row r="522" spans="3:3" x14ac:dyDescent="0.25">
      <c r="C522">
        <v>221.1</v>
      </c>
    </row>
    <row r="523" spans="3:3" x14ac:dyDescent="0.25">
      <c r="C523">
        <v>139</v>
      </c>
    </row>
    <row r="524" spans="3:3" x14ac:dyDescent="0.25">
      <c r="C524">
        <v>159.80000000000001</v>
      </c>
    </row>
    <row r="525" spans="3:3" x14ac:dyDescent="0.25">
      <c r="C525">
        <v>239.3</v>
      </c>
    </row>
    <row r="526" spans="3:3" x14ac:dyDescent="0.25">
      <c r="C526">
        <v>192.6</v>
      </c>
    </row>
    <row r="527" spans="3:3" x14ac:dyDescent="0.25">
      <c r="C527">
        <v>96.3</v>
      </c>
    </row>
    <row r="528" spans="3:3" x14ac:dyDescent="0.25">
      <c r="C528">
        <v>280.39999999999998</v>
      </c>
    </row>
    <row r="529" spans="3:3" x14ac:dyDescent="0.25">
      <c r="C529">
        <v>245.3</v>
      </c>
    </row>
    <row r="530" spans="3:3" x14ac:dyDescent="0.25">
      <c r="C530">
        <v>151.5</v>
      </c>
    </row>
    <row r="531" spans="3:3" x14ac:dyDescent="0.25">
      <c r="C531">
        <v>190</v>
      </c>
    </row>
    <row r="532" spans="3:3" x14ac:dyDescent="0.25">
      <c r="C532">
        <v>114.8</v>
      </c>
    </row>
    <row r="533" spans="3:3" x14ac:dyDescent="0.25">
      <c r="C533">
        <v>113.8</v>
      </c>
    </row>
    <row r="534" spans="3:3" x14ac:dyDescent="0.25">
      <c r="C534">
        <v>227.4</v>
      </c>
    </row>
    <row r="535" spans="3:3" x14ac:dyDescent="0.25">
      <c r="C535">
        <v>224</v>
      </c>
    </row>
    <row r="536" spans="3:3" x14ac:dyDescent="0.25">
      <c r="C536">
        <v>153.9</v>
      </c>
    </row>
    <row r="537" spans="3:3" x14ac:dyDescent="0.25">
      <c r="C537">
        <v>190.5</v>
      </c>
    </row>
    <row r="538" spans="3:3" x14ac:dyDescent="0.25">
      <c r="C538">
        <v>157.30000000000001</v>
      </c>
    </row>
    <row r="539" spans="3:3" x14ac:dyDescent="0.25">
      <c r="C539">
        <v>240.3</v>
      </c>
    </row>
    <row r="540" spans="3:3" x14ac:dyDescent="0.25">
      <c r="C540">
        <v>211.9</v>
      </c>
    </row>
    <row r="541" spans="3:3" x14ac:dyDescent="0.25">
      <c r="C541">
        <v>113.7</v>
      </c>
    </row>
    <row r="542" spans="3:3" x14ac:dyDescent="0.25">
      <c r="C542">
        <v>174.7</v>
      </c>
    </row>
    <row r="543" spans="3:3" x14ac:dyDescent="0.25">
      <c r="C543">
        <v>161.4</v>
      </c>
    </row>
    <row r="544" spans="3:3" x14ac:dyDescent="0.25">
      <c r="C544">
        <v>230.7</v>
      </c>
    </row>
    <row r="545" spans="3:3" x14ac:dyDescent="0.25">
      <c r="C545">
        <v>232.6</v>
      </c>
    </row>
    <row r="546" spans="3:3" x14ac:dyDescent="0.25">
      <c r="C546">
        <v>306.2</v>
      </c>
    </row>
    <row r="547" spans="3:3" x14ac:dyDescent="0.25">
      <c r="C547">
        <v>236.8</v>
      </c>
    </row>
    <row r="548" spans="3:3" x14ac:dyDescent="0.25">
      <c r="C548">
        <v>153.5</v>
      </c>
    </row>
    <row r="549" spans="3:3" x14ac:dyDescent="0.25">
      <c r="C549">
        <v>159.5</v>
      </c>
    </row>
    <row r="550" spans="3:3" x14ac:dyDescent="0.25">
      <c r="C550">
        <v>153.69999999999999</v>
      </c>
    </row>
    <row r="551" spans="3:3" x14ac:dyDescent="0.25">
      <c r="C551">
        <v>232.1</v>
      </c>
    </row>
    <row r="552" spans="3:3" x14ac:dyDescent="0.25">
      <c r="C552">
        <v>201.9</v>
      </c>
    </row>
    <row r="553" spans="3:3" x14ac:dyDescent="0.25">
      <c r="C553">
        <v>186.9</v>
      </c>
    </row>
    <row r="554" spans="3:3" x14ac:dyDescent="0.25">
      <c r="C554">
        <v>196.6</v>
      </c>
    </row>
    <row r="555" spans="3:3" x14ac:dyDescent="0.25">
      <c r="C555">
        <v>232.1</v>
      </c>
    </row>
    <row r="556" spans="3:3" x14ac:dyDescent="0.25">
      <c r="C556">
        <v>166</v>
      </c>
    </row>
    <row r="557" spans="3:3" x14ac:dyDescent="0.25">
      <c r="C557">
        <v>141</v>
      </c>
    </row>
    <row r="558" spans="3:3" x14ac:dyDescent="0.25">
      <c r="C558">
        <v>231.3</v>
      </c>
    </row>
    <row r="559" spans="3:3" x14ac:dyDescent="0.25">
      <c r="C559">
        <v>154.80000000000001</v>
      </c>
    </row>
    <row r="560" spans="3:3" x14ac:dyDescent="0.25">
      <c r="C560">
        <v>243</v>
      </c>
    </row>
    <row r="561" spans="3:3" x14ac:dyDescent="0.25">
      <c r="C561">
        <v>155.19999999999999</v>
      </c>
    </row>
    <row r="562" spans="3:3" x14ac:dyDescent="0.25">
      <c r="C562">
        <v>128.5</v>
      </c>
    </row>
    <row r="563" spans="3:3" x14ac:dyDescent="0.25">
      <c r="C563">
        <v>238</v>
      </c>
    </row>
    <row r="564" spans="3:3" x14ac:dyDescent="0.25">
      <c r="C564">
        <v>238.4</v>
      </c>
    </row>
    <row r="565" spans="3:3" x14ac:dyDescent="0.25">
      <c r="C565">
        <v>141.1</v>
      </c>
    </row>
    <row r="566" spans="3:3" x14ac:dyDescent="0.25">
      <c r="C566">
        <v>158.1</v>
      </c>
    </row>
    <row r="567" spans="3:3" x14ac:dyDescent="0.25">
      <c r="C567">
        <v>107.9</v>
      </c>
    </row>
    <row r="568" spans="3:3" x14ac:dyDescent="0.25">
      <c r="C568">
        <v>203.8</v>
      </c>
    </row>
    <row r="569" spans="3:3" x14ac:dyDescent="0.25">
      <c r="C569">
        <v>137.1</v>
      </c>
    </row>
    <row r="570" spans="3:3" x14ac:dyDescent="0.25">
      <c r="C570">
        <v>83.6</v>
      </c>
    </row>
    <row r="571" spans="3:3" x14ac:dyDescent="0.25">
      <c r="C571">
        <v>193.9</v>
      </c>
    </row>
    <row r="572" spans="3:3" x14ac:dyDescent="0.25">
      <c r="C572">
        <v>169.8</v>
      </c>
    </row>
    <row r="573" spans="3:3" x14ac:dyDescent="0.25">
      <c r="C573">
        <v>213.8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1BD9-4BA6-4572-BB11-52E1A21DAC83}">
  <dimension ref="A1:B6"/>
  <sheetViews>
    <sheetView workbookViewId="0">
      <selection activeCell="B4" sqref="B4:B5"/>
    </sheetView>
  </sheetViews>
  <sheetFormatPr defaultRowHeight="15" x14ac:dyDescent="0.25"/>
  <cols>
    <col min="1" max="1" width="24.7109375" bestFit="1" customWidth="1"/>
    <col min="2" max="2" width="5.85546875" bestFit="1" customWidth="1"/>
  </cols>
  <sheetData>
    <row r="1" spans="1:2" x14ac:dyDescent="0.25">
      <c r="A1" t="s">
        <v>159</v>
      </c>
    </row>
    <row r="3" spans="1:2" x14ac:dyDescent="0.25">
      <c r="A3" t="s">
        <v>160</v>
      </c>
      <c r="B3">
        <f>COUNTA(Raw_Data!A2:A668)</f>
        <v>667</v>
      </c>
    </row>
    <row r="4" spans="1:2" x14ac:dyDescent="0.25">
      <c r="A4" t="s">
        <v>161</v>
      </c>
      <c r="B4" s="12">
        <f>COUNTIF(Raw_Data!T2:T668,TRUE)/B3</f>
        <v>0.14242878560719641</v>
      </c>
    </row>
    <row r="5" spans="1:2" x14ac:dyDescent="0.25">
      <c r="A5" s="16" t="s">
        <v>162</v>
      </c>
      <c r="B5" s="12">
        <v>0.05</v>
      </c>
    </row>
    <row r="6" spans="1:2" x14ac:dyDescent="0.25">
      <c r="A6" t="s">
        <v>163</v>
      </c>
      <c r="B6" s="17">
        <f>B3*B5</f>
        <v>33.35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92FD-B25B-454B-9AEB-E18CEF631389}">
  <dimension ref="B4:U111"/>
  <sheetViews>
    <sheetView tabSelected="1" topLeftCell="A64" workbookViewId="0">
      <selection activeCell="I64" sqref="I64"/>
    </sheetView>
  </sheetViews>
  <sheetFormatPr defaultRowHeight="15" x14ac:dyDescent="0.25"/>
  <cols>
    <col min="2" max="2" width="13.140625" bestFit="1" customWidth="1"/>
    <col min="3" max="3" width="27.7109375" bestFit="1" customWidth="1"/>
    <col min="5" max="5" width="16.7109375" bestFit="1" customWidth="1"/>
    <col min="6" max="6" width="16.28515625" bestFit="1" customWidth="1"/>
    <col min="7" max="7" width="9" bestFit="1" customWidth="1"/>
    <col min="8" max="8" width="11.28515625" bestFit="1" customWidth="1"/>
    <col min="9" max="9" width="13.140625" bestFit="1" customWidth="1"/>
    <col min="10" max="11" width="22.28515625" bestFit="1" customWidth="1"/>
    <col min="12" max="12" width="23.85546875" bestFit="1" customWidth="1"/>
    <col min="13" max="13" width="20.28515625" bestFit="1" customWidth="1"/>
    <col min="14" max="14" width="22.42578125" bestFit="1" customWidth="1"/>
    <col min="15" max="15" width="25.140625" bestFit="1" customWidth="1"/>
    <col min="16" max="16" width="21.7109375" bestFit="1" customWidth="1"/>
    <col min="17" max="17" width="23.7109375" bestFit="1" customWidth="1"/>
    <col min="18" max="18" width="23.5703125" bestFit="1" customWidth="1"/>
    <col min="19" max="19" width="20" bestFit="1" customWidth="1"/>
    <col min="20" max="20" width="22.140625" bestFit="1" customWidth="1"/>
    <col min="21" max="21" width="27.7109375" bestFit="1" customWidth="1"/>
  </cols>
  <sheetData>
    <row r="4" spans="2:21" x14ac:dyDescent="0.25">
      <c r="B4" s="18" t="s">
        <v>164</v>
      </c>
      <c r="C4" t="s">
        <v>168</v>
      </c>
      <c r="E4" s="18" t="s">
        <v>164</v>
      </c>
      <c r="F4" t="s">
        <v>169</v>
      </c>
      <c r="I4" s="18" t="s">
        <v>164</v>
      </c>
      <c r="J4" t="s">
        <v>174</v>
      </c>
      <c r="K4" t="s">
        <v>175</v>
      </c>
      <c r="L4" t="s">
        <v>176</v>
      </c>
      <c r="M4" t="s">
        <v>177</v>
      </c>
      <c r="N4" t="s">
        <v>178</v>
      </c>
      <c r="O4" t="s">
        <v>179</v>
      </c>
      <c r="P4" t="s">
        <v>180</v>
      </c>
      <c r="Q4" t="s">
        <v>181</v>
      </c>
      <c r="R4" t="s">
        <v>182</v>
      </c>
      <c r="S4" t="s">
        <v>170</v>
      </c>
      <c r="T4" t="s">
        <v>183</v>
      </c>
      <c r="U4" t="s">
        <v>168</v>
      </c>
    </row>
    <row r="5" spans="2:21" x14ac:dyDescent="0.25">
      <c r="B5" s="19" t="s">
        <v>165</v>
      </c>
      <c r="C5" s="21">
        <v>822</v>
      </c>
      <c r="E5" s="19" t="s">
        <v>21</v>
      </c>
      <c r="F5" s="21">
        <v>614</v>
      </c>
      <c r="I5" s="19" t="s">
        <v>26</v>
      </c>
      <c r="J5" s="21">
        <v>885</v>
      </c>
      <c r="K5" s="21">
        <v>260.14999999999998</v>
      </c>
      <c r="L5" s="21">
        <v>1646.6000000000001</v>
      </c>
      <c r="M5" s="21">
        <v>913</v>
      </c>
      <c r="N5" s="21">
        <v>139.95999999999998</v>
      </c>
      <c r="O5" s="21">
        <v>1715.8000000000002</v>
      </c>
      <c r="P5" s="21">
        <v>845</v>
      </c>
      <c r="Q5" s="21">
        <v>77.210000000000008</v>
      </c>
      <c r="R5" s="21">
        <v>85.2</v>
      </c>
      <c r="S5" s="21">
        <v>40</v>
      </c>
      <c r="T5" s="21">
        <v>23.020000000000003</v>
      </c>
      <c r="U5" s="21">
        <v>16</v>
      </c>
    </row>
    <row r="6" spans="2:21" x14ac:dyDescent="0.25">
      <c r="B6" s="20" t="s">
        <v>26</v>
      </c>
      <c r="C6" s="21">
        <v>16</v>
      </c>
      <c r="E6" s="20" t="s">
        <v>165</v>
      </c>
      <c r="F6" s="21">
        <v>538</v>
      </c>
      <c r="I6" s="19" t="s">
        <v>44</v>
      </c>
      <c r="J6" s="21">
        <v>1365</v>
      </c>
      <c r="K6" s="21">
        <v>416.19</v>
      </c>
      <c r="L6" s="21">
        <v>2912.2999999999997</v>
      </c>
      <c r="M6" s="21">
        <v>1404</v>
      </c>
      <c r="N6" s="21">
        <v>247.55</v>
      </c>
      <c r="O6" s="21">
        <v>2770</v>
      </c>
      <c r="P6" s="21">
        <v>1208</v>
      </c>
      <c r="Q6" s="21">
        <v>124.65000000000002</v>
      </c>
      <c r="R6" s="21">
        <v>150.6</v>
      </c>
      <c r="S6" s="21">
        <v>66</v>
      </c>
      <c r="T6" s="21">
        <v>40.670000000000009</v>
      </c>
      <c r="U6" s="21">
        <v>15</v>
      </c>
    </row>
    <row r="7" spans="2:21" x14ac:dyDescent="0.25">
      <c r="B7" s="20" t="s">
        <v>44</v>
      </c>
      <c r="C7" s="21">
        <v>14</v>
      </c>
      <c r="E7" s="20" t="s">
        <v>166</v>
      </c>
      <c r="F7" s="21">
        <v>76</v>
      </c>
      <c r="I7" s="19" t="s">
        <v>69</v>
      </c>
      <c r="J7" s="21">
        <v>712</v>
      </c>
      <c r="K7" s="21">
        <v>250.87</v>
      </c>
      <c r="L7" s="21">
        <v>1513.5</v>
      </c>
      <c r="M7" s="21">
        <v>691</v>
      </c>
      <c r="N7" s="21">
        <v>128.65</v>
      </c>
      <c r="O7" s="21">
        <v>1826.1000000000001</v>
      </c>
      <c r="P7" s="21">
        <v>892</v>
      </c>
      <c r="Q7" s="21">
        <v>82.18</v>
      </c>
      <c r="R7" s="21">
        <v>78</v>
      </c>
      <c r="S7" s="21">
        <v>31</v>
      </c>
      <c r="T7" s="21">
        <v>21.060000000000002</v>
      </c>
      <c r="U7" s="21">
        <v>8</v>
      </c>
    </row>
    <row r="8" spans="2:21" x14ac:dyDescent="0.25">
      <c r="B8" s="20" t="s">
        <v>69</v>
      </c>
      <c r="C8" s="21">
        <v>8</v>
      </c>
      <c r="E8" s="19" t="s">
        <v>27</v>
      </c>
      <c r="F8" s="21">
        <v>53</v>
      </c>
      <c r="I8" s="19" t="s">
        <v>38</v>
      </c>
      <c r="J8" s="21">
        <v>1842</v>
      </c>
      <c r="K8" s="21">
        <v>537.89</v>
      </c>
      <c r="L8" s="21">
        <v>3688.5</v>
      </c>
      <c r="M8" s="21">
        <v>1917</v>
      </c>
      <c r="N8" s="21">
        <v>313.52999999999997</v>
      </c>
      <c r="O8" s="21">
        <v>3469.6000000000004</v>
      </c>
      <c r="P8" s="21">
        <v>1878</v>
      </c>
      <c r="Q8" s="21">
        <v>156.13</v>
      </c>
      <c r="R8" s="21">
        <v>202.7</v>
      </c>
      <c r="S8" s="21">
        <v>73</v>
      </c>
      <c r="T8" s="21">
        <v>54.74</v>
      </c>
      <c r="U8" s="21">
        <v>40</v>
      </c>
    </row>
    <row r="9" spans="2:21" x14ac:dyDescent="0.25">
      <c r="B9" s="20" t="s">
        <v>38</v>
      </c>
      <c r="C9" s="21">
        <v>36</v>
      </c>
      <c r="E9" s="20" t="s">
        <v>165</v>
      </c>
      <c r="F9" s="21">
        <v>34</v>
      </c>
      <c r="I9" s="19" t="s">
        <v>39</v>
      </c>
      <c r="J9" s="21">
        <v>1137</v>
      </c>
      <c r="K9" s="21">
        <v>323.39999999999998</v>
      </c>
      <c r="L9" s="21">
        <v>1984.7</v>
      </c>
      <c r="M9" s="21">
        <v>949</v>
      </c>
      <c r="N9" s="21">
        <v>168.72000000000003</v>
      </c>
      <c r="O9" s="21">
        <v>2146.2999999999997</v>
      </c>
      <c r="P9" s="21">
        <v>970</v>
      </c>
      <c r="Q9" s="21">
        <v>96.589999999999989</v>
      </c>
      <c r="R9" s="21">
        <v>91.9</v>
      </c>
      <c r="S9" s="21">
        <v>45</v>
      </c>
      <c r="T9" s="21">
        <v>24.819999999999997</v>
      </c>
      <c r="U9" s="21">
        <v>16</v>
      </c>
    </row>
    <row r="10" spans="2:21" x14ac:dyDescent="0.25">
      <c r="B10" s="20" t="s">
        <v>39</v>
      </c>
      <c r="C10" s="21">
        <v>9</v>
      </c>
      <c r="E10" s="20" t="s">
        <v>166</v>
      </c>
      <c r="F10" s="21">
        <v>19</v>
      </c>
      <c r="I10" s="19" t="s">
        <v>37</v>
      </c>
      <c r="J10" s="21">
        <v>680</v>
      </c>
      <c r="K10" s="21">
        <v>204.63</v>
      </c>
      <c r="L10" s="21">
        <v>1348.2</v>
      </c>
      <c r="M10" s="21">
        <v>803</v>
      </c>
      <c r="N10" s="21">
        <v>114.59</v>
      </c>
      <c r="O10" s="21">
        <v>1340.6</v>
      </c>
      <c r="P10" s="21">
        <v>767</v>
      </c>
      <c r="Q10" s="21">
        <v>60.320000000000007</v>
      </c>
      <c r="R10" s="21">
        <v>74.599999999999994</v>
      </c>
      <c r="S10" s="21">
        <v>21</v>
      </c>
      <c r="T10" s="21">
        <v>20.14</v>
      </c>
      <c r="U10" s="21">
        <v>10</v>
      </c>
    </row>
    <row r="11" spans="2:21" x14ac:dyDescent="0.25">
      <c r="B11" s="20" t="s">
        <v>37</v>
      </c>
      <c r="C11" s="21">
        <v>2</v>
      </c>
      <c r="E11" s="19" t="s">
        <v>167</v>
      </c>
      <c r="F11" s="21">
        <v>667</v>
      </c>
      <c r="I11" s="19" t="s">
        <v>56</v>
      </c>
      <c r="J11" s="21">
        <v>1466</v>
      </c>
      <c r="K11" s="21">
        <v>455.24</v>
      </c>
      <c r="L11" s="21">
        <v>3047.7999999999997</v>
      </c>
      <c r="M11" s="21">
        <v>1512</v>
      </c>
      <c r="N11" s="21">
        <v>259.08000000000004</v>
      </c>
      <c r="O11" s="21">
        <v>3332.7</v>
      </c>
      <c r="P11" s="21">
        <v>1556</v>
      </c>
      <c r="Q11" s="21">
        <v>149.98000000000002</v>
      </c>
      <c r="R11" s="21">
        <v>156.69999999999999</v>
      </c>
      <c r="S11" s="21">
        <v>69</v>
      </c>
      <c r="T11" s="21">
        <v>42.300000000000004</v>
      </c>
      <c r="U11" s="21">
        <v>29</v>
      </c>
    </row>
    <row r="12" spans="2:21" x14ac:dyDescent="0.25">
      <c r="B12" s="20" t="s">
        <v>56</v>
      </c>
      <c r="C12" s="21">
        <v>24</v>
      </c>
      <c r="I12" s="19" t="s">
        <v>61</v>
      </c>
      <c r="J12" s="21">
        <v>1002</v>
      </c>
      <c r="K12" s="21">
        <v>290.08</v>
      </c>
      <c r="L12" s="21">
        <v>1702.3</v>
      </c>
      <c r="M12" s="21">
        <v>920</v>
      </c>
      <c r="N12" s="21">
        <v>144.69</v>
      </c>
      <c r="O12" s="21">
        <v>1893.7000000000003</v>
      </c>
      <c r="P12" s="21">
        <v>909</v>
      </c>
      <c r="Q12" s="21">
        <v>85.210000000000008</v>
      </c>
      <c r="R12" s="21">
        <v>87.5</v>
      </c>
      <c r="S12" s="21">
        <v>29</v>
      </c>
      <c r="T12" s="21">
        <v>23.64</v>
      </c>
      <c r="U12" s="21">
        <v>15</v>
      </c>
    </row>
    <row r="13" spans="2:21" x14ac:dyDescent="0.25">
      <c r="B13" s="20" t="s">
        <v>61</v>
      </c>
      <c r="C13" s="21">
        <v>15</v>
      </c>
      <c r="E13" s="18" t="s">
        <v>164</v>
      </c>
      <c r="F13" t="s">
        <v>168</v>
      </c>
      <c r="I13" s="19" t="s">
        <v>58</v>
      </c>
      <c r="J13" s="21">
        <v>991</v>
      </c>
      <c r="K13" s="21">
        <v>305.89</v>
      </c>
      <c r="L13" s="21">
        <v>2007.8000000000002</v>
      </c>
      <c r="M13" s="21">
        <v>873</v>
      </c>
      <c r="N13" s="21">
        <v>170.66000000000003</v>
      </c>
      <c r="O13" s="21">
        <v>1987.8999999999999</v>
      </c>
      <c r="P13" s="21">
        <v>987</v>
      </c>
      <c r="Q13" s="21">
        <v>89.46</v>
      </c>
      <c r="R13" s="21">
        <v>99.5</v>
      </c>
      <c r="S13" s="21">
        <v>63</v>
      </c>
      <c r="T13" s="21">
        <v>26.89</v>
      </c>
      <c r="U13" s="21">
        <v>12</v>
      </c>
    </row>
    <row r="14" spans="2:21" x14ac:dyDescent="0.25">
      <c r="B14" s="20" t="s">
        <v>58</v>
      </c>
      <c r="C14" s="21">
        <v>12</v>
      </c>
      <c r="E14" s="19" t="s">
        <v>165</v>
      </c>
      <c r="F14" s="21">
        <v>822</v>
      </c>
      <c r="I14" s="19" t="s">
        <v>51</v>
      </c>
      <c r="J14" s="21">
        <v>1005</v>
      </c>
      <c r="K14" s="21">
        <v>283.45</v>
      </c>
      <c r="L14" s="21">
        <v>2115.7000000000003</v>
      </c>
      <c r="M14" s="21">
        <v>1088</v>
      </c>
      <c r="N14" s="21">
        <v>179.82999999999998</v>
      </c>
      <c r="O14" s="21">
        <v>1787.9999999999998</v>
      </c>
      <c r="P14" s="21">
        <v>881</v>
      </c>
      <c r="Q14" s="21">
        <v>80.47</v>
      </c>
      <c r="R14" s="21">
        <v>96.3</v>
      </c>
      <c r="S14" s="21">
        <v>38</v>
      </c>
      <c r="T14" s="21">
        <v>26</v>
      </c>
      <c r="U14" s="21">
        <v>12</v>
      </c>
    </row>
    <row r="15" spans="2:21" x14ac:dyDescent="0.25">
      <c r="B15" s="20" t="s">
        <v>51</v>
      </c>
      <c r="C15" s="21">
        <v>11</v>
      </c>
      <c r="E15" s="19" t="s">
        <v>166</v>
      </c>
      <c r="F15" s="21">
        <v>221</v>
      </c>
      <c r="I15" s="19" t="s">
        <v>72</v>
      </c>
      <c r="J15" s="21">
        <v>439</v>
      </c>
      <c r="K15" s="21">
        <v>145.1</v>
      </c>
      <c r="L15" s="21">
        <v>1014.2</v>
      </c>
      <c r="M15" s="21">
        <v>618</v>
      </c>
      <c r="N15" s="21">
        <v>86.21</v>
      </c>
      <c r="O15" s="21">
        <v>876.8</v>
      </c>
      <c r="P15" s="21">
        <v>509</v>
      </c>
      <c r="Q15" s="21">
        <v>39.450000000000003</v>
      </c>
      <c r="R15" s="21">
        <v>47.400000000000006</v>
      </c>
      <c r="S15" s="21">
        <v>21</v>
      </c>
      <c r="T15" s="21">
        <v>12.8</v>
      </c>
      <c r="U15" s="21">
        <v>10</v>
      </c>
    </row>
    <row r="16" spans="2:21" x14ac:dyDescent="0.25">
      <c r="B16" s="20" t="s">
        <v>72</v>
      </c>
      <c r="C16" s="21">
        <v>10</v>
      </c>
      <c r="E16" s="19" t="s">
        <v>167</v>
      </c>
      <c r="F16" s="21">
        <v>1043</v>
      </c>
      <c r="I16" s="19" t="s">
        <v>25</v>
      </c>
      <c r="J16" s="21">
        <v>1005</v>
      </c>
      <c r="K16" s="21">
        <v>293.63</v>
      </c>
      <c r="L16" s="21">
        <v>1740.7</v>
      </c>
      <c r="M16" s="21">
        <v>877</v>
      </c>
      <c r="N16" s="21">
        <v>147.95999999999998</v>
      </c>
      <c r="O16" s="21">
        <v>1957.1</v>
      </c>
      <c r="P16" s="21">
        <v>930</v>
      </c>
      <c r="Q16" s="21">
        <v>88.070000000000007</v>
      </c>
      <c r="R16" s="21">
        <v>89.7</v>
      </c>
      <c r="S16" s="21">
        <v>35</v>
      </c>
      <c r="T16" s="21">
        <v>24.23</v>
      </c>
      <c r="U16" s="21">
        <v>6</v>
      </c>
    </row>
    <row r="17" spans="2:21" x14ac:dyDescent="0.25">
      <c r="B17" s="20" t="s">
        <v>25</v>
      </c>
      <c r="C17" s="21">
        <v>6</v>
      </c>
      <c r="I17" s="19" t="s">
        <v>71</v>
      </c>
      <c r="J17" s="21">
        <v>577</v>
      </c>
      <c r="K17" s="21">
        <v>151.40999999999997</v>
      </c>
      <c r="L17" s="21">
        <v>1384.9</v>
      </c>
      <c r="M17" s="21">
        <v>650</v>
      </c>
      <c r="N17" s="21">
        <v>117.71000000000001</v>
      </c>
      <c r="O17" s="21">
        <v>1080.8</v>
      </c>
      <c r="P17" s="21">
        <v>654</v>
      </c>
      <c r="Q17" s="21">
        <v>48.639999999999993</v>
      </c>
      <c r="R17" s="21">
        <v>55.2</v>
      </c>
      <c r="S17" s="21">
        <v>27</v>
      </c>
      <c r="T17" s="21">
        <v>14.92</v>
      </c>
      <c r="U17" s="21">
        <v>9</v>
      </c>
    </row>
    <row r="18" spans="2:21" x14ac:dyDescent="0.25">
      <c r="B18" s="20" t="s">
        <v>71</v>
      </c>
      <c r="C18" s="21">
        <v>9</v>
      </c>
      <c r="E18" s="18" t="s">
        <v>164</v>
      </c>
      <c r="I18" s="19" t="s">
        <v>29</v>
      </c>
      <c r="J18" s="21">
        <v>1705</v>
      </c>
      <c r="K18" s="21">
        <v>556.00999999999976</v>
      </c>
      <c r="L18" s="21">
        <v>3306.5</v>
      </c>
      <c r="M18" s="21">
        <v>1800</v>
      </c>
      <c r="N18" s="21">
        <v>281.04000000000002</v>
      </c>
      <c r="O18" s="21">
        <v>3288.7000000000003</v>
      </c>
      <c r="P18" s="21">
        <v>1709</v>
      </c>
      <c r="Q18" s="21">
        <v>147.99</v>
      </c>
      <c r="R18" s="21">
        <v>185.8</v>
      </c>
      <c r="S18" s="21">
        <v>92</v>
      </c>
      <c r="T18" s="21">
        <v>50.180000000000007</v>
      </c>
      <c r="U18" s="21">
        <v>30</v>
      </c>
    </row>
    <row r="19" spans="2:21" x14ac:dyDescent="0.25">
      <c r="B19" s="20" t="s">
        <v>29</v>
      </c>
      <c r="C19" s="21">
        <v>20</v>
      </c>
      <c r="E19" s="19" t="s">
        <v>171</v>
      </c>
      <c r="I19" s="19" t="s">
        <v>63</v>
      </c>
      <c r="J19" s="21">
        <v>1351</v>
      </c>
      <c r="K19" s="21">
        <v>411.40000000000003</v>
      </c>
      <c r="L19" s="21">
        <v>2296.5</v>
      </c>
      <c r="M19" s="21">
        <v>1253</v>
      </c>
      <c r="N19" s="21">
        <v>195.20000000000002</v>
      </c>
      <c r="O19" s="21">
        <v>2492.5</v>
      </c>
      <c r="P19" s="21">
        <v>1376</v>
      </c>
      <c r="Q19" s="21">
        <v>112.16000000000001</v>
      </c>
      <c r="R19" s="21">
        <v>136.40000000000003</v>
      </c>
      <c r="S19" s="21">
        <v>57</v>
      </c>
      <c r="T19" s="21">
        <v>36.849999999999994</v>
      </c>
      <c r="U19" s="21">
        <v>16</v>
      </c>
    </row>
    <row r="20" spans="2:21" x14ac:dyDescent="0.25">
      <c r="B20" s="20" t="s">
        <v>63</v>
      </c>
      <c r="C20" s="21">
        <v>15</v>
      </c>
      <c r="E20" s="20" t="s">
        <v>134</v>
      </c>
      <c r="I20" s="19" t="s">
        <v>22</v>
      </c>
      <c r="J20" s="21">
        <v>1887</v>
      </c>
      <c r="K20" s="21">
        <v>564.25</v>
      </c>
      <c r="L20" s="21">
        <v>3616.3000000000011</v>
      </c>
      <c r="M20" s="21">
        <v>1624</v>
      </c>
      <c r="N20" s="21">
        <v>307.38</v>
      </c>
      <c r="O20" s="21">
        <v>3330.3999999999996</v>
      </c>
      <c r="P20" s="21">
        <v>1816</v>
      </c>
      <c r="Q20" s="21">
        <v>149.86999999999998</v>
      </c>
      <c r="R20" s="21">
        <v>181.89999999999998</v>
      </c>
      <c r="S20" s="21">
        <v>74</v>
      </c>
      <c r="T20" s="21">
        <v>49.11</v>
      </c>
      <c r="U20" s="21">
        <v>33</v>
      </c>
    </row>
    <row r="21" spans="2:21" x14ac:dyDescent="0.25">
      <c r="B21" s="20" t="s">
        <v>22</v>
      </c>
      <c r="C21" s="21">
        <v>21</v>
      </c>
      <c r="E21" s="20" t="s">
        <v>156</v>
      </c>
      <c r="I21" s="19" t="s">
        <v>52</v>
      </c>
      <c r="J21" s="21">
        <v>1856</v>
      </c>
      <c r="K21" s="21">
        <v>545.31000000000006</v>
      </c>
      <c r="L21" s="21">
        <v>3624.1999999999994</v>
      </c>
      <c r="M21" s="21">
        <v>1994</v>
      </c>
      <c r="N21" s="21">
        <v>308.05000000000007</v>
      </c>
      <c r="O21" s="21">
        <v>3602.4999999999995</v>
      </c>
      <c r="P21" s="21">
        <v>1712</v>
      </c>
      <c r="Q21" s="21">
        <v>162.12000000000003</v>
      </c>
      <c r="R21" s="21">
        <v>192.3</v>
      </c>
      <c r="S21" s="21">
        <v>89</v>
      </c>
      <c r="T21" s="21">
        <v>51.92</v>
      </c>
      <c r="U21" s="21">
        <v>20</v>
      </c>
    </row>
    <row r="22" spans="2:21" x14ac:dyDescent="0.25">
      <c r="B22" s="20" t="s">
        <v>52</v>
      </c>
      <c r="C22" s="21">
        <v>15</v>
      </c>
      <c r="E22" s="19" t="s">
        <v>172</v>
      </c>
      <c r="I22" s="19" t="s">
        <v>36</v>
      </c>
      <c r="J22" s="21">
        <v>1659</v>
      </c>
      <c r="K22" s="21">
        <v>460.28999999999996</v>
      </c>
      <c r="L22" s="21">
        <v>3218.8999999999996</v>
      </c>
      <c r="M22" s="21">
        <v>1511</v>
      </c>
      <c r="N22" s="21">
        <v>273.61999999999995</v>
      </c>
      <c r="O22" s="21">
        <v>3129.9999999999995</v>
      </c>
      <c r="P22" s="21">
        <v>1583</v>
      </c>
      <c r="Q22" s="21">
        <v>140.84000000000003</v>
      </c>
      <c r="R22" s="21">
        <v>162.00000000000003</v>
      </c>
      <c r="S22" s="21">
        <v>74</v>
      </c>
      <c r="T22" s="21">
        <v>43.740000000000009</v>
      </c>
      <c r="U22" s="21">
        <v>26</v>
      </c>
    </row>
    <row r="23" spans="2:21" x14ac:dyDescent="0.25">
      <c r="B23" s="20" t="s">
        <v>36</v>
      </c>
      <c r="C23" s="21">
        <v>19</v>
      </c>
      <c r="E23" s="20" t="s">
        <v>134</v>
      </c>
      <c r="I23" s="19" t="s">
        <v>20</v>
      </c>
      <c r="J23" s="21">
        <v>1675</v>
      </c>
      <c r="K23" s="21">
        <v>525.5</v>
      </c>
      <c r="L23" s="21">
        <v>3305.7000000000003</v>
      </c>
      <c r="M23" s="21">
        <v>1546</v>
      </c>
      <c r="N23" s="21">
        <v>280.99</v>
      </c>
      <c r="O23" s="21">
        <v>3058.1</v>
      </c>
      <c r="P23" s="21">
        <v>1522</v>
      </c>
      <c r="Q23" s="21">
        <v>137.62</v>
      </c>
      <c r="R23" s="21">
        <v>155.70000000000002</v>
      </c>
      <c r="S23" s="21">
        <v>85</v>
      </c>
      <c r="T23" s="21">
        <v>42.039999999999992</v>
      </c>
      <c r="U23" s="21">
        <v>27</v>
      </c>
    </row>
    <row r="24" spans="2:21" x14ac:dyDescent="0.25">
      <c r="B24" s="20" t="s">
        <v>20</v>
      </c>
      <c r="C24" s="21">
        <v>27</v>
      </c>
      <c r="E24" s="20" t="s">
        <v>156</v>
      </c>
      <c r="I24" s="19" t="s">
        <v>35</v>
      </c>
      <c r="J24" s="21">
        <v>1365</v>
      </c>
      <c r="K24" s="21">
        <v>427.39</v>
      </c>
      <c r="L24" s="21">
        <v>2708.2</v>
      </c>
      <c r="M24" s="21">
        <v>1272</v>
      </c>
      <c r="N24" s="21">
        <v>230.21000000000004</v>
      </c>
      <c r="O24" s="21">
        <v>2265.7000000000003</v>
      </c>
      <c r="P24" s="21">
        <v>1249</v>
      </c>
      <c r="Q24" s="21">
        <v>101.96</v>
      </c>
      <c r="R24" s="21">
        <v>122.2</v>
      </c>
      <c r="S24" s="21">
        <v>66</v>
      </c>
      <c r="T24" s="21">
        <v>32.99</v>
      </c>
      <c r="U24" s="21">
        <v>15</v>
      </c>
    </row>
    <row r="25" spans="2:21" x14ac:dyDescent="0.25">
      <c r="B25" s="20" t="s">
        <v>35</v>
      </c>
      <c r="C25" s="21">
        <v>10</v>
      </c>
      <c r="E25" s="19" t="s">
        <v>173</v>
      </c>
      <c r="I25" s="19" t="s">
        <v>65</v>
      </c>
      <c r="J25" s="21">
        <v>1085</v>
      </c>
      <c r="K25" s="21">
        <v>321.15000000000003</v>
      </c>
      <c r="L25" s="21">
        <v>2059.4</v>
      </c>
      <c r="M25" s="21">
        <v>909</v>
      </c>
      <c r="N25" s="21">
        <v>175.07</v>
      </c>
      <c r="O25" s="21">
        <v>1817.4000000000003</v>
      </c>
      <c r="P25" s="21">
        <v>967</v>
      </c>
      <c r="Q25" s="21">
        <v>81.769999999999982</v>
      </c>
      <c r="R25" s="21">
        <v>118.7</v>
      </c>
      <c r="S25" s="21">
        <v>47</v>
      </c>
      <c r="T25" s="21">
        <v>32.049999999999997</v>
      </c>
      <c r="U25" s="21">
        <v>20</v>
      </c>
    </row>
    <row r="26" spans="2:21" x14ac:dyDescent="0.25">
      <c r="B26" s="20" t="s">
        <v>65</v>
      </c>
      <c r="C26" s="21">
        <v>14</v>
      </c>
      <c r="E26" s="20" t="s">
        <v>134</v>
      </c>
      <c r="I26" s="19" t="s">
        <v>62</v>
      </c>
      <c r="J26" s="21">
        <v>1244</v>
      </c>
      <c r="K26" s="21">
        <v>432.81999999999994</v>
      </c>
      <c r="L26" s="21">
        <v>2575.5999999999995</v>
      </c>
      <c r="M26" s="21">
        <v>1274</v>
      </c>
      <c r="N26" s="21">
        <v>218.92999999999998</v>
      </c>
      <c r="O26" s="21">
        <v>2531.1</v>
      </c>
      <c r="P26" s="21">
        <v>1368</v>
      </c>
      <c r="Q26" s="21">
        <v>113.89999999999999</v>
      </c>
      <c r="R26" s="21">
        <v>131.69999999999999</v>
      </c>
      <c r="S26" s="21">
        <v>58</v>
      </c>
      <c r="T26" s="21">
        <v>35.57</v>
      </c>
      <c r="U26" s="21">
        <v>23</v>
      </c>
    </row>
    <row r="27" spans="2:21" x14ac:dyDescent="0.25">
      <c r="B27" s="20" t="s">
        <v>62</v>
      </c>
      <c r="C27" s="21">
        <v>19</v>
      </c>
      <c r="E27" s="20" t="s">
        <v>156</v>
      </c>
      <c r="I27" s="19" t="s">
        <v>28</v>
      </c>
      <c r="J27" s="21">
        <v>1641</v>
      </c>
      <c r="K27" s="21">
        <v>475.81</v>
      </c>
      <c r="L27" s="21">
        <v>3085.4999999999995</v>
      </c>
      <c r="M27" s="21">
        <v>1596</v>
      </c>
      <c r="N27" s="21">
        <v>262.27999999999997</v>
      </c>
      <c r="O27" s="21">
        <v>2823.9</v>
      </c>
      <c r="P27" s="21">
        <v>1483</v>
      </c>
      <c r="Q27" s="21">
        <v>127.07000000000001</v>
      </c>
      <c r="R27" s="21">
        <v>160.6</v>
      </c>
      <c r="S27" s="21">
        <v>65</v>
      </c>
      <c r="T27" s="21">
        <v>43.359999999999992</v>
      </c>
      <c r="U27" s="21">
        <v>27</v>
      </c>
    </row>
    <row r="28" spans="2:21" x14ac:dyDescent="0.25">
      <c r="B28" s="20" t="s">
        <v>28</v>
      </c>
      <c r="C28" s="21">
        <v>19</v>
      </c>
      <c r="E28" s="19" t="s">
        <v>167</v>
      </c>
      <c r="I28" s="19" t="s">
        <v>32</v>
      </c>
      <c r="J28" s="21">
        <v>1403</v>
      </c>
      <c r="K28" s="21">
        <v>480.9899999999999</v>
      </c>
      <c r="L28" s="21">
        <v>2831.1000000000004</v>
      </c>
      <c r="M28" s="21">
        <v>1292</v>
      </c>
      <c r="N28" s="21">
        <v>240.64000000000001</v>
      </c>
      <c r="O28" s="21">
        <v>3056.4999999999995</v>
      </c>
      <c r="P28" s="21">
        <v>1464</v>
      </c>
      <c r="Q28" s="21">
        <v>137.54000000000002</v>
      </c>
      <c r="R28" s="21">
        <v>148.19999999999999</v>
      </c>
      <c r="S28" s="21">
        <v>54</v>
      </c>
      <c r="T28" s="21">
        <v>40.019999999999996</v>
      </c>
      <c r="U28" s="21">
        <v>24</v>
      </c>
    </row>
    <row r="29" spans="2:21" x14ac:dyDescent="0.25">
      <c r="B29" s="20" t="s">
        <v>32</v>
      </c>
      <c r="C29" s="21">
        <v>19</v>
      </c>
      <c r="I29" s="19" t="s">
        <v>43</v>
      </c>
      <c r="J29" s="21">
        <v>1202</v>
      </c>
      <c r="K29" s="21">
        <v>351.37</v>
      </c>
      <c r="L29" s="21">
        <v>2215.4</v>
      </c>
      <c r="M29" s="21">
        <v>1149</v>
      </c>
      <c r="N29" s="21">
        <v>188.30000000000004</v>
      </c>
      <c r="O29" s="21">
        <v>2718.7000000000003</v>
      </c>
      <c r="P29" s="21">
        <v>1210</v>
      </c>
      <c r="Q29" s="21">
        <v>122.34</v>
      </c>
      <c r="R29" s="21">
        <v>115</v>
      </c>
      <c r="S29" s="21">
        <v>57</v>
      </c>
      <c r="T29" s="21">
        <v>31.05</v>
      </c>
      <c r="U29" s="21">
        <v>20</v>
      </c>
    </row>
    <row r="30" spans="2:21" x14ac:dyDescent="0.25">
      <c r="B30" s="20" t="s">
        <v>43</v>
      </c>
      <c r="C30" s="21">
        <v>12</v>
      </c>
      <c r="I30" s="19" t="s">
        <v>49</v>
      </c>
      <c r="J30" s="21">
        <v>1630</v>
      </c>
      <c r="K30" s="21">
        <v>550.79</v>
      </c>
      <c r="L30" s="21">
        <v>3545.9</v>
      </c>
      <c r="M30" s="21">
        <v>1756</v>
      </c>
      <c r="N30" s="21">
        <v>301.40000000000003</v>
      </c>
      <c r="O30" s="21">
        <v>3397</v>
      </c>
      <c r="P30" s="21">
        <v>1768</v>
      </c>
      <c r="Q30" s="21">
        <v>152.85000000000002</v>
      </c>
      <c r="R30" s="21">
        <v>193.5</v>
      </c>
      <c r="S30" s="21">
        <v>59</v>
      </c>
      <c r="T30" s="21">
        <v>52.260000000000005</v>
      </c>
      <c r="U30" s="21">
        <v>29</v>
      </c>
    </row>
    <row r="31" spans="2:21" x14ac:dyDescent="0.25">
      <c r="B31" s="20" t="s">
        <v>49</v>
      </c>
      <c r="C31" s="21">
        <v>19</v>
      </c>
      <c r="I31" s="19" t="s">
        <v>34</v>
      </c>
      <c r="J31" s="21">
        <v>1424</v>
      </c>
      <c r="K31" s="21">
        <v>448.09</v>
      </c>
      <c r="L31" s="21">
        <v>3141.4999999999991</v>
      </c>
      <c r="M31" s="21">
        <v>1480</v>
      </c>
      <c r="N31" s="21">
        <v>267.03000000000003</v>
      </c>
      <c r="O31" s="21">
        <v>2967.9000000000005</v>
      </c>
      <c r="P31" s="21">
        <v>1527</v>
      </c>
      <c r="Q31" s="21">
        <v>133.54</v>
      </c>
      <c r="R31" s="21">
        <v>155.19999999999999</v>
      </c>
      <c r="S31" s="21">
        <v>75</v>
      </c>
      <c r="T31" s="21">
        <v>41.91</v>
      </c>
      <c r="U31" s="21">
        <v>27</v>
      </c>
    </row>
    <row r="32" spans="2:21" x14ac:dyDescent="0.25">
      <c r="B32" s="20" t="s">
        <v>34</v>
      </c>
      <c r="C32" s="21">
        <v>16</v>
      </c>
      <c r="I32" s="19" t="s">
        <v>53</v>
      </c>
      <c r="J32" s="21">
        <v>1215</v>
      </c>
      <c r="K32" s="21">
        <v>374.40000000000009</v>
      </c>
      <c r="L32" s="21">
        <v>2579.6999999999998</v>
      </c>
      <c r="M32" s="21">
        <v>1231</v>
      </c>
      <c r="N32" s="21">
        <v>219.29999999999998</v>
      </c>
      <c r="O32" s="21">
        <v>2527.1999999999998</v>
      </c>
      <c r="P32" s="21">
        <v>1208</v>
      </c>
      <c r="Q32" s="21">
        <v>113.72999999999998</v>
      </c>
      <c r="R32" s="21">
        <v>117</v>
      </c>
      <c r="S32" s="21">
        <v>61</v>
      </c>
      <c r="T32" s="21">
        <v>31.589999999999996</v>
      </c>
      <c r="U32" s="21">
        <v>20</v>
      </c>
    </row>
    <row r="33" spans="2:21" x14ac:dyDescent="0.25">
      <c r="B33" s="20" t="s">
        <v>53</v>
      </c>
      <c r="C33" s="21">
        <v>13</v>
      </c>
      <c r="I33" s="19" t="s">
        <v>68</v>
      </c>
      <c r="J33" s="21">
        <v>1782</v>
      </c>
      <c r="K33" s="21">
        <v>581.52</v>
      </c>
      <c r="L33" s="21">
        <v>3978.2000000000003</v>
      </c>
      <c r="M33" s="21">
        <v>2023</v>
      </c>
      <c r="N33" s="21">
        <v>338.14000000000004</v>
      </c>
      <c r="O33" s="21">
        <v>3492</v>
      </c>
      <c r="P33" s="21">
        <v>1825</v>
      </c>
      <c r="Q33" s="21">
        <v>157.16</v>
      </c>
      <c r="R33" s="21">
        <v>188.00000000000006</v>
      </c>
      <c r="S33" s="21">
        <v>79</v>
      </c>
      <c r="T33" s="21">
        <v>50.78</v>
      </c>
      <c r="U33" s="21">
        <v>24</v>
      </c>
    </row>
    <row r="34" spans="2:21" x14ac:dyDescent="0.25">
      <c r="B34" s="20" t="s">
        <v>68</v>
      </c>
      <c r="C34" s="21">
        <v>23</v>
      </c>
      <c r="I34" s="19" t="s">
        <v>41</v>
      </c>
      <c r="J34" s="21">
        <v>1681</v>
      </c>
      <c r="K34" s="21">
        <v>475.9199999999999</v>
      </c>
      <c r="L34" s="21">
        <v>3306.1000000000004</v>
      </c>
      <c r="M34" s="21">
        <v>1720</v>
      </c>
      <c r="N34" s="21">
        <v>281.02</v>
      </c>
      <c r="O34" s="21">
        <v>3288.1</v>
      </c>
      <c r="P34" s="21">
        <v>1545</v>
      </c>
      <c r="Q34" s="21">
        <v>147.97000000000003</v>
      </c>
      <c r="R34" s="21">
        <v>154.60000000000002</v>
      </c>
      <c r="S34" s="21">
        <v>72</v>
      </c>
      <c r="T34" s="21">
        <v>41.76</v>
      </c>
      <c r="U34" s="21">
        <v>16</v>
      </c>
    </row>
    <row r="35" spans="2:21" x14ac:dyDescent="0.25">
      <c r="B35" s="20" t="s">
        <v>41</v>
      </c>
      <c r="C35" s="21">
        <v>15</v>
      </c>
      <c r="I35" s="19" t="s">
        <v>45</v>
      </c>
      <c r="J35" s="21">
        <v>1195</v>
      </c>
      <c r="K35" s="21">
        <v>390.49</v>
      </c>
      <c r="L35" s="21">
        <v>2589.9999999999995</v>
      </c>
      <c r="M35" s="21">
        <v>1235</v>
      </c>
      <c r="N35" s="21">
        <v>220.14</v>
      </c>
      <c r="O35" s="21">
        <v>2516.9</v>
      </c>
      <c r="P35" s="21">
        <v>1187</v>
      </c>
      <c r="Q35" s="21">
        <v>113.27000000000001</v>
      </c>
      <c r="R35" s="21">
        <v>118.10000000000001</v>
      </c>
      <c r="S35" s="21">
        <v>49</v>
      </c>
      <c r="T35" s="21">
        <v>31.91</v>
      </c>
      <c r="U35" s="21">
        <v>15</v>
      </c>
    </row>
    <row r="36" spans="2:21" x14ac:dyDescent="0.25">
      <c r="B36" s="20" t="s">
        <v>45</v>
      </c>
      <c r="C36" s="21">
        <v>15</v>
      </c>
      <c r="I36" s="19" t="s">
        <v>64</v>
      </c>
      <c r="J36" s="21">
        <v>1839</v>
      </c>
      <c r="K36" s="21">
        <v>576.15</v>
      </c>
      <c r="L36" s="21">
        <v>3490.8</v>
      </c>
      <c r="M36" s="21">
        <v>1965</v>
      </c>
      <c r="N36" s="21">
        <v>296.73</v>
      </c>
      <c r="O36" s="21">
        <v>3836.0000000000005</v>
      </c>
      <c r="P36" s="21">
        <v>1791</v>
      </c>
      <c r="Q36" s="21">
        <v>172.60999999999999</v>
      </c>
      <c r="R36" s="21">
        <v>173.79999999999998</v>
      </c>
      <c r="S36" s="21">
        <v>79</v>
      </c>
      <c r="T36" s="21">
        <v>46.92</v>
      </c>
      <c r="U36" s="21">
        <v>29</v>
      </c>
    </row>
    <row r="37" spans="2:21" x14ac:dyDescent="0.25">
      <c r="B37" s="20" t="s">
        <v>64</v>
      </c>
      <c r="C37" s="21">
        <v>21</v>
      </c>
      <c r="I37" s="19" t="s">
        <v>46</v>
      </c>
      <c r="J37" s="21">
        <v>1865</v>
      </c>
      <c r="K37" s="21">
        <v>507.7</v>
      </c>
      <c r="L37" s="21">
        <v>3816.8999999999992</v>
      </c>
      <c r="M37" s="21">
        <v>1882</v>
      </c>
      <c r="N37" s="21">
        <v>324.43</v>
      </c>
      <c r="O37" s="21">
        <v>3512.3999999999996</v>
      </c>
      <c r="P37" s="21">
        <v>1719</v>
      </c>
      <c r="Q37" s="21">
        <v>158.06</v>
      </c>
      <c r="R37" s="21">
        <v>194.20000000000002</v>
      </c>
      <c r="S37" s="21">
        <v>89</v>
      </c>
      <c r="T37" s="21">
        <v>52.469999999999992</v>
      </c>
      <c r="U37" s="21">
        <v>35</v>
      </c>
    </row>
    <row r="38" spans="2:21" x14ac:dyDescent="0.25">
      <c r="B38" s="20" t="s">
        <v>46</v>
      </c>
      <c r="C38" s="21">
        <v>27</v>
      </c>
      <c r="I38" s="19" t="s">
        <v>60</v>
      </c>
      <c r="J38" s="21">
        <v>453</v>
      </c>
      <c r="K38" s="21">
        <v>136.22</v>
      </c>
      <c r="L38" s="21">
        <v>970.49999999999989</v>
      </c>
      <c r="M38" s="21">
        <v>502</v>
      </c>
      <c r="N38" s="21">
        <v>82.49</v>
      </c>
      <c r="O38" s="21">
        <v>1068.0999999999999</v>
      </c>
      <c r="P38" s="21">
        <v>506</v>
      </c>
      <c r="Q38" s="21">
        <v>48.06</v>
      </c>
      <c r="R38" s="21">
        <v>47.6</v>
      </c>
      <c r="S38" s="21">
        <v>29</v>
      </c>
      <c r="T38" s="21">
        <v>12.850000000000001</v>
      </c>
      <c r="U38" s="21">
        <v>7</v>
      </c>
    </row>
    <row r="39" spans="2:21" x14ac:dyDescent="0.25">
      <c r="B39" s="20" t="s">
        <v>60</v>
      </c>
      <c r="C39" s="21">
        <v>6</v>
      </c>
      <c r="I39" s="19" t="s">
        <v>23</v>
      </c>
      <c r="J39" s="21">
        <v>1410</v>
      </c>
      <c r="K39" s="21">
        <v>474.60000000000008</v>
      </c>
      <c r="L39" s="21">
        <v>2960.7</v>
      </c>
      <c r="M39" s="21">
        <v>1440</v>
      </c>
      <c r="N39" s="21">
        <v>251.64999999999998</v>
      </c>
      <c r="O39" s="21">
        <v>2990.8</v>
      </c>
      <c r="P39" s="21">
        <v>1544</v>
      </c>
      <c r="Q39" s="21">
        <v>134.6</v>
      </c>
      <c r="R39" s="21">
        <v>134.10000000000002</v>
      </c>
      <c r="S39" s="21">
        <v>61</v>
      </c>
      <c r="T39" s="21">
        <v>36.21</v>
      </c>
      <c r="U39" s="21">
        <v>27</v>
      </c>
    </row>
    <row r="40" spans="2:21" x14ac:dyDescent="0.25">
      <c r="B40" s="20" t="s">
        <v>23</v>
      </c>
      <c r="C40" s="21">
        <v>18</v>
      </c>
      <c r="I40" s="19" t="s">
        <v>42</v>
      </c>
      <c r="J40" s="21">
        <v>1185</v>
      </c>
      <c r="K40" s="21">
        <v>358.01</v>
      </c>
      <c r="L40" s="21">
        <v>2453</v>
      </c>
      <c r="M40" s="21">
        <v>1204</v>
      </c>
      <c r="N40" s="21">
        <v>208.51</v>
      </c>
      <c r="O40" s="21">
        <v>2200.8000000000002</v>
      </c>
      <c r="P40" s="21">
        <v>1206</v>
      </c>
      <c r="Q40" s="21">
        <v>99.04</v>
      </c>
      <c r="R40" s="21">
        <v>122.9</v>
      </c>
      <c r="S40" s="21">
        <v>48</v>
      </c>
      <c r="T40" s="21">
        <v>33.190000000000005</v>
      </c>
      <c r="U40" s="21">
        <v>17</v>
      </c>
    </row>
    <row r="41" spans="2:21" x14ac:dyDescent="0.25">
      <c r="B41" s="20" t="s">
        <v>42</v>
      </c>
      <c r="C41" s="21">
        <v>17</v>
      </c>
      <c r="I41" s="19" t="s">
        <v>55</v>
      </c>
      <c r="J41" s="21">
        <v>926</v>
      </c>
      <c r="K41" s="21">
        <v>274.46000000000004</v>
      </c>
      <c r="L41" s="21">
        <v>1838.8999999999999</v>
      </c>
      <c r="M41" s="21">
        <v>898</v>
      </c>
      <c r="N41" s="21">
        <v>156.32</v>
      </c>
      <c r="O41" s="21">
        <v>1786.5000000000002</v>
      </c>
      <c r="P41" s="21">
        <v>859</v>
      </c>
      <c r="Q41" s="21">
        <v>80.39</v>
      </c>
      <c r="R41" s="21">
        <v>89.2</v>
      </c>
      <c r="S41" s="21">
        <v>45</v>
      </c>
      <c r="T41" s="21">
        <v>24.099999999999998</v>
      </c>
      <c r="U41" s="21">
        <v>15</v>
      </c>
    </row>
    <row r="42" spans="2:21" x14ac:dyDescent="0.25">
      <c r="B42" s="20" t="s">
        <v>55</v>
      </c>
      <c r="C42" s="21">
        <v>9</v>
      </c>
      <c r="I42" s="19" t="s">
        <v>47</v>
      </c>
      <c r="J42" s="21">
        <v>1604</v>
      </c>
      <c r="K42" s="21">
        <v>541.28</v>
      </c>
      <c r="L42" s="21">
        <v>3445.0000000000005</v>
      </c>
      <c r="M42" s="21">
        <v>1572</v>
      </c>
      <c r="N42" s="21">
        <v>292.82</v>
      </c>
      <c r="O42" s="21">
        <v>3212.3</v>
      </c>
      <c r="P42" s="21">
        <v>1672</v>
      </c>
      <c r="Q42" s="21">
        <v>144.56</v>
      </c>
      <c r="R42" s="21">
        <v>151.79999999999998</v>
      </c>
      <c r="S42" s="21">
        <v>65</v>
      </c>
      <c r="T42" s="21">
        <v>40.999999999999993</v>
      </c>
      <c r="U42" s="21">
        <v>24</v>
      </c>
    </row>
    <row r="43" spans="2:21" x14ac:dyDescent="0.25">
      <c r="B43" s="20" t="s">
        <v>47</v>
      </c>
      <c r="C43" s="21">
        <v>18</v>
      </c>
      <c r="I43" s="19" t="s">
        <v>67</v>
      </c>
      <c r="J43" s="21">
        <v>879</v>
      </c>
      <c r="K43" s="21">
        <v>240.28</v>
      </c>
      <c r="L43" s="21">
        <v>1887.4999999999998</v>
      </c>
      <c r="M43" s="21">
        <v>960</v>
      </c>
      <c r="N43" s="21">
        <v>160.44</v>
      </c>
      <c r="O43" s="21">
        <v>1855</v>
      </c>
      <c r="P43" s="21">
        <v>869</v>
      </c>
      <c r="Q43" s="21">
        <v>83.47999999999999</v>
      </c>
      <c r="R43" s="21">
        <v>96.90000000000002</v>
      </c>
      <c r="S43" s="21">
        <v>45</v>
      </c>
      <c r="T43" s="21">
        <v>26.16</v>
      </c>
      <c r="U43" s="21">
        <v>10</v>
      </c>
    </row>
    <row r="44" spans="2:21" x14ac:dyDescent="0.25">
      <c r="B44" s="20" t="s">
        <v>67</v>
      </c>
      <c r="C44" s="21">
        <v>10</v>
      </c>
      <c r="I44" s="19" t="s">
        <v>57</v>
      </c>
      <c r="J44" s="21">
        <v>1686</v>
      </c>
      <c r="K44" s="21">
        <v>428.59000000000003</v>
      </c>
      <c r="L44" s="21">
        <v>3848.8999999999992</v>
      </c>
      <c r="M44" s="21">
        <v>1696</v>
      </c>
      <c r="N44" s="21">
        <v>327.14999999999998</v>
      </c>
      <c r="O44" s="21">
        <v>3338.4</v>
      </c>
      <c r="P44" s="21">
        <v>1638</v>
      </c>
      <c r="Q44" s="21">
        <v>150.24</v>
      </c>
      <c r="R44" s="21">
        <v>158.49999999999997</v>
      </c>
      <c r="S44" s="21">
        <v>87</v>
      </c>
      <c r="T44" s="21">
        <v>42.789999999999992</v>
      </c>
      <c r="U44" s="21">
        <v>24</v>
      </c>
    </row>
    <row r="45" spans="2:21" x14ac:dyDescent="0.25">
      <c r="B45" s="20" t="s">
        <v>57</v>
      </c>
      <c r="C45" s="21">
        <v>18</v>
      </c>
      <c r="I45" s="19" t="s">
        <v>24</v>
      </c>
      <c r="J45" s="21">
        <v>1171</v>
      </c>
      <c r="K45" s="21">
        <v>343.86000000000007</v>
      </c>
      <c r="L45" s="21">
        <v>2356.9999999999995</v>
      </c>
      <c r="M45" s="21">
        <v>1052</v>
      </c>
      <c r="N45" s="21">
        <v>200.34000000000003</v>
      </c>
      <c r="O45" s="21">
        <v>2236.1999999999998</v>
      </c>
      <c r="P45" s="21">
        <v>1120</v>
      </c>
      <c r="Q45" s="21">
        <v>100.64</v>
      </c>
      <c r="R45" s="21">
        <v>112.7</v>
      </c>
      <c r="S45" s="21">
        <v>50</v>
      </c>
      <c r="T45" s="21">
        <v>30.439999999999998</v>
      </c>
      <c r="U45" s="21">
        <v>23</v>
      </c>
    </row>
    <row r="46" spans="2:21" x14ac:dyDescent="0.25">
      <c r="B46" s="20" t="s">
        <v>24</v>
      </c>
      <c r="C46" s="21">
        <v>16</v>
      </c>
      <c r="I46" s="19" t="s">
        <v>54</v>
      </c>
      <c r="J46" s="21">
        <v>1087</v>
      </c>
      <c r="K46" s="21">
        <v>340.45000000000005</v>
      </c>
      <c r="L46" s="21">
        <v>1987</v>
      </c>
      <c r="M46" s="21">
        <v>1098</v>
      </c>
      <c r="N46" s="21">
        <v>168.89000000000001</v>
      </c>
      <c r="O46" s="21">
        <v>2198</v>
      </c>
      <c r="P46" s="21">
        <v>1031</v>
      </c>
      <c r="Q46" s="21">
        <v>98.92</v>
      </c>
      <c r="R46" s="21">
        <v>121.19999999999997</v>
      </c>
      <c r="S46" s="21">
        <v>58</v>
      </c>
      <c r="T46" s="21">
        <v>32.729999999999997</v>
      </c>
      <c r="U46" s="21">
        <v>15</v>
      </c>
    </row>
    <row r="47" spans="2:21" x14ac:dyDescent="0.25">
      <c r="B47" s="20" t="s">
        <v>54</v>
      </c>
      <c r="C47" s="21">
        <v>12</v>
      </c>
      <c r="I47" s="19" t="s">
        <v>70</v>
      </c>
      <c r="J47" s="21">
        <v>1291</v>
      </c>
      <c r="K47" s="21">
        <v>309.27</v>
      </c>
      <c r="L47" s="21">
        <v>2655.9</v>
      </c>
      <c r="M47" s="21">
        <v>1159</v>
      </c>
      <c r="N47" s="21">
        <v>225.74</v>
      </c>
      <c r="O47" s="21">
        <v>2723.7999999999997</v>
      </c>
      <c r="P47" s="21">
        <v>1265</v>
      </c>
      <c r="Q47" s="21">
        <v>122.57000000000002</v>
      </c>
      <c r="R47" s="21">
        <v>117.39999999999999</v>
      </c>
      <c r="S47" s="21">
        <v>56</v>
      </c>
      <c r="T47" s="21">
        <v>31.71</v>
      </c>
      <c r="U47" s="21">
        <v>16</v>
      </c>
    </row>
    <row r="48" spans="2:21" x14ac:dyDescent="0.25">
      <c r="B48" s="20" t="s">
        <v>70</v>
      </c>
      <c r="C48" s="21">
        <v>16</v>
      </c>
      <c r="I48" s="19" t="s">
        <v>48</v>
      </c>
      <c r="J48" s="21">
        <v>1631</v>
      </c>
      <c r="K48" s="21">
        <v>529.12</v>
      </c>
      <c r="L48" s="21">
        <v>3499.6</v>
      </c>
      <c r="M48" s="21">
        <v>1768</v>
      </c>
      <c r="N48" s="21">
        <v>297.46000000000004</v>
      </c>
      <c r="O48" s="21">
        <v>3033.4999999999995</v>
      </c>
      <c r="P48" s="21">
        <v>1814</v>
      </c>
      <c r="Q48" s="21">
        <v>136.49</v>
      </c>
      <c r="R48" s="21">
        <v>177.99999999999997</v>
      </c>
      <c r="S48" s="21">
        <v>74</v>
      </c>
      <c r="T48" s="21">
        <v>48.07</v>
      </c>
      <c r="U48" s="21">
        <v>34</v>
      </c>
    </row>
    <row r="49" spans="2:21" x14ac:dyDescent="0.25">
      <c r="B49" s="20" t="s">
        <v>48</v>
      </c>
      <c r="C49" s="21">
        <v>30</v>
      </c>
      <c r="I49" s="19" t="s">
        <v>59</v>
      </c>
      <c r="J49" s="21">
        <v>1144</v>
      </c>
      <c r="K49" s="21">
        <v>374.5</v>
      </c>
      <c r="L49" s="21">
        <v>2283.9</v>
      </c>
      <c r="M49" s="21">
        <v>1186</v>
      </c>
      <c r="N49" s="21">
        <v>194.12999999999997</v>
      </c>
      <c r="O49" s="21">
        <v>2164.6</v>
      </c>
      <c r="P49" s="21">
        <v>1201</v>
      </c>
      <c r="Q49" s="21">
        <v>97.410000000000011</v>
      </c>
      <c r="R49" s="21">
        <v>138.1</v>
      </c>
      <c r="S49" s="21">
        <v>56</v>
      </c>
      <c r="T49" s="21">
        <v>37.279999999999994</v>
      </c>
      <c r="U49" s="21">
        <v>19</v>
      </c>
    </row>
    <row r="50" spans="2:21" x14ac:dyDescent="0.25">
      <c r="B50" s="20" t="s">
        <v>59</v>
      </c>
      <c r="C50" s="21">
        <v>11</v>
      </c>
      <c r="I50" s="19" t="s">
        <v>30</v>
      </c>
      <c r="J50" s="21">
        <v>1017</v>
      </c>
      <c r="K50" s="21">
        <v>280.49</v>
      </c>
      <c r="L50" s="21">
        <v>2000.7</v>
      </c>
      <c r="M50" s="21">
        <v>965</v>
      </c>
      <c r="N50" s="21">
        <v>170.07000000000002</v>
      </c>
      <c r="O50" s="21">
        <v>2149.5</v>
      </c>
      <c r="P50" s="21">
        <v>1071</v>
      </c>
      <c r="Q50" s="21">
        <v>96.730000000000018</v>
      </c>
      <c r="R50" s="21">
        <v>108.89999999999999</v>
      </c>
      <c r="S50" s="21">
        <v>52</v>
      </c>
      <c r="T50" s="21">
        <v>29.419999999999998</v>
      </c>
      <c r="U50" s="21">
        <v>20</v>
      </c>
    </row>
    <row r="51" spans="2:21" x14ac:dyDescent="0.25">
      <c r="B51" s="20" t="s">
        <v>30</v>
      </c>
      <c r="C51" s="21">
        <v>19</v>
      </c>
      <c r="I51" s="19" t="s">
        <v>33</v>
      </c>
      <c r="J51" s="21">
        <v>1565</v>
      </c>
      <c r="K51" s="21">
        <v>484.64999999999992</v>
      </c>
      <c r="L51" s="21">
        <v>3463.5</v>
      </c>
      <c r="M51" s="21">
        <v>1602</v>
      </c>
      <c r="N51" s="21">
        <v>294.40999999999997</v>
      </c>
      <c r="O51" s="21">
        <v>3298.1</v>
      </c>
      <c r="P51" s="21">
        <v>1452</v>
      </c>
      <c r="Q51" s="21">
        <v>148.41999999999999</v>
      </c>
      <c r="R51" s="21">
        <v>166.49999999999997</v>
      </c>
      <c r="S51" s="21">
        <v>66</v>
      </c>
      <c r="T51" s="21">
        <v>44.960000000000008</v>
      </c>
      <c r="U51" s="21">
        <v>28</v>
      </c>
    </row>
    <row r="52" spans="2:21" x14ac:dyDescent="0.25">
      <c r="B52" s="20" t="s">
        <v>33</v>
      </c>
      <c r="C52" s="21">
        <v>22</v>
      </c>
      <c r="I52" s="19" t="s">
        <v>40</v>
      </c>
      <c r="J52" s="21">
        <v>1854</v>
      </c>
      <c r="K52" s="21">
        <v>573.71</v>
      </c>
      <c r="L52" s="21">
        <v>3658.1</v>
      </c>
      <c r="M52" s="21">
        <v>1723</v>
      </c>
      <c r="N52" s="21">
        <v>310.95000000000005</v>
      </c>
      <c r="O52" s="21">
        <v>3650.2000000000003</v>
      </c>
      <c r="P52" s="21">
        <v>1812</v>
      </c>
      <c r="Q52" s="21">
        <v>164.26</v>
      </c>
      <c r="R52" s="21">
        <v>179.9</v>
      </c>
      <c r="S52" s="21">
        <v>77</v>
      </c>
      <c r="T52" s="21">
        <v>48.6</v>
      </c>
      <c r="U52" s="21">
        <v>30</v>
      </c>
    </row>
    <row r="53" spans="2:21" x14ac:dyDescent="0.25">
      <c r="B53" s="20" t="s">
        <v>40</v>
      </c>
      <c r="C53" s="21">
        <v>21</v>
      </c>
      <c r="I53" s="19" t="s">
        <v>31</v>
      </c>
      <c r="J53" s="21">
        <v>1624</v>
      </c>
      <c r="K53" s="21">
        <v>552.4899999999999</v>
      </c>
      <c r="L53" s="21">
        <v>3338.5</v>
      </c>
      <c r="M53" s="21">
        <v>1720</v>
      </c>
      <c r="N53" s="21">
        <v>283.78000000000009</v>
      </c>
      <c r="O53" s="21">
        <v>3442.8</v>
      </c>
      <c r="P53" s="21">
        <v>1832</v>
      </c>
      <c r="Q53" s="21">
        <v>154.93</v>
      </c>
      <c r="R53" s="21">
        <v>172.4</v>
      </c>
      <c r="S53" s="21">
        <v>71</v>
      </c>
      <c r="T53" s="21">
        <v>46.550000000000004</v>
      </c>
      <c r="U53" s="21">
        <v>28</v>
      </c>
    </row>
    <row r="54" spans="2:21" x14ac:dyDescent="0.25">
      <c r="B54" s="20" t="s">
        <v>31</v>
      </c>
      <c r="C54" s="21">
        <v>20</v>
      </c>
      <c r="I54" s="19" t="s">
        <v>66</v>
      </c>
      <c r="J54" s="21">
        <v>1805</v>
      </c>
      <c r="K54" s="21">
        <v>561.29999999999995</v>
      </c>
      <c r="L54" s="21">
        <v>3608.3999999999996</v>
      </c>
      <c r="M54" s="21">
        <v>1650</v>
      </c>
      <c r="N54" s="21">
        <v>306.68</v>
      </c>
      <c r="O54" s="21">
        <v>3753.1</v>
      </c>
      <c r="P54" s="21">
        <v>1797</v>
      </c>
      <c r="Q54" s="21">
        <v>168.88</v>
      </c>
      <c r="R54" s="21">
        <v>194.90000000000003</v>
      </c>
      <c r="S54" s="21">
        <v>83</v>
      </c>
      <c r="T54" s="21">
        <v>52.63</v>
      </c>
      <c r="U54" s="21">
        <v>16</v>
      </c>
    </row>
    <row r="55" spans="2:21" x14ac:dyDescent="0.25">
      <c r="B55" s="20" t="s">
        <v>66</v>
      </c>
      <c r="C55" s="21">
        <v>12</v>
      </c>
      <c r="I55" s="19" t="s">
        <v>50</v>
      </c>
      <c r="J55" s="21">
        <v>1183</v>
      </c>
      <c r="K55" s="21">
        <v>339.54</v>
      </c>
      <c r="L55" s="21">
        <v>1981.3</v>
      </c>
      <c r="M55" s="21">
        <v>1096</v>
      </c>
      <c r="N55" s="21">
        <v>168.4</v>
      </c>
      <c r="O55" s="21">
        <v>2250.0000000000005</v>
      </c>
      <c r="P55" s="21">
        <v>1072</v>
      </c>
      <c r="Q55" s="21">
        <v>101.24999999999999</v>
      </c>
      <c r="R55" s="21">
        <v>117.79999999999998</v>
      </c>
      <c r="S55" s="21">
        <v>58</v>
      </c>
      <c r="T55" s="21">
        <v>31.82</v>
      </c>
      <c r="U55" s="21">
        <v>16</v>
      </c>
    </row>
    <row r="56" spans="2:21" x14ac:dyDescent="0.25">
      <c r="B56" s="20" t="s">
        <v>50</v>
      </c>
      <c r="C56" s="21">
        <v>16</v>
      </c>
      <c r="I56" s="19" t="s">
        <v>167</v>
      </c>
      <c r="J56" s="21">
        <v>67325</v>
      </c>
      <c r="K56" s="21">
        <v>20518.100000000006</v>
      </c>
      <c r="L56" s="21">
        <v>135637.99999999997</v>
      </c>
      <c r="M56" s="21">
        <v>67018</v>
      </c>
      <c r="N56" s="21">
        <v>11529.269999999999</v>
      </c>
      <c r="O56" s="21">
        <v>133190.1</v>
      </c>
      <c r="P56" s="21">
        <v>66776</v>
      </c>
      <c r="Q56" s="21">
        <v>5993.6000000000013</v>
      </c>
      <c r="R56" s="21">
        <v>6828.9999999999973</v>
      </c>
      <c r="S56" s="21">
        <v>3020</v>
      </c>
      <c r="T56" s="21">
        <v>1844.22</v>
      </c>
      <c r="U56" s="21">
        <v>1043</v>
      </c>
    </row>
    <row r="57" spans="2:21" x14ac:dyDescent="0.25">
      <c r="B57" s="19" t="s">
        <v>166</v>
      </c>
      <c r="C57" s="21">
        <v>221</v>
      </c>
    </row>
    <row r="58" spans="2:21" x14ac:dyDescent="0.25">
      <c r="B58" s="20" t="s">
        <v>44</v>
      </c>
      <c r="C58" s="21">
        <v>1</v>
      </c>
    </row>
    <row r="59" spans="2:21" x14ac:dyDescent="0.25">
      <c r="B59" s="20" t="s">
        <v>38</v>
      </c>
      <c r="C59" s="21">
        <v>4</v>
      </c>
      <c r="I59" s="18" t="s">
        <v>164</v>
      </c>
      <c r="J59" t="s">
        <v>175</v>
      </c>
    </row>
    <row r="60" spans="2:21" x14ac:dyDescent="0.25">
      <c r="B60" s="20" t="s">
        <v>39</v>
      </c>
      <c r="C60" s="21">
        <v>7</v>
      </c>
      <c r="I60" s="19" t="s">
        <v>26</v>
      </c>
      <c r="J60" s="21">
        <v>260.14999999999998</v>
      </c>
    </row>
    <row r="61" spans="2:21" x14ac:dyDescent="0.25">
      <c r="B61" s="20" t="s">
        <v>37</v>
      </c>
      <c r="C61" s="21">
        <v>8</v>
      </c>
      <c r="I61" s="19" t="s">
        <v>44</v>
      </c>
      <c r="J61" s="21">
        <v>416.19</v>
      </c>
    </row>
    <row r="62" spans="2:21" x14ac:dyDescent="0.25">
      <c r="B62" s="20" t="s">
        <v>56</v>
      </c>
      <c r="C62" s="21">
        <v>5</v>
      </c>
      <c r="I62" s="19" t="s">
        <v>69</v>
      </c>
      <c r="J62" s="21">
        <v>250.87</v>
      </c>
    </row>
    <row r="63" spans="2:21" x14ac:dyDescent="0.25">
      <c r="B63" s="20" t="s">
        <v>58</v>
      </c>
      <c r="C63" s="21">
        <v>0</v>
      </c>
      <c r="I63" s="19" t="s">
        <v>38</v>
      </c>
      <c r="J63" s="21">
        <v>537.89</v>
      </c>
    </row>
    <row r="64" spans="2:21" x14ac:dyDescent="0.25">
      <c r="B64" s="20" t="s">
        <v>51</v>
      </c>
      <c r="C64" s="21">
        <v>1</v>
      </c>
      <c r="I64" s="19" t="s">
        <v>39</v>
      </c>
      <c r="J64" s="21">
        <v>323.39999999999998</v>
      </c>
    </row>
    <row r="65" spans="2:10" x14ac:dyDescent="0.25">
      <c r="B65" s="20" t="s">
        <v>25</v>
      </c>
      <c r="C65" s="21">
        <v>0</v>
      </c>
      <c r="I65" s="19" t="s">
        <v>37</v>
      </c>
      <c r="J65" s="21">
        <v>204.63</v>
      </c>
    </row>
    <row r="66" spans="2:10" x14ac:dyDescent="0.25">
      <c r="B66" s="20" t="s">
        <v>29</v>
      </c>
      <c r="C66" s="21">
        <v>10</v>
      </c>
      <c r="I66" s="19" t="s">
        <v>56</v>
      </c>
      <c r="J66" s="21">
        <v>455.24</v>
      </c>
    </row>
    <row r="67" spans="2:10" x14ac:dyDescent="0.25">
      <c r="B67" s="20" t="s">
        <v>63</v>
      </c>
      <c r="C67" s="21">
        <v>1</v>
      </c>
      <c r="I67" s="19" t="s">
        <v>61</v>
      </c>
      <c r="J67" s="21">
        <v>290.08</v>
      </c>
    </row>
    <row r="68" spans="2:10" x14ac:dyDescent="0.25">
      <c r="B68" s="20" t="s">
        <v>22</v>
      </c>
      <c r="C68" s="21">
        <v>12</v>
      </c>
      <c r="I68" s="19" t="s">
        <v>58</v>
      </c>
      <c r="J68" s="21">
        <v>305.89</v>
      </c>
    </row>
    <row r="69" spans="2:10" x14ac:dyDescent="0.25">
      <c r="B69" s="20" t="s">
        <v>52</v>
      </c>
      <c r="C69" s="21">
        <v>5</v>
      </c>
      <c r="I69" s="19" t="s">
        <v>51</v>
      </c>
      <c r="J69" s="21">
        <v>283.45</v>
      </c>
    </row>
    <row r="70" spans="2:10" x14ac:dyDescent="0.25">
      <c r="B70" s="20" t="s">
        <v>36</v>
      </c>
      <c r="C70" s="21">
        <v>7</v>
      </c>
      <c r="I70" s="19" t="s">
        <v>72</v>
      </c>
      <c r="J70" s="21">
        <v>145.1</v>
      </c>
    </row>
    <row r="71" spans="2:10" x14ac:dyDescent="0.25">
      <c r="B71" s="20" t="s">
        <v>20</v>
      </c>
      <c r="C71" s="21">
        <v>0</v>
      </c>
      <c r="I71" s="19" t="s">
        <v>25</v>
      </c>
      <c r="J71" s="21">
        <v>293.63</v>
      </c>
    </row>
    <row r="72" spans="2:10" x14ac:dyDescent="0.25">
      <c r="B72" s="20" t="s">
        <v>35</v>
      </c>
      <c r="C72" s="21">
        <v>5</v>
      </c>
      <c r="I72" s="19" t="s">
        <v>71</v>
      </c>
      <c r="J72" s="21">
        <v>151.40999999999997</v>
      </c>
    </row>
    <row r="73" spans="2:10" x14ac:dyDescent="0.25">
      <c r="B73" s="20" t="s">
        <v>65</v>
      </c>
      <c r="C73" s="21">
        <v>6</v>
      </c>
      <c r="I73" s="19" t="s">
        <v>29</v>
      </c>
      <c r="J73" s="21">
        <v>556.00999999999976</v>
      </c>
    </row>
    <row r="74" spans="2:10" x14ac:dyDescent="0.25">
      <c r="B74" s="20" t="s">
        <v>62</v>
      </c>
      <c r="C74" s="21">
        <v>4</v>
      </c>
      <c r="I74" s="19" t="s">
        <v>63</v>
      </c>
      <c r="J74" s="21">
        <v>411.40000000000003</v>
      </c>
    </row>
    <row r="75" spans="2:10" x14ac:dyDescent="0.25">
      <c r="B75" s="20" t="s">
        <v>28</v>
      </c>
      <c r="C75" s="21">
        <v>8</v>
      </c>
      <c r="I75" s="19" t="s">
        <v>22</v>
      </c>
      <c r="J75" s="21">
        <v>564.25</v>
      </c>
    </row>
    <row r="76" spans="2:10" x14ac:dyDescent="0.25">
      <c r="B76" s="20" t="s">
        <v>32</v>
      </c>
      <c r="C76" s="21">
        <v>5</v>
      </c>
      <c r="I76" s="19" t="s">
        <v>52</v>
      </c>
      <c r="J76" s="21">
        <v>545.31000000000006</v>
      </c>
    </row>
    <row r="77" spans="2:10" x14ac:dyDescent="0.25">
      <c r="B77" s="20" t="s">
        <v>43</v>
      </c>
      <c r="C77" s="21">
        <v>8</v>
      </c>
      <c r="I77" s="19" t="s">
        <v>36</v>
      </c>
      <c r="J77" s="21">
        <v>460.28999999999996</v>
      </c>
    </row>
    <row r="78" spans="2:10" x14ac:dyDescent="0.25">
      <c r="B78" s="20" t="s">
        <v>49</v>
      </c>
      <c r="C78" s="21">
        <v>10</v>
      </c>
      <c r="I78" s="19" t="s">
        <v>20</v>
      </c>
      <c r="J78" s="21">
        <v>525.5</v>
      </c>
    </row>
    <row r="79" spans="2:10" x14ac:dyDescent="0.25">
      <c r="B79" s="20" t="s">
        <v>34</v>
      </c>
      <c r="C79" s="21">
        <v>11</v>
      </c>
      <c r="I79" s="19" t="s">
        <v>35</v>
      </c>
      <c r="J79" s="21">
        <v>427.39</v>
      </c>
    </row>
    <row r="80" spans="2:10" x14ac:dyDescent="0.25">
      <c r="B80" s="20" t="s">
        <v>53</v>
      </c>
      <c r="C80" s="21">
        <v>7</v>
      </c>
      <c r="I80" s="19" t="s">
        <v>65</v>
      </c>
      <c r="J80" s="21">
        <v>321.15000000000003</v>
      </c>
    </row>
    <row r="81" spans="2:10" x14ac:dyDescent="0.25">
      <c r="B81" s="20" t="s">
        <v>68</v>
      </c>
      <c r="C81" s="21">
        <v>1</v>
      </c>
      <c r="I81" s="19" t="s">
        <v>62</v>
      </c>
      <c r="J81" s="21">
        <v>432.81999999999994</v>
      </c>
    </row>
    <row r="82" spans="2:10" x14ac:dyDescent="0.25">
      <c r="B82" s="20" t="s">
        <v>41</v>
      </c>
      <c r="C82" s="21">
        <v>1</v>
      </c>
      <c r="I82" s="19" t="s">
        <v>28</v>
      </c>
      <c r="J82" s="21">
        <v>475.81</v>
      </c>
    </row>
    <row r="83" spans="2:10" x14ac:dyDescent="0.25">
      <c r="B83" s="20" t="s">
        <v>64</v>
      </c>
      <c r="C83" s="21">
        <v>8</v>
      </c>
      <c r="I83" s="19" t="s">
        <v>32</v>
      </c>
      <c r="J83" s="21">
        <v>480.9899999999999</v>
      </c>
    </row>
    <row r="84" spans="2:10" x14ac:dyDescent="0.25">
      <c r="B84" s="20" t="s">
        <v>46</v>
      </c>
      <c r="C84" s="21">
        <v>8</v>
      </c>
      <c r="I84" s="19" t="s">
        <v>43</v>
      </c>
      <c r="J84" s="21">
        <v>351.37</v>
      </c>
    </row>
    <row r="85" spans="2:10" x14ac:dyDescent="0.25">
      <c r="B85" s="20" t="s">
        <v>60</v>
      </c>
      <c r="C85" s="21">
        <v>1</v>
      </c>
      <c r="I85" s="19" t="s">
        <v>49</v>
      </c>
      <c r="J85" s="21">
        <v>550.79</v>
      </c>
    </row>
    <row r="86" spans="2:10" x14ac:dyDescent="0.25">
      <c r="B86" s="20" t="s">
        <v>23</v>
      </c>
      <c r="C86" s="21">
        <v>9</v>
      </c>
      <c r="I86" s="19" t="s">
        <v>34</v>
      </c>
      <c r="J86" s="21">
        <v>448.09</v>
      </c>
    </row>
    <row r="87" spans="2:10" x14ac:dyDescent="0.25">
      <c r="B87" s="20" t="s">
        <v>55</v>
      </c>
      <c r="C87" s="21">
        <v>6</v>
      </c>
      <c r="I87" s="19" t="s">
        <v>53</v>
      </c>
      <c r="J87" s="21">
        <v>374.40000000000009</v>
      </c>
    </row>
    <row r="88" spans="2:10" x14ac:dyDescent="0.25">
      <c r="B88" s="20" t="s">
        <v>47</v>
      </c>
      <c r="C88" s="21">
        <v>6</v>
      </c>
      <c r="I88" s="19" t="s">
        <v>68</v>
      </c>
      <c r="J88" s="21">
        <v>581.52</v>
      </c>
    </row>
    <row r="89" spans="2:10" x14ac:dyDescent="0.25">
      <c r="B89" s="20" t="s">
        <v>57</v>
      </c>
      <c r="C89" s="21">
        <v>6</v>
      </c>
      <c r="I89" s="19" t="s">
        <v>41</v>
      </c>
      <c r="J89" s="21">
        <v>475.9199999999999</v>
      </c>
    </row>
    <row r="90" spans="2:10" x14ac:dyDescent="0.25">
      <c r="B90" s="20" t="s">
        <v>24</v>
      </c>
      <c r="C90" s="21">
        <v>7</v>
      </c>
      <c r="I90" s="19" t="s">
        <v>45</v>
      </c>
      <c r="J90" s="21">
        <v>390.49</v>
      </c>
    </row>
    <row r="91" spans="2:10" x14ac:dyDescent="0.25">
      <c r="B91" s="20" t="s">
        <v>54</v>
      </c>
      <c r="C91" s="21">
        <v>3</v>
      </c>
      <c r="I91" s="19" t="s">
        <v>64</v>
      </c>
      <c r="J91" s="21">
        <v>576.15</v>
      </c>
    </row>
    <row r="92" spans="2:10" x14ac:dyDescent="0.25">
      <c r="B92" s="20" t="s">
        <v>48</v>
      </c>
      <c r="C92" s="21">
        <v>4</v>
      </c>
      <c r="I92" s="19" t="s">
        <v>46</v>
      </c>
      <c r="J92" s="21">
        <v>507.7</v>
      </c>
    </row>
    <row r="93" spans="2:10" x14ac:dyDescent="0.25">
      <c r="B93" s="20" t="s">
        <v>59</v>
      </c>
      <c r="C93" s="21">
        <v>8</v>
      </c>
      <c r="I93" s="19" t="s">
        <v>60</v>
      </c>
      <c r="J93" s="21">
        <v>136.22</v>
      </c>
    </row>
    <row r="94" spans="2:10" x14ac:dyDescent="0.25">
      <c r="B94" s="20" t="s">
        <v>30</v>
      </c>
      <c r="C94" s="21">
        <v>1</v>
      </c>
      <c r="I94" s="19" t="s">
        <v>23</v>
      </c>
      <c r="J94" s="21">
        <v>474.60000000000008</v>
      </c>
    </row>
    <row r="95" spans="2:10" x14ac:dyDescent="0.25">
      <c r="B95" s="20" t="s">
        <v>33</v>
      </c>
      <c r="C95" s="21">
        <v>6</v>
      </c>
      <c r="I95" s="19" t="s">
        <v>42</v>
      </c>
      <c r="J95" s="21">
        <v>358.01</v>
      </c>
    </row>
    <row r="96" spans="2:10" x14ac:dyDescent="0.25">
      <c r="B96" s="20" t="s">
        <v>40</v>
      </c>
      <c r="C96" s="21">
        <v>9</v>
      </c>
      <c r="I96" s="19" t="s">
        <v>55</v>
      </c>
      <c r="J96" s="21">
        <v>274.46000000000004</v>
      </c>
    </row>
    <row r="97" spans="2:10" x14ac:dyDescent="0.25">
      <c r="B97" s="20" t="s">
        <v>31</v>
      </c>
      <c r="C97" s="21">
        <v>8</v>
      </c>
      <c r="I97" s="19" t="s">
        <v>47</v>
      </c>
      <c r="J97" s="21">
        <v>541.28</v>
      </c>
    </row>
    <row r="98" spans="2:10" x14ac:dyDescent="0.25">
      <c r="B98" s="20" t="s">
        <v>66</v>
      </c>
      <c r="C98" s="21">
        <v>4</v>
      </c>
      <c r="I98" s="19" t="s">
        <v>67</v>
      </c>
      <c r="J98" s="21">
        <v>240.28</v>
      </c>
    </row>
    <row r="99" spans="2:10" x14ac:dyDescent="0.25">
      <c r="B99" s="20" t="s">
        <v>50</v>
      </c>
      <c r="C99" s="21">
        <v>0</v>
      </c>
      <c r="I99" s="19" t="s">
        <v>57</v>
      </c>
      <c r="J99" s="21">
        <v>428.59000000000003</v>
      </c>
    </row>
    <row r="100" spans="2:10" x14ac:dyDescent="0.25">
      <c r="B100" s="19" t="s">
        <v>167</v>
      </c>
      <c r="C100" s="21">
        <v>1043</v>
      </c>
      <c r="I100" s="19" t="s">
        <v>24</v>
      </c>
      <c r="J100" s="21">
        <v>343.86000000000007</v>
      </c>
    </row>
    <row r="101" spans="2:10" x14ac:dyDescent="0.25">
      <c r="I101" s="19" t="s">
        <v>54</v>
      </c>
      <c r="J101" s="21">
        <v>340.45000000000005</v>
      </c>
    </row>
    <row r="102" spans="2:10" x14ac:dyDescent="0.25">
      <c r="I102" s="19" t="s">
        <v>70</v>
      </c>
      <c r="J102" s="21">
        <v>309.27</v>
      </c>
    </row>
    <row r="103" spans="2:10" x14ac:dyDescent="0.25">
      <c r="I103" s="19" t="s">
        <v>48</v>
      </c>
      <c r="J103" s="21">
        <v>529.12</v>
      </c>
    </row>
    <row r="104" spans="2:10" x14ac:dyDescent="0.25">
      <c r="I104" s="19" t="s">
        <v>59</v>
      </c>
      <c r="J104" s="21">
        <v>374.5</v>
      </c>
    </row>
    <row r="105" spans="2:10" x14ac:dyDescent="0.25">
      <c r="I105" s="19" t="s">
        <v>30</v>
      </c>
      <c r="J105" s="21">
        <v>280.49</v>
      </c>
    </row>
    <row r="106" spans="2:10" x14ac:dyDescent="0.25">
      <c r="I106" s="19" t="s">
        <v>33</v>
      </c>
      <c r="J106" s="21">
        <v>484.64999999999992</v>
      </c>
    </row>
    <row r="107" spans="2:10" x14ac:dyDescent="0.25">
      <c r="I107" s="19" t="s">
        <v>40</v>
      </c>
      <c r="J107" s="21">
        <v>573.71</v>
      </c>
    </row>
    <row r="108" spans="2:10" x14ac:dyDescent="0.25">
      <c r="I108" s="19" t="s">
        <v>31</v>
      </c>
      <c r="J108" s="21">
        <v>552.4899999999999</v>
      </c>
    </row>
    <row r="109" spans="2:10" x14ac:dyDescent="0.25">
      <c r="I109" s="19" t="s">
        <v>66</v>
      </c>
      <c r="J109" s="21">
        <v>561.29999999999995</v>
      </c>
    </row>
    <row r="110" spans="2:10" x14ac:dyDescent="0.25">
      <c r="I110" s="19" t="s">
        <v>50</v>
      </c>
      <c r="J110" s="21">
        <v>339.54</v>
      </c>
    </row>
    <row r="111" spans="2:10" x14ac:dyDescent="0.25">
      <c r="I111" s="19" t="s">
        <v>167</v>
      </c>
      <c r="J111" s="21">
        <v>20518.100000000006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A07F-B582-42FA-BFE4-8C8677D92C07}">
  <dimension ref="A1"/>
  <sheetViews>
    <sheetView showGridLines="0" topLeftCell="A4" workbookViewId="0">
      <selection activeCell="N10" sqref="N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churn</vt:lpstr>
      <vt:lpstr>Raw_Data</vt:lpstr>
      <vt:lpstr>Logical</vt:lpstr>
      <vt:lpstr>Lookups</vt:lpstr>
      <vt:lpstr>Arrays</vt:lpstr>
      <vt:lpstr>Cleaning</vt:lpstr>
      <vt:lpstr>Statistics</vt:lpstr>
      <vt:lpstr>Tests</vt:lpstr>
      <vt:lpstr>What_If</vt:lpstr>
      <vt:lpstr>Power_Pivot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KARUNGI MARY GORRET</dc:creator>
  <cp:lastModifiedBy>KARUNGI MARY GORRET</cp:lastModifiedBy>
  <dcterms:created xsi:type="dcterms:W3CDTF">2026-09-03T15:10:34Z</dcterms:created>
  <dcterms:modified xsi:type="dcterms:W3CDTF">2026-09-22T20:53:09Z</dcterms:modified>
</cp:coreProperties>
</file>